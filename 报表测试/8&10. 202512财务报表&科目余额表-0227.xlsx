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https://eychinamanaged.sharepoint.cn/sites/HK_8v6ms7/Shared Documents/海纳川25年度审计/7.12月TB&amp;JE&amp;月报/2025年12月31日TB&amp;JE/长春英纳法富晟汽车天窗系统有限公司/"/>
    </mc:Choice>
  </mc:AlternateContent>
  <xr:revisionPtr revIDLastSave="7" documentId="13_ncr:1_{842C52A8-CC69-45B1-A1AB-269465A5CECF}" xr6:coauthVersionLast="47" xr6:coauthVersionMax="47" xr10:uidLastSave="{281442F7-6D2D-47BA-8B32-AC5E6ECE1AC5}"/>
  <bookViews>
    <workbookView xWindow="-108" yWindow="-108" windowWidth="23256" windowHeight="13896" firstSheet="5" activeTab="5" xr2:uid="{00000000-000D-0000-FFFF-FFFF00000000}"/>
  </bookViews>
  <sheets>
    <sheet name="资产负债表" sheetId="2" r:id="rId1"/>
    <sheet name="利润表" sheetId="3" r:id="rId2"/>
    <sheet name="现金流量表" sheetId="4" r:id="rId3"/>
    <sheet name="现金流量表补充资料" sheetId="5" r:id="rId4"/>
    <sheet name="科目余额表" sheetId="6" r:id="rId5"/>
    <sheet name="data" sheetId="7" r:id="rId6"/>
    <sheet name="英纳法科目余额表" sheetId="1" r:id="rId7"/>
  </sheets>
  <externalReferences>
    <externalReference r:id="rId8"/>
  </externalReferences>
  <definedNames>
    <definedName name="_xlnm._FilterDatabase" localSheetId="5" hidden="1">data!$A$1:$Y$467</definedName>
    <definedName name="_xlnm._FilterDatabase" localSheetId="4" hidden="1">科目余额表!$A$5:$AF$648</definedName>
    <definedName name="_xlnm._FilterDatabase" localSheetId="6" hidden="1">英纳法科目余额表!$A$2:$I$2</definedName>
    <definedName name="AS2DocOpenMode" hidden="1">"AS2DocumentEdit"</definedName>
    <definedName name="bs" localSheetId="5" hidden="1">{#N/A,#N/A,FALSE,"BBPREP"}</definedName>
    <definedName name="bs" hidden="1">{#N/A,#N/A,FALSE,"BBPREP"}</definedName>
    <definedName name="_xlnm.Print_Area" localSheetId="1">利润表!$A$1:$J$36</definedName>
    <definedName name="_xlnm.Print_Area" localSheetId="2">现金流量表!$A$1:$D$43</definedName>
    <definedName name="_xlnm.Print_Area" localSheetId="3">现金流量表补充资料!$A$1:$D$26</definedName>
    <definedName name="_xlnm.Print_Area" localSheetId="0">资产负债表!$A$1:$H$59</definedName>
    <definedName name="TextRefCopyRangeCount" hidden="1">136</definedName>
    <definedName name="tfgld.dbcr">#REF!</definedName>
    <definedName name="tfgld.duac.pr">#REF!</definedName>
    <definedName name="tfgld.ptyp">#REF!</definedName>
    <definedName name="XREF_COLUMN_1" localSheetId="5" hidden="1">#REF!</definedName>
    <definedName name="XREF_COLUMN_1" hidden="1">#REF!</definedName>
    <definedName name="XREF_COLUMN_2" localSheetId="5" hidden="1">#REF!</definedName>
    <definedName name="XREF_COLUMN_2" hidden="1">#REF!</definedName>
    <definedName name="XREF_COLUMN_3" localSheetId="5" hidden="1">#REF!</definedName>
    <definedName name="XREF_COLUMN_3" hidden="1">#REF!</definedName>
    <definedName name="XREF_COLUMN_5" localSheetId="5" hidden="1">#REF!</definedName>
    <definedName name="XREF_COLUMN_5" hidden="1">#REF!</definedName>
    <definedName name="XRefActiveRow" localSheetId="5" hidden="1">#REF!</definedName>
    <definedName name="XRefActiveRow" hidden="1">#REF!</definedName>
    <definedName name="XRefColumnsCount" hidden="1">2</definedName>
    <definedName name="XRefCopy1" localSheetId="5" hidden="1">#REF!</definedName>
    <definedName name="XRefCopy1" hidden="1">#REF!</definedName>
    <definedName name="XRefCopy1Row" localSheetId="5" hidden="1">#REF!</definedName>
    <definedName name="XRefCopy1Row" hidden="1">#REF!</definedName>
    <definedName name="XRefCopy2Row" localSheetId="5" hidden="1">#REF!</definedName>
    <definedName name="XRefCopy2Row" hidden="1">#REF!</definedName>
    <definedName name="XRefCopyRangeCount" hidden="1">2</definedName>
    <definedName name="XRefPaste1" localSheetId="5" hidden="1">#REF!</definedName>
    <definedName name="XRefPaste1" hidden="1">#REF!</definedName>
    <definedName name="XRefPaste1Row" localSheetId="5" hidden="1">#REF!</definedName>
    <definedName name="XRefPaste1Row" hidden="1">#REF!</definedName>
    <definedName name="XRefPaste2" localSheetId="5" hidden="1">#REF!</definedName>
    <definedName name="XRefPaste2" hidden="1">#REF!</definedName>
    <definedName name="XRefPaste2Row" localSheetId="5" hidden="1">#REF!</definedName>
    <definedName name="XRefPaste2Row" hidden="1">#REF!</definedName>
    <definedName name="XRefPaste3" localSheetId="5" hidden="1">#REF!</definedName>
    <definedName name="XRefPaste3" hidden="1">#REF!</definedName>
    <definedName name="XRefPaste3Row" localSheetId="5" hidden="1">#REF!</definedName>
    <definedName name="XRefPaste3Row" hidden="1">#REF!</definedName>
    <definedName name="XRefPasteRangeCount" hidden="1">2</definedName>
    <definedName name="本循环科目" localSheetId="5" hidden="1">#REF!</definedName>
    <definedName name="本循环科目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D17" i="3"/>
  <c r="S54" i="7"/>
  <c r="R459" i="7" l="1"/>
  <c r="Q459" i="7"/>
  <c r="P459" i="7"/>
  <c r="O459" i="7"/>
  <c r="N459" i="7"/>
  <c r="M459" i="7"/>
  <c r="L459" i="7"/>
  <c r="I459" i="7"/>
  <c r="H459" i="7"/>
  <c r="K454" i="7"/>
  <c r="J454" i="7"/>
  <c r="I454" i="7"/>
  <c r="H454" i="7"/>
  <c r="S453" i="7"/>
  <c r="R453" i="7"/>
  <c r="Q453" i="7"/>
  <c r="P453" i="7"/>
  <c r="O453" i="7"/>
  <c r="N453" i="7"/>
  <c r="M453" i="7"/>
  <c r="L453" i="7"/>
  <c r="K453" i="7"/>
  <c r="J453" i="7"/>
  <c r="I453" i="7"/>
  <c r="H453" i="7"/>
  <c r="R451" i="7"/>
  <c r="P451" i="7"/>
  <c r="N451" i="7"/>
  <c r="J451" i="7"/>
  <c r="N381" i="6" s="1"/>
  <c r="H451" i="7"/>
  <c r="T447" i="7"/>
  <c r="O446" i="7"/>
  <c r="O468" i="7" s="1"/>
  <c r="N446" i="7"/>
  <c r="N468" i="7" s="1"/>
  <c r="M446" i="7"/>
  <c r="M468" i="7" s="1"/>
  <c r="L446" i="7"/>
  <c r="L468" i="7" s="1"/>
  <c r="P249" i="6" s="1"/>
  <c r="K446" i="7"/>
  <c r="L448" i="7" s="1"/>
  <c r="J446" i="7"/>
  <c r="J468" i="7" s="1"/>
  <c r="I446" i="7"/>
  <c r="I468" i="7" s="1"/>
  <c r="H446" i="7"/>
  <c r="T445" i="7"/>
  <c r="T444" i="7"/>
  <c r="T443" i="7"/>
  <c r="S442" i="7"/>
  <c r="R442" i="7"/>
  <c r="Q442" i="7"/>
  <c r="P442" i="7"/>
  <c r="O442" i="7"/>
  <c r="N442" i="7"/>
  <c r="M442" i="7"/>
  <c r="L442" i="7"/>
  <c r="K442" i="7"/>
  <c r="J442" i="7"/>
  <c r="I442" i="7"/>
  <c r="H442" i="7"/>
  <c r="T442" i="7" s="1"/>
  <c r="T441" i="7"/>
  <c r="T440" i="7"/>
  <c r="K439" i="7"/>
  <c r="T439" i="7" s="1"/>
  <c r="T438" i="7"/>
  <c r="T437" i="7"/>
  <c r="T436" i="7"/>
  <c r="T435" i="7"/>
  <c r="T434" i="7"/>
  <c r="T433" i="7"/>
  <c r="T432" i="7"/>
  <c r="T431" i="7"/>
  <c r="T430" i="7"/>
  <c r="T429" i="7"/>
  <c r="T428" i="7"/>
  <c r="T427" i="7"/>
  <c r="T426" i="7"/>
  <c r="T425" i="7"/>
  <c r="T424" i="7"/>
  <c r="T423" i="7"/>
  <c r="T422" i="7"/>
  <c r="S421" i="7"/>
  <c r="R421" i="7"/>
  <c r="V551" i="6" s="1"/>
  <c r="Q421" i="7"/>
  <c r="U551" i="6" s="1"/>
  <c r="P421" i="7"/>
  <c r="T551" i="6" s="1"/>
  <c r="O421" i="7"/>
  <c r="N421" i="7"/>
  <c r="M421" i="7"/>
  <c r="K421" i="7"/>
  <c r="J421" i="7"/>
  <c r="N551" i="6" s="1"/>
  <c r="I421" i="7"/>
  <c r="H421" i="7"/>
  <c r="T420" i="7"/>
  <c r="T419" i="7"/>
  <c r="T418" i="7"/>
  <c r="T417" i="7"/>
  <c r="T416" i="7"/>
  <c r="T415" i="7"/>
  <c r="T414" i="7"/>
  <c r="T413" i="7"/>
  <c r="T412" i="7"/>
  <c r="T411" i="7"/>
  <c r="M410" i="7"/>
  <c r="T410" i="7" s="1"/>
  <c r="T409" i="7"/>
  <c r="T408" i="7"/>
  <c r="T407" i="7"/>
  <c r="T406" i="7"/>
  <c r="T405" i="7"/>
  <c r="T404" i="7"/>
  <c r="T403" i="7"/>
  <c r="T402" i="7"/>
  <c r="T401" i="7"/>
  <c r="K400" i="7"/>
  <c r="T400" i="7" s="1"/>
  <c r="T399" i="7"/>
  <c r="T398" i="7"/>
  <c r="T397" i="7"/>
  <c r="T396" i="7"/>
  <c r="T395" i="7"/>
  <c r="T394" i="7"/>
  <c r="T393" i="7"/>
  <c r="T392" i="7"/>
  <c r="T391" i="7"/>
  <c r="T390" i="7"/>
  <c r="T389" i="7"/>
  <c r="T388" i="7"/>
  <c r="T387" i="7"/>
  <c r="T386" i="7"/>
  <c r="T385" i="7"/>
  <c r="T384" i="7"/>
  <c r="T383" i="7"/>
  <c r="T382" i="7"/>
  <c r="T381" i="7"/>
  <c r="T380" i="7"/>
  <c r="T379" i="7"/>
  <c r="T378" i="7"/>
  <c r="T377" i="7"/>
  <c r="T376" i="7"/>
  <c r="T375" i="7"/>
  <c r="T374" i="7"/>
  <c r="T373" i="7"/>
  <c r="T372" i="7"/>
  <c r="T371" i="7"/>
  <c r="T370" i="7"/>
  <c r="T369" i="7"/>
  <c r="T368" i="7"/>
  <c r="T367" i="7"/>
  <c r="T366" i="7"/>
  <c r="T365" i="7"/>
  <c r="T364" i="7"/>
  <c r="T363" i="7"/>
  <c r="T362" i="7"/>
  <c r="T361" i="7"/>
  <c r="T360" i="7"/>
  <c r="T359" i="7"/>
  <c r="T358" i="7"/>
  <c r="T357" i="7"/>
  <c r="T356" i="7"/>
  <c r="T355" i="7"/>
  <c r="T354" i="7"/>
  <c r="T353" i="7"/>
  <c r="T352" i="7"/>
  <c r="T351" i="7"/>
  <c r="T350" i="7"/>
  <c r="T349" i="7"/>
  <c r="T348" i="7"/>
  <c r="T347" i="7"/>
  <c r="T346" i="7"/>
  <c r="T345" i="7"/>
  <c r="T344" i="7"/>
  <c r="T343" i="7"/>
  <c r="T342" i="7"/>
  <c r="T341" i="7"/>
  <c r="T340" i="7"/>
  <c r="T339" i="7"/>
  <c r="T338" i="7"/>
  <c r="T337" i="7"/>
  <c r="T336" i="7"/>
  <c r="T335" i="7"/>
  <c r="T334" i="7"/>
  <c r="T333" i="7"/>
  <c r="T332" i="7"/>
  <c r="T331" i="7"/>
  <c r="T330" i="7"/>
  <c r="T329" i="7"/>
  <c r="T328" i="7"/>
  <c r="T327" i="7"/>
  <c r="T326" i="7"/>
  <c r="T325" i="7"/>
  <c r="T324" i="7"/>
  <c r="T323" i="7"/>
  <c r="T322" i="7"/>
  <c r="T321" i="7"/>
  <c r="T320" i="7"/>
  <c r="T319" i="7"/>
  <c r="T318" i="7"/>
  <c r="T317" i="7"/>
  <c r="T316" i="7"/>
  <c r="T315" i="7"/>
  <c r="T314" i="7"/>
  <c r="T313" i="7"/>
  <c r="T312" i="7"/>
  <c r="T311" i="7"/>
  <c r="T310" i="7"/>
  <c r="T309" i="7"/>
  <c r="T308" i="7"/>
  <c r="T307" i="7"/>
  <c r="T306" i="7"/>
  <c r="T305" i="7"/>
  <c r="T304" i="7"/>
  <c r="T303" i="7"/>
  <c r="T302" i="7"/>
  <c r="T301" i="7"/>
  <c r="T300" i="7"/>
  <c r="T299" i="7"/>
  <c r="T298" i="7"/>
  <c r="T297" i="7"/>
  <c r="T296" i="7"/>
  <c r="T295" i="7"/>
  <c r="T294" i="7"/>
  <c r="T293" i="7"/>
  <c r="T292" i="7"/>
  <c r="T291" i="7"/>
  <c r="T290" i="7"/>
  <c r="T289" i="7"/>
  <c r="T288" i="7"/>
  <c r="T287" i="7"/>
  <c r="T286" i="7"/>
  <c r="T285" i="7"/>
  <c r="T284" i="7"/>
  <c r="T283" i="7"/>
  <c r="T282" i="7"/>
  <c r="T281" i="7"/>
  <c r="T280" i="7"/>
  <c r="T279" i="7"/>
  <c r="T278" i="7"/>
  <c r="T277" i="7"/>
  <c r="T276" i="7"/>
  <c r="T275" i="7"/>
  <c r="T274" i="7"/>
  <c r="T273" i="7"/>
  <c r="T272" i="7"/>
  <c r="T271" i="7"/>
  <c r="T270" i="7"/>
  <c r="T269" i="7"/>
  <c r="T268" i="7"/>
  <c r="T267" i="7"/>
  <c r="T266" i="7"/>
  <c r="T265" i="7"/>
  <c r="T264" i="7"/>
  <c r="T263" i="7"/>
  <c r="T262" i="7"/>
  <c r="T260" i="7"/>
  <c r="T259" i="7"/>
  <c r="T258" i="7"/>
  <c r="T257" i="7"/>
  <c r="T256" i="7"/>
  <c r="T255" i="7"/>
  <c r="T254" i="7"/>
  <c r="T253" i="7"/>
  <c r="T252" i="7"/>
  <c r="K251" i="7"/>
  <c r="T251" i="7" s="1"/>
  <c r="T250" i="7"/>
  <c r="T249" i="7"/>
  <c r="T248" i="7"/>
  <c r="T247" i="7"/>
  <c r="T246" i="7"/>
  <c r="T245" i="7"/>
  <c r="T244" i="7"/>
  <c r="T243" i="7"/>
  <c r="T242" i="7"/>
  <c r="T241" i="7"/>
  <c r="T240" i="7"/>
  <c r="T239" i="7"/>
  <c r="K239" i="7"/>
  <c r="T238" i="7"/>
  <c r="T237" i="7"/>
  <c r="T236" i="7"/>
  <c r="T235" i="7"/>
  <c r="T234" i="7"/>
  <c r="T233" i="7"/>
  <c r="T232" i="7"/>
  <c r="T231" i="7"/>
  <c r="T230" i="7"/>
  <c r="T229" i="7"/>
  <c r="T228" i="7"/>
  <c r="T227" i="7"/>
  <c r="T226" i="7"/>
  <c r="T225" i="7"/>
  <c r="T224" i="7"/>
  <c r="T223" i="7"/>
  <c r="T222" i="7"/>
  <c r="T221" i="7"/>
  <c r="T220" i="7"/>
  <c r="T219" i="7"/>
  <c r="T218" i="7"/>
  <c r="S218" i="7"/>
  <c r="T217" i="7"/>
  <c r="T216" i="7"/>
  <c r="T215" i="7"/>
  <c r="T214" i="7"/>
  <c r="T213" i="7"/>
  <c r="T212" i="7"/>
  <c r="T211" i="7"/>
  <c r="T210" i="7"/>
  <c r="T209" i="7"/>
  <c r="T208" i="7"/>
  <c r="T207" i="7"/>
  <c r="T206" i="7"/>
  <c r="T205" i="7"/>
  <c r="T204" i="7"/>
  <c r="T203" i="7"/>
  <c r="T202" i="7"/>
  <c r="T201" i="7"/>
  <c r="T200" i="7"/>
  <c r="T199" i="7"/>
  <c r="T198" i="7"/>
  <c r="T197" i="7"/>
  <c r="T196" i="7"/>
  <c r="T195" i="7"/>
  <c r="T194" i="7"/>
  <c r="T193" i="7"/>
  <c r="T192" i="7"/>
  <c r="T191" i="7"/>
  <c r="T190" i="7"/>
  <c r="T189" i="7"/>
  <c r="T188" i="7"/>
  <c r="T187" i="7"/>
  <c r="T186" i="7"/>
  <c r="T185" i="7"/>
  <c r="T184" i="7"/>
  <c r="K180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S171" i="7"/>
  <c r="W271" i="6" s="1"/>
  <c r="R171" i="7"/>
  <c r="V271" i="6" s="1"/>
  <c r="Q171" i="7"/>
  <c r="P171" i="7"/>
  <c r="O171" i="7"/>
  <c r="N171" i="7"/>
  <c r="R271" i="6" s="1"/>
  <c r="M171" i="7"/>
  <c r="Q271" i="6" s="1"/>
  <c r="L171" i="7"/>
  <c r="K171" i="7"/>
  <c r="J171" i="7"/>
  <c r="I171" i="7"/>
  <c r="M271" i="6" s="1"/>
  <c r="H171" i="7"/>
  <c r="S160" i="7"/>
  <c r="R160" i="7"/>
  <c r="Q160" i="7"/>
  <c r="P160" i="7"/>
  <c r="O160" i="7"/>
  <c r="S272" i="6" s="1"/>
  <c r="N160" i="7"/>
  <c r="R272" i="6" s="1"/>
  <c r="M160" i="7"/>
  <c r="L160" i="7"/>
  <c r="K160" i="7"/>
  <c r="O272" i="6" s="1"/>
  <c r="J160" i="7"/>
  <c r="I160" i="7"/>
  <c r="M272" i="6" s="1"/>
  <c r="H160" i="7"/>
  <c r="R137" i="7"/>
  <c r="P137" i="7"/>
  <c r="T265" i="6" s="1"/>
  <c r="N137" i="7"/>
  <c r="K134" i="7"/>
  <c r="S112" i="7"/>
  <c r="R112" i="7"/>
  <c r="Q112" i="7"/>
  <c r="P112" i="7"/>
  <c r="P446" i="7" s="1"/>
  <c r="O112" i="7"/>
  <c r="N112" i="7"/>
  <c r="M112" i="7"/>
  <c r="L112" i="7"/>
  <c r="K112" i="7"/>
  <c r="J112" i="7"/>
  <c r="I112" i="7"/>
  <c r="H112" i="7"/>
  <c r="S109" i="7"/>
  <c r="W58" i="6" s="1"/>
  <c r="R109" i="7"/>
  <c r="V58" i="6" s="1"/>
  <c r="Q109" i="7"/>
  <c r="P109" i="7"/>
  <c r="T58" i="6" s="1"/>
  <c r="O109" i="7"/>
  <c r="N109" i="7"/>
  <c r="M109" i="7"/>
  <c r="L109" i="7"/>
  <c r="K109" i="7"/>
  <c r="J109" i="7"/>
  <c r="I109" i="7"/>
  <c r="H109" i="7"/>
  <c r="M95" i="7"/>
  <c r="R92" i="7"/>
  <c r="V47" i="6" s="1"/>
  <c r="Q92" i="7"/>
  <c r="U47" i="6" s="1"/>
  <c r="P92" i="7"/>
  <c r="O92" i="7"/>
  <c r="N92" i="7"/>
  <c r="M92" i="7"/>
  <c r="L92" i="7"/>
  <c r="K92" i="7"/>
  <c r="J92" i="7"/>
  <c r="I92" i="7"/>
  <c r="H92" i="7"/>
  <c r="L47" i="6" s="1"/>
  <c r="W264" i="6"/>
  <c r="C53" i="2" s="1"/>
  <c r="R54" i="7"/>
  <c r="V264" i="6" s="1"/>
  <c r="Q54" i="7"/>
  <c r="P54" i="7"/>
  <c r="O54" i="7"/>
  <c r="N54" i="7"/>
  <c r="M54" i="7"/>
  <c r="Q264" i="6" s="1"/>
  <c r="L54" i="7"/>
  <c r="K54" i="7"/>
  <c r="J54" i="7"/>
  <c r="I54" i="7"/>
  <c r="M264" i="6" s="1"/>
  <c r="H54" i="7"/>
  <c r="L264" i="6" s="1"/>
  <c r="S50" i="7"/>
  <c r="R50" i="7"/>
  <c r="Q50" i="7"/>
  <c r="P50" i="7"/>
  <c r="O50" i="7"/>
  <c r="N50" i="7"/>
  <c r="R346" i="6" s="1"/>
  <c r="M50" i="7"/>
  <c r="L50" i="7"/>
  <c r="K50" i="7"/>
  <c r="J50" i="7"/>
  <c r="I50" i="7"/>
  <c r="H50" i="7"/>
  <c r="S44" i="7"/>
  <c r="R44" i="7"/>
  <c r="Q44" i="7"/>
  <c r="P44" i="7"/>
  <c r="O44" i="7"/>
  <c r="N44" i="7"/>
  <c r="M44" i="7"/>
  <c r="L44" i="7"/>
  <c r="K44" i="7"/>
  <c r="J44" i="7"/>
  <c r="I44" i="7"/>
  <c r="H44" i="7"/>
  <c r="S26" i="7"/>
  <c r="S24" i="7"/>
  <c r="R24" i="7"/>
  <c r="Q24" i="7"/>
  <c r="P24" i="7"/>
  <c r="O24" i="7"/>
  <c r="N24" i="7"/>
  <c r="M24" i="7"/>
  <c r="L24" i="7"/>
  <c r="K24" i="7"/>
  <c r="J24" i="7"/>
  <c r="I24" i="7"/>
  <c r="H24" i="7"/>
  <c r="S10" i="7"/>
  <c r="R10" i="7"/>
  <c r="Q10" i="7"/>
  <c r="P10" i="7"/>
  <c r="O10" i="7"/>
  <c r="N10" i="7"/>
  <c r="M10" i="7"/>
  <c r="L10" i="7"/>
  <c r="K10" i="7"/>
  <c r="J10" i="7"/>
  <c r="I10" i="7"/>
  <c r="H10" i="7"/>
  <c r="S2" i="7"/>
  <c r="H2" i="7"/>
  <c r="W647" i="6"/>
  <c r="V647" i="6"/>
  <c r="U647" i="6"/>
  <c r="T647" i="6"/>
  <c r="S647" i="6"/>
  <c r="R647" i="6"/>
  <c r="Q647" i="6"/>
  <c r="P647" i="6"/>
  <c r="O647" i="6"/>
  <c r="N647" i="6"/>
  <c r="M647" i="6"/>
  <c r="L647" i="6"/>
  <c r="W646" i="6"/>
  <c r="V646" i="6"/>
  <c r="U646" i="6"/>
  <c r="T646" i="6"/>
  <c r="S646" i="6"/>
  <c r="R646" i="6"/>
  <c r="Q646" i="6"/>
  <c r="P646" i="6"/>
  <c r="O646" i="6"/>
  <c r="N646" i="6"/>
  <c r="M646" i="6"/>
  <c r="L646" i="6"/>
  <c r="W645" i="6"/>
  <c r="V645" i="6"/>
  <c r="U645" i="6"/>
  <c r="T645" i="6"/>
  <c r="S645" i="6"/>
  <c r="R645" i="6"/>
  <c r="Q645" i="6"/>
  <c r="P645" i="6"/>
  <c r="O645" i="6"/>
  <c r="N645" i="6"/>
  <c r="M645" i="6"/>
  <c r="L645" i="6"/>
  <c r="W644" i="6"/>
  <c r="V644" i="6"/>
  <c r="U644" i="6"/>
  <c r="T644" i="6"/>
  <c r="S644" i="6"/>
  <c r="R644" i="6"/>
  <c r="Q644" i="6"/>
  <c r="P644" i="6"/>
  <c r="O644" i="6"/>
  <c r="N644" i="6"/>
  <c r="M644" i="6"/>
  <c r="L644" i="6"/>
  <c r="W643" i="6"/>
  <c r="C30" i="3" s="1"/>
  <c r="V643" i="6"/>
  <c r="U643" i="6"/>
  <c r="T643" i="6"/>
  <c r="S643" i="6"/>
  <c r="R643" i="6"/>
  <c r="Q643" i="6"/>
  <c r="P643" i="6"/>
  <c r="O643" i="6"/>
  <c r="N643" i="6"/>
  <c r="M643" i="6"/>
  <c r="L643" i="6"/>
  <c r="W642" i="6"/>
  <c r="V642" i="6"/>
  <c r="U642" i="6"/>
  <c r="T642" i="6"/>
  <c r="S642" i="6"/>
  <c r="R642" i="6"/>
  <c r="Q642" i="6"/>
  <c r="P642" i="6"/>
  <c r="O642" i="6"/>
  <c r="N642" i="6"/>
  <c r="M642" i="6"/>
  <c r="L642" i="6"/>
  <c r="W641" i="6"/>
  <c r="V641" i="6"/>
  <c r="U641" i="6"/>
  <c r="T641" i="6"/>
  <c r="S641" i="6"/>
  <c r="R641" i="6"/>
  <c r="Q641" i="6"/>
  <c r="P641" i="6"/>
  <c r="O641" i="6"/>
  <c r="N641" i="6"/>
  <c r="M641" i="6"/>
  <c r="L641" i="6"/>
  <c r="W640" i="6"/>
  <c r="V640" i="6"/>
  <c r="U640" i="6"/>
  <c r="T640" i="6"/>
  <c r="S640" i="6"/>
  <c r="R640" i="6"/>
  <c r="Q640" i="6"/>
  <c r="P640" i="6"/>
  <c r="O640" i="6"/>
  <c r="N640" i="6"/>
  <c r="M640" i="6"/>
  <c r="L640" i="6"/>
  <c r="W639" i="6"/>
  <c r="V639" i="6"/>
  <c r="U639" i="6"/>
  <c r="T639" i="6"/>
  <c r="S639" i="6"/>
  <c r="R639" i="6"/>
  <c r="Q639" i="6"/>
  <c r="P639" i="6"/>
  <c r="O639" i="6"/>
  <c r="N639" i="6"/>
  <c r="M639" i="6"/>
  <c r="L639" i="6"/>
  <c r="W638" i="6"/>
  <c r="V638" i="6"/>
  <c r="U638" i="6"/>
  <c r="T638" i="6"/>
  <c r="S638" i="6"/>
  <c r="R638" i="6"/>
  <c r="Q638" i="6"/>
  <c r="P638" i="6"/>
  <c r="O638" i="6"/>
  <c r="N638" i="6"/>
  <c r="M638" i="6"/>
  <c r="L638" i="6"/>
  <c r="W637" i="6"/>
  <c r="V637" i="6"/>
  <c r="U637" i="6"/>
  <c r="T637" i="6"/>
  <c r="S637" i="6"/>
  <c r="R637" i="6"/>
  <c r="Q637" i="6"/>
  <c r="P637" i="6"/>
  <c r="O637" i="6"/>
  <c r="N637" i="6"/>
  <c r="M637" i="6"/>
  <c r="L637" i="6"/>
  <c r="W636" i="6"/>
  <c r="V636" i="6"/>
  <c r="U636" i="6"/>
  <c r="T636" i="6"/>
  <c r="S636" i="6"/>
  <c r="R636" i="6"/>
  <c r="Q636" i="6"/>
  <c r="P636" i="6"/>
  <c r="O636" i="6"/>
  <c r="N636" i="6"/>
  <c r="M636" i="6"/>
  <c r="L636" i="6"/>
  <c r="W635" i="6"/>
  <c r="V635" i="6"/>
  <c r="U635" i="6"/>
  <c r="T635" i="6"/>
  <c r="S635" i="6"/>
  <c r="R635" i="6"/>
  <c r="Q635" i="6"/>
  <c r="P635" i="6"/>
  <c r="O635" i="6"/>
  <c r="N635" i="6"/>
  <c r="M635" i="6"/>
  <c r="L635" i="6"/>
  <c r="W634" i="6"/>
  <c r="V634" i="6"/>
  <c r="U634" i="6"/>
  <c r="T634" i="6"/>
  <c r="S634" i="6"/>
  <c r="R634" i="6"/>
  <c r="Q634" i="6"/>
  <c r="P634" i="6"/>
  <c r="O634" i="6"/>
  <c r="N634" i="6"/>
  <c r="M634" i="6"/>
  <c r="L634" i="6"/>
  <c r="W633" i="6"/>
  <c r="C28" i="3" s="1"/>
  <c r="V633" i="6"/>
  <c r="U633" i="6"/>
  <c r="T633" i="6"/>
  <c r="S633" i="6"/>
  <c r="R633" i="6"/>
  <c r="Q633" i="6"/>
  <c r="P633" i="6"/>
  <c r="O633" i="6"/>
  <c r="N633" i="6"/>
  <c r="M633" i="6"/>
  <c r="L633" i="6"/>
  <c r="W632" i="6"/>
  <c r="V632" i="6"/>
  <c r="U632" i="6"/>
  <c r="T632" i="6"/>
  <c r="S632" i="6"/>
  <c r="R632" i="6"/>
  <c r="Q632" i="6"/>
  <c r="P632" i="6"/>
  <c r="O632" i="6"/>
  <c r="N632" i="6"/>
  <c r="M632" i="6"/>
  <c r="L632" i="6"/>
  <c r="W631" i="6"/>
  <c r="V631" i="6"/>
  <c r="U631" i="6"/>
  <c r="T631" i="6"/>
  <c r="S631" i="6"/>
  <c r="R631" i="6"/>
  <c r="Q631" i="6"/>
  <c r="P631" i="6"/>
  <c r="O631" i="6"/>
  <c r="N631" i="6"/>
  <c r="M631" i="6"/>
  <c r="L631" i="6"/>
  <c r="W630" i="6"/>
  <c r="V630" i="6"/>
  <c r="U630" i="6"/>
  <c r="T630" i="6"/>
  <c r="S630" i="6"/>
  <c r="R630" i="6"/>
  <c r="Q630" i="6"/>
  <c r="P630" i="6"/>
  <c r="O630" i="6"/>
  <c r="N630" i="6"/>
  <c r="M630" i="6"/>
  <c r="L630" i="6"/>
  <c r="W629" i="6"/>
  <c r="V629" i="6"/>
  <c r="U629" i="6"/>
  <c r="T629" i="6"/>
  <c r="S629" i="6"/>
  <c r="R629" i="6"/>
  <c r="Q629" i="6"/>
  <c r="P629" i="6"/>
  <c r="O629" i="6"/>
  <c r="N629" i="6"/>
  <c r="M629" i="6"/>
  <c r="L629" i="6"/>
  <c r="W628" i="6"/>
  <c r="V628" i="6"/>
  <c r="U628" i="6"/>
  <c r="T628" i="6"/>
  <c r="S628" i="6"/>
  <c r="R628" i="6"/>
  <c r="Q628" i="6"/>
  <c r="P628" i="6"/>
  <c r="O628" i="6"/>
  <c r="N628" i="6"/>
  <c r="M628" i="6"/>
  <c r="L628" i="6"/>
  <c r="W627" i="6"/>
  <c r="V627" i="6"/>
  <c r="U627" i="6"/>
  <c r="T627" i="6"/>
  <c r="S627" i="6"/>
  <c r="R627" i="6"/>
  <c r="Q627" i="6"/>
  <c r="P627" i="6"/>
  <c r="O627" i="6"/>
  <c r="N627" i="6"/>
  <c r="M627" i="6"/>
  <c r="L627" i="6"/>
  <c r="W626" i="6"/>
  <c r="V626" i="6"/>
  <c r="U626" i="6"/>
  <c r="T626" i="6"/>
  <c r="S626" i="6"/>
  <c r="R626" i="6"/>
  <c r="Q626" i="6"/>
  <c r="P626" i="6"/>
  <c r="O626" i="6"/>
  <c r="N626" i="6"/>
  <c r="M626" i="6"/>
  <c r="L626" i="6"/>
  <c r="W625" i="6"/>
  <c r="C27" i="3" s="1"/>
  <c r="V625" i="6"/>
  <c r="U625" i="6"/>
  <c r="T625" i="6"/>
  <c r="S625" i="6"/>
  <c r="R625" i="6"/>
  <c r="Q625" i="6"/>
  <c r="P625" i="6"/>
  <c r="O625" i="6"/>
  <c r="N625" i="6"/>
  <c r="M625" i="6"/>
  <c r="L625" i="6"/>
  <c r="W624" i="6"/>
  <c r="V624" i="6"/>
  <c r="U624" i="6"/>
  <c r="T624" i="6"/>
  <c r="S624" i="6"/>
  <c r="R624" i="6"/>
  <c r="Q624" i="6"/>
  <c r="P624" i="6"/>
  <c r="O624" i="6"/>
  <c r="N624" i="6"/>
  <c r="M624" i="6"/>
  <c r="L624" i="6"/>
  <c r="W623" i="6"/>
  <c r="V623" i="6"/>
  <c r="U623" i="6"/>
  <c r="T623" i="6"/>
  <c r="S623" i="6"/>
  <c r="R623" i="6"/>
  <c r="Q623" i="6"/>
  <c r="P623" i="6"/>
  <c r="O623" i="6"/>
  <c r="N623" i="6"/>
  <c r="M623" i="6"/>
  <c r="L623" i="6"/>
  <c r="W622" i="6"/>
  <c r="V622" i="6"/>
  <c r="U622" i="6"/>
  <c r="T622" i="6"/>
  <c r="S622" i="6"/>
  <c r="R622" i="6"/>
  <c r="Q622" i="6"/>
  <c r="P622" i="6"/>
  <c r="O622" i="6"/>
  <c r="N622" i="6"/>
  <c r="M622" i="6"/>
  <c r="L622" i="6"/>
  <c r="W621" i="6"/>
  <c r="V621" i="6"/>
  <c r="U621" i="6"/>
  <c r="T621" i="6"/>
  <c r="S621" i="6"/>
  <c r="R621" i="6"/>
  <c r="Q621" i="6"/>
  <c r="P621" i="6"/>
  <c r="O621" i="6"/>
  <c r="N621" i="6"/>
  <c r="M621" i="6"/>
  <c r="L621" i="6"/>
  <c r="W620" i="6"/>
  <c r="V620" i="6"/>
  <c r="U620" i="6"/>
  <c r="T620" i="6"/>
  <c r="S620" i="6"/>
  <c r="R620" i="6"/>
  <c r="Q620" i="6"/>
  <c r="P620" i="6"/>
  <c r="O620" i="6"/>
  <c r="N620" i="6"/>
  <c r="M620" i="6"/>
  <c r="L620" i="6"/>
  <c r="W619" i="6"/>
  <c r="V619" i="6"/>
  <c r="U619" i="6"/>
  <c r="T619" i="6"/>
  <c r="S619" i="6"/>
  <c r="R619" i="6"/>
  <c r="Q619" i="6"/>
  <c r="P619" i="6"/>
  <c r="O619" i="6"/>
  <c r="N619" i="6"/>
  <c r="M619" i="6"/>
  <c r="L619" i="6"/>
  <c r="W618" i="6"/>
  <c r="V618" i="6"/>
  <c r="U618" i="6"/>
  <c r="T618" i="6"/>
  <c r="S618" i="6"/>
  <c r="R618" i="6"/>
  <c r="Q618" i="6"/>
  <c r="P618" i="6"/>
  <c r="O618" i="6"/>
  <c r="N618" i="6"/>
  <c r="M618" i="6"/>
  <c r="L618" i="6"/>
  <c r="W617" i="6"/>
  <c r="V617" i="6"/>
  <c r="U617" i="6"/>
  <c r="T617" i="6"/>
  <c r="S617" i="6"/>
  <c r="R617" i="6"/>
  <c r="Q617" i="6"/>
  <c r="P617" i="6"/>
  <c r="O617" i="6"/>
  <c r="N617" i="6"/>
  <c r="M617" i="6"/>
  <c r="L617" i="6"/>
  <c r="W616" i="6"/>
  <c r="C10" i="3" s="1"/>
  <c r="V616" i="6"/>
  <c r="U616" i="6"/>
  <c r="T616" i="6"/>
  <c r="S616" i="6"/>
  <c r="R616" i="6"/>
  <c r="Q616" i="6"/>
  <c r="P616" i="6"/>
  <c r="O616" i="6"/>
  <c r="N616" i="6"/>
  <c r="M616" i="6"/>
  <c r="L616" i="6"/>
  <c r="W615" i="6"/>
  <c r="V615" i="6"/>
  <c r="U615" i="6"/>
  <c r="T615" i="6"/>
  <c r="S615" i="6"/>
  <c r="R615" i="6"/>
  <c r="Q615" i="6"/>
  <c r="P615" i="6"/>
  <c r="O615" i="6"/>
  <c r="N615" i="6"/>
  <c r="M615" i="6"/>
  <c r="L615" i="6"/>
  <c r="W614" i="6"/>
  <c r="V614" i="6"/>
  <c r="U614" i="6"/>
  <c r="T614" i="6"/>
  <c r="S614" i="6"/>
  <c r="R614" i="6"/>
  <c r="Q614" i="6"/>
  <c r="P614" i="6"/>
  <c r="O614" i="6"/>
  <c r="N614" i="6"/>
  <c r="M614" i="6"/>
  <c r="L614" i="6"/>
  <c r="W613" i="6"/>
  <c r="V613" i="6"/>
  <c r="U613" i="6"/>
  <c r="T613" i="6"/>
  <c r="S613" i="6"/>
  <c r="R613" i="6"/>
  <c r="Q613" i="6"/>
  <c r="P613" i="6"/>
  <c r="O613" i="6"/>
  <c r="N613" i="6"/>
  <c r="M613" i="6"/>
  <c r="L613" i="6"/>
  <c r="W612" i="6"/>
  <c r="V612" i="6"/>
  <c r="U612" i="6"/>
  <c r="T612" i="6"/>
  <c r="S612" i="6"/>
  <c r="R612" i="6"/>
  <c r="Q612" i="6"/>
  <c r="P612" i="6"/>
  <c r="O612" i="6"/>
  <c r="N612" i="6"/>
  <c r="M612" i="6"/>
  <c r="L612" i="6"/>
  <c r="W611" i="6"/>
  <c r="V611" i="6"/>
  <c r="U611" i="6"/>
  <c r="T611" i="6"/>
  <c r="S611" i="6"/>
  <c r="R611" i="6"/>
  <c r="Q611" i="6"/>
  <c r="P611" i="6"/>
  <c r="O611" i="6"/>
  <c r="N611" i="6"/>
  <c r="M611" i="6"/>
  <c r="L611" i="6"/>
  <c r="W610" i="6"/>
  <c r="V610" i="6"/>
  <c r="U610" i="6"/>
  <c r="T610" i="6"/>
  <c r="S610" i="6"/>
  <c r="R610" i="6"/>
  <c r="Q610" i="6"/>
  <c r="P610" i="6"/>
  <c r="O610" i="6"/>
  <c r="N610" i="6"/>
  <c r="M610" i="6"/>
  <c r="L610" i="6"/>
  <c r="W609" i="6"/>
  <c r="V609" i="6"/>
  <c r="U609" i="6"/>
  <c r="T609" i="6"/>
  <c r="S609" i="6"/>
  <c r="R609" i="6"/>
  <c r="Q609" i="6"/>
  <c r="P609" i="6"/>
  <c r="O609" i="6"/>
  <c r="N609" i="6"/>
  <c r="M609" i="6"/>
  <c r="L609" i="6"/>
  <c r="W608" i="6"/>
  <c r="V608" i="6"/>
  <c r="U608" i="6"/>
  <c r="T608" i="6"/>
  <c r="S608" i="6"/>
  <c r="R608" i="6"/>
  <c r="Q608" i="6"/>
  <c r="P608" i="6"/>
  <c r="O608" i="6"/>
  <c r="N608" i="6"/>
  <c r="M608" i="6"/>
  <c r="L608" i="6"/>
  <c r="W607" i="6"/>
  <c r="V607" i="6"/>
  <c r="U607" i="6"/>
  <c r="T607" i="6"/>
  <c r="S607" i="6"/>
  <c r="R607" i="6"/>
  <c r="Q607" i="6"/>
  <c r="P607" i="6"/>
  <c r="O607" i="6"/>
  <c r="N607" i="6"/>
  <c r="M607" i="6"/>
  <c r="L607" i="6"/>
  <c r="W606" i="6"/>
  <c r="C7" i="3" s="1"/>
  <c r="V606" i="6"/>
  <c r="U606" i="6"/>
  <c r="T606" i="6"/>
  <c r="S606" i="6"/>
  <c r="R606" i="6"/>
  <c r="Q606" i="6"/>
  <c r="P606" i="6"/>
  <c r="O606" i="6"/>
  <c r="N606" i="6"/>
  <c r="M606" i="6"/>
  <c r="L606" i="6"/>
  <c r="W605" i="6"/>
  <c r="V605" i="6"/>
  <c r="U605" i="6"/>
  <c r="T605" i="6"/>
  <c r="S605" i="6"/>
  <c r="R605" i="6"/>
  <c r="Q605" i="6"/>
  <c r="P605" i="6"/>
  <c r="O605" i="6"/>
  <c r="N605" i="6"/>
  <c r="M605" i="6"/>
  <c r="L605" i="6"/>
  <c r="W604" i="6"/>
  <c r="V604" i="6"/>
  <c r="U604" i="6"/>
  <c r="T604" i="6"/>
  <c r="S604" i="6"/>
  <c r="R604" i="6"/>
  <c r="Q604" i="6"/>
  <c r="P604" i="6"/>
  <c r="O604" i="6"/>
  <c r="N604" i="6"/>
  <c r="M604" i="6"/>
  <c r="L604" i="6"/>
  <c r="W603" i="6"/>
  <c r="V603" i="6"/>
  <c r="U603" i="6"/>
  <c r="T603" i="6"/>
  <c r="S603" i="6"/>
  <c r="R603" i="6"/>
  <c r="Q603" i="6"/>
  <c r="P603" i="6"/>
  <c r="O603" i="6"/>
  <c r="N603" i="6"/>
  <c r="M603" i="6"/>
  <c r="L603" i="6"/>
  <c r="W602" i="6"/>
  <c r="V602" i="6"/>
  <c r="U602" i="6"/>
  <c r="T602" i="6"/>
  <c r="S602" i="6"/>
  <c r="R602" i="6"/>
  <c r="Q602" i="6"/>
  <c r="P602" i="6"/>
  <c r="O602" i="6"/>
  <c r="N602" i="6"/>
  <c r="M602" i="6"/>
  <c r="L602" i="6"/>
  <c r="W601" i="6"/>
  <c r="V601" i="6"/>
  <c r="U601" i="6"/>
  <c r="T601" i="6"/>
  <c r="S601" i="6"/>
  <c r="R601" i="6"/>
  <c r="Q601" i="6"/>
  <c r="P601" i="6"/>
  <c r="O601" i="6"/>
  <c r="N601" i="6"/>
  <c r="M601" i="6"/>
  <c r="L601" i="6"/>
  <c r="W600" i="6"/>
  <c r="C18" i="3" s="1"/>
  <c r="V600" i="6"/>
  <c r="U600" i="6"/>
  <c r="T600" i="6"/>
  <c r="S600" i="6"/>
  <c r="R600" i="6"/>
  <c r="Q600" i="6"/>
  <c r="P600" i="6"/>
  <c r="O600" i="6"/>
  <c r="N600" i="6"/>
  <c r="M600" i="6"/>
  <c r="L600" i="6"/>
  <c r="W599" i="6"/>
  <c r="C19" i="3" s="1"/>
  <c r="V599" i="6"/>
  <c r="U599" i="6"/>
  <c r="T599" i="6"/>
  <c r="S599" i="6"/>
  <c r="R599" i="6"/>
  <c r="Q599" i="6"/>
  <c r="P599" i="6"/>
  <c r="O599" i="6"/>
  <c r="N599" i="6"/>
  <c r="M599" i="6"/>
  <c r="L599" i="6"/>
  <c r="W598" i="6"/>
  <c r="V598" i="6"/>
  <c r="U598" i="6"/>
  <c r="T598" i="6"/>
  <c r="S598" i="6"/>
  <c r="R598" i="6"/>
  <c r="Q598" i="6"/>
  <c r="P598" i="6"/>
  <c r="O598" i="6"/>
  <c r="N598" i="6"/>
  <c r="M598" i="6"/>
  <c r="L598" i="6"/>
  <c r="W597" i="6"/>
  <c r="V597" i="6"/>
  <c r="U597" i="6"/>
  <c r="T597" i="6"/>
  <c r="S597" i="6"/>
  <c r="R597" i="6"/>
  <c r="Q597" i="6"/>
  <c r="P597" i="6"/>
  <c r="O597" i="6"/>
  <c r="N597" i="6"/>
  <c r="M597" i="6"/>
  <c r="L597" i="6"/>
  <c r="W596" i="6"/>
  <c r="C24" i="3" s="1"/>
  <c r="V596" i="6"/>
  <c r="U596" i="6"/>
  <c r="T596" i="6"/>
  <c r="S596" i="6"/>
  <c r="R596" i="6"/>
  <c r="Q596" i="6"/>
  <c r="P596" i="6"/>
  <c r="O596" i="6"/>
  <c r="N596" i="6"/>
  <c r="M596" i="6"/>
  <c r="L596" i="6"/>
  <c r="W595" i="6"/>
  <c r="V595" i="6"/>
  <c r="U595" i="6"/>
  <c r="T595" i="6"/>
  <c r="S595" i="6"/>
  <c r="R595" i="6"/>
  <c r="Q595" i="6"/>
  <c r="P595" i="6"/>
  <c r="O595" i="6"/>
  <c r="N595" i="6"/>
  <c r="M595" i="6"/>
  <c r="L595" i="6"/>
  <c r="W594" i="6"/>
  <c r="V594" i="6"/>
  <c r="U594" i="6"/>
  <c r="T594" i="6"/>
  <c r="S594" i="6"/>
  <c r="R594" i="6"/>
  <c r="Q594" i="6"/>
  <c r="P594" i="6"/>
  <c r="O594" i="6"/>
  <c r="N594" i="6"/>
  <c r="M594" i="6"/>
  <c r="L594" i="6"/>
  <c r="W593" i="6"/>
  <c r="V593" i="6"/>
  <c r="U593" i="6"/>
  <c r="T593" i="6"/>
  <c r="S593" i="6"/>
  <c r="R593" i="6"/>
  <c r="Q593" i="6"/>
  <c r="P593" i="6"/>
  <c r="O593" i="6"/>
  <c r="N593" i="6"/>
  <c r="M593" i="6"/>
  <c r="L593" i="6"/>
  <c r="W592" i="6"/>
  <c r="V592" i="6"/>
  <c r="U592" i="6"/>
  <c r="T592" i="6"/>
  <c r="S592" i="6"/>
  <c r="R592" i="6"/>
  <c r="Q592" i="6"/>
  <c r="P592" i="6"/>
  <c r="O592" i="6"/>
  <c r="N592" i="6"/>
  <c r="M592" i="6"/>
  <c r="L592" i="6"/>
  <c r="W591" i="6"/>
  <c r="V591" i="6"/>
  <c r="U591" i="6"/>
  <c r="T591" i="6"/>
  <c r="S591" i="6"/>
  <c r="R591" i="6"/>
  <c r="Q591" i="6"/>
  <c r="P591" i="6"/>
  <c r="O591" i="6"/>
  <c r="N591" i="6"/>
  <c r="M591" i="6"/>
  <c r="L591" i="6"/>
  <c r="W590" i="6"/>
  <c r="V590" i="6"/>
  <c r="U590" i="6"/>
  <c r="T590" i="6"/>
  <c r="S590" i="6"/>
  <c r="R590" i="6"/>
  <c r="Q590" i="6"/>
  <c r="P590" i="6"/>
  <c r="O590" i="6"/>
  <c r="N590" i="6"/>
  <c r="M590" i="6"/>
  <c r="L590" i="6"/>
  <c r="W589" i="6"/>
  <c r="V589" i="6"/>
  <c r="U589" i="6"/>
  <c r="T589" i="6"/>
  <c r="S589" i="6"/>
  <c r="R589" i="6"/>
  <c r="Q589" i="6"/>
  <c r="P589" i="6"/>
  <c r="O589" i="6"/>
  <c r="N589" i="6"/>
  <c r="M589" i="6"/>
  <c r="L589" i="6"/>
  <c r="W588" i="6"/>
  <c r="C16" i="3" s="1"/>
  <c r="V588" i="6"/>
  <c r="U588" i="6"/>
  <c r="T588" i="6"/>
  <c r="S588" i="6"/>
  <c r="R588" i="6"/>
  <c r="Q588" i="6"/>
  <c r="P588" i="6"/>
  <c r="O588" i="6"/>
  <c r="N588" i="6"/>
  <c r="M588" i="6"/>
  <c r="L588" i="6"/>
  <c r="W587" i="6"/>
  <c r="C15" i="3" s="1"/>
  <c r="V587" i="6"/>
  <c r="U587" i="6"/>
  <c r="T587" i="6"/>
  <c r="S587" i="6"/>
  <c r="R587" i="6"/>
  <c r="Q587" i="6"/>
  <c r="P587" i="6"/>
  <c r="O587" i="6"/>
  <c r="N587" i="6"/>
  <c r="M587" i="6"/>
  <c r="L587" i="6"/>
  <c r="W586" i="6"/>
  <c r="V586" i="6"/>
  <c r="U586" i="6"/>
  <c r="T586" i="6"/>
  <c r="S586" i="6"/>
  <c r="R586" i="6"/>
  <c r="Q586" i="6"/>
  <c r="P586" i="6"/>
  <c r="O586" i="6"/>
  <c r="N586" i="6"/>
  <c r="M586" i="6"/>
  <c r="L586" i="6"/>
  <c r="W585" i="6"/>
  <c r="V585" i="6"/>
  <c r="U585" i="6"/>
  <c r="T585" i="6"/>
  <c r="S585" i="6"/>
  <c r="R585" i="6"/>
  <c r="Q585" i="6"/>
  <c r="P585" i="6"/>
  <c r="O585" i="6"/>
  <c r="N585" i="6"/>
  <c r="M585" i="6"/>
  <c r="L585" i="6"/>
  <c r="W584" i="6"/>
  <c r="V584" i="6"/>
  <c r="U584" i="6"/>
  <c r="T584" i="6"/>
  <c r="S584" i="6"/>
  <c r="R584" i="6"/>
  <c r="Q584" i="6"/>
  <c r="P584" i="6"/>
  <c r="O584" i="6"/>
  <c r="N584" i="6"/>
  <c r="M584" i="6"/>
  <c r="L584" i="6"/>
  <c r="W583" i="6"/>
  <c r="V583" i="6"/>
  <c r="U583" i="6"/>
  <c r="T583" i="6"/>
  <c r="S583" i="6"/>
  <c r="R583" i="6"/>
  <c r="Q583" i="6"/>
  <c r="P583" i="6"/>
  <c r="O583" i="6"/>
  <c r="N583" i="6"/>
  <c r="M583" i="6"/>
  <c r="L583" i="6"/>
  <c r="W582" i="6"/>
  <c r="V582" i="6"/>
  <c r="U582" i="6"/>
  <c r="T582" i="6"/>
  <c r="S582" i="6"/>
  <c r="R582" i="6"/>
  <c r="Q582" i="6"/>
  <c r="P582" i="6"/>
  <c r="O582" i="6"/>
  <c r="N582" i="6"/>
  <c r="M582" i="6"/>
  <c r="L582" i="6"/>
  <c r="W581" i="6"/>
  <c r="V581" i="6"/>
  <c r="U581" i="6"/>
  <c r="T581" i="6"/>
  <c r="S581" i="6"/>
  <c r="R581" i="6"/>
  <c r="Q581" i="6"/>
  <c r="P581" i="6"/>
  <c r="O581" i="6"/>
  <c r="N581" i="6"/>
  <c r="M581" i="6"/>
  <c r="L581" i="6"/>
  <c r="W580" i="6"/>
  <c r="V580" i="6"/>
  <c r="U580" i="6"/>
  <c r="T580" i="6"/>
  <c r="S580" i="6"/>
  <c r="R580" i="6"/>
  <c r="Q580" i="6"/>
  <c r="P580" i="6"/>
  <c r="O580" i="6"/>
  <c r="N580" i="6"/>
  <c r="M580" i="6"/>
  <c r="L580" i="6"/>
  <c r="W579" i="6"/>
  <c r="V579" i="6"/>
  <c r="U579" i="6"/>
  <c r="T579" i="6"/>
  <c r="S579" i="6"/>
  <c r="R579" i="6"/>
  <c r="Q579" i="6"/>
  <c r="P579" i="6"/>
  <c r="O579" i="6"/>
  <c r="N579" i="6"/>
  <c r="M579" i="6"/>
  <c r="L579" i="6"/>
  <c r="W578" i="6"/>
  <c r="V578" i="6"/>
  <c r="U578" i="6"/>
  <c r="T578" i="6"/>
  <c r="S578" i="6"/>
  <c r="R578" i="6"/>
  <c r="Q578" i="6"/>
  <c r="P578" i="6"/>
  <c r="O578" i="6"/>
  <c r="N578" i="6"/>
  <c r="M578" i="6"/>
  <c r="L578" i="6"/>
  <c r="W577" i="6"/>
  <c r="V577" i="6"/>
  <c r="U577" i="6"/>
  <c r="T577" i="6"/>
  <c r="S577" i="6"/>
  <c r="R577" i="6"/>
  <c r="Q577" i="6"/>
  <c r="P577" i="6"/>
  <c r="O577" i="6"/>
  <c r="N577" i="6"/>
  <c r="M577" i="6"/>
  <c r="L577" i="6"/>
  <c r="W576" i="6"/>
  <c r="V576" i="6"/>
  <c r="U576" i="6"/>
  <c r="T576" i="6"/>
  <c r="S576" i="6"/>
  <c r="R576" i="6"/>
  <c r="Q576" i="6"/>
  <c r="P576" i="6"/>
  <c r="O576" i="6"/>
  <c r="N576" i="6"/>
  <c r="M576" i="6"/>
  <c r="L576" i="6"/>
  <c r="W575" i="6"/>
  <c r="V575" i="6"/>
  <c r="U575" i="6"/>
  <c r="T575" i="6"/>
  <c r="S575" i="6"/>
  <c r="R575" i="6"/>
  <c r="Q575" i="6"/>
  <c r="P575" i="6"/>
  <c r="O575" i="6"/>
  <c r="N575" i="6"/>
  <c r="M575" i="6"/>
  <c r="L575" i="6"/>
  <c r="W574" i="6"/>
  <c r="V574" i="6"/>
  <c r="U574" i="6"/>
  <c r="T574" i="6"/>
  <c r="S574" i="6"/>
  <c r="R574" i="6"/>
  <c r="Q574" i="6"/>
  <c r="P574" i="6"/>
  <c r="O574" i="6"/>
  <c r="N574" i="6"/>
  <c r="M574" i="6"/>
  <c r="L574" i="6"/>
  <c r="W573" i="6"/>
  <c r="V573" i="6"/>
  <c r="U573" i="6"/>
  <c r="T573" i="6"/>
  <c r="S573" i="6"/>
  <c r="R573" i="6"/>
  <c r="Q573" i="6"/>
  <c r="P573" i="6"/>
  <c r="O573" i="6"/>
  <c r="N573" i="6"/>
  <c r="M573" i="6"/>
  <c r="L573" i="6"/>
  <c r="W572" i="6"/>
  <c r="V572" i="6"/>
  <c r="U572" i="6"/>
  <c r="T572" i="6"/>
  <c r="S572" i="6"/>
  <c r="R572" i="6"/>
  <c r="Q572" i="6"/>
  <c r="P572" i="6"/>
  <c r="O572" i="6"/>
  <c r="N572" i="6"/>
  <c r="M572" i="6"/>
  <c r="L572" i="6"/>
  <c r="W571" i="6"/>
  <c r="V571" i="6"/>
  <c r="U571" i="6"/>
  <c r="T571" i="6"/>
  <c r="S571" i="6"/>
  <c r="R571" i="6"/>
  <c r="Q571" i="6"/>
  <c r="P571" i="6"/>
  <c r="O571" i="6"/>
  <c r="N571" i="6"/>
  <c r="M571" i="6"/>
  <c r="L571" i="6"/>
  <c r="W570" i="6"/>
  <c r="V570" i="6"/>
  <c r="U570" i="6"/>
  <c r="T570" i="6"/>
  <c r="S570" i="6"/>
  <c r="R570" i="6"/>
  <c r="Q570" i="6"/>
  <c r="P570" i="6"/>
  <c r="O570" i="6"/>
  <c r="N570" i="6"/>
  <c r="M570" i="6"/>
  <c r="L570" i="6"/>
  <c r="W569" i="6"/>
  <c r="V569" i="6"/>
  <c r="U569" i="6"/>
  <c r="T569" i="6"/>
  <c r="S569" i="6"/>
  <c r="R569" i="6"/>
  <c r="Q569" i="6"/>
  <c r="P569" i="6"/>
  <c r="O569" i="6"/>
  <c r="N569" i="6"/>
  <c r="M569" i="6"/>
  <c r="L569" i="6"/>
  <c r="W568" i="6"/>
  <c r="V568" i="6"/>
  <c r="U568" i="6"/>
  <c r="T568" i="6"/>
  <c r="S568" i="6"/>
  <c r="R568" i="6"/>
  <c r="Q568" i="6"/>
  <c r="P568" i="6"/>
  <c r="O568" i="6"/>
  <c r="N568" i="6"/>
  <c r="M568" i="6"/>
  <c r="L568" i="6"/>
  <c r="W567" i="6"/>
  <c r="V567" i="6"/>
  <c r="U567" i="6"/>
  <c r="T567" i="6"/>
  <c r="S567" i="6"/>
  <c r="R567" i="6"/>
  <c r="Q567" i="6"/>
  <c r="P567" i="6"/>
  <c r="O567" i="6"/>
  <c r="N567" i="6"/>
  <c r="M567" i="6"/>
  <c r="L567" i="6"/>
  <c r="W566" i="6"/>
  <c r="V566" i="6"/>
  <c r="U566" i="6"/>
  <c r="T566" i="6"/>
  <c r="S566" i="6"/>
  <c r="R566" i="6"/>
  <c r="Q566" i="6"/>
  <c r="P566" i="6"/>
  <c r="O566" i="6"/>
  <c r="N566" i="6"/>
  <c r="M566" i="6"/>
  <c r="L566" i="6"/>
  <c r="W565" i="6"/>
  <c r="V565" i="6"/>
  <c r="U565" i="6"/>
  <c r="T565" i="6"/>
  <c r="S565" i="6"/>
  <c r="R565" i="6"/>
  <c r="Q565" i="6"/>
  <c r="P565" i="6"/>
  <c r="O565" i="6"/>
  <c r="N565" i="6"/>
  <c r="M565" i="6"/>
  <c r="L565" i="6"/>
  <c r="W564" i="6"/>
  <c r="V564" i="6"/>
  <c r="U564" i="6"/>
  <c r="T564" i="6"/>
  <c r="S564" i="6"/>
  <c r="R564" i="6"/>
  <c r="Q564" i="6"/>
  <c r="P564" i="6"/>
  <c r="O564" i="6"/>
  <c r="N564" i="6"/>
  <c r="M564" i="6"/>
  <c r="L564" i="6"/>
  <c r="W563" i="6"/>
  <c r="V563" i="6"/>
  <c r="U563" i="6"/>
  <c r="T563" i="6"/>
  <c r="S563" i="6"/>
  <c r="R563" i="6"/>
  <c r="Q563" i="6"/>
  <c r="P563" i="6"/>
  <c r="O563" i="6"/>
  <c r="N563" i="6"/>
  <c r="M563" i="6"/>
  <c r="L563" i="6"/>
  <c r="W562" i="6"/>
  <c r="V562" i="6"/>
  <c r="U562" i="6"/>
  <c r="T562" i="6"/>
  <c r="S562" i="6"/>
  <c r="R562" i="6"/>
  <c r="Q562" i="6"/>
  <c r="P562" i="6"/>
  <c r="O562" i="6"/>
  <c r="N562" i="6"/>
  <c r="M562" i="6"/>
  <c r="L562" i="6"/>
  <c r="W561" i="6"/>
  <c r="V561" i="6"/>
  <c r="U561" i="6"/>
  <c r="T561" i="6"/>
  <c r="S561" i="6"/>
  <c r="R561" i="6"/>
  <c r="Q561" i="6"/>
  <c r="P561" i="6"/>
  <c r="O561" i="6"/>
  <c r="N561" i="6"/>
  <c r="M561" i="6"/>
  <c r="L561" i="6"/>
  <c r="W560" i="6"/>
  <c r="V560" i="6"/>
  <c r="U560" i="6"/>
  <c r="T560" i="6"/>
  <c r="S560" i="6"/>
  <c r="R560" i="6"/>
  <c r="Q560" i="6"/>
  <c r="P560" i="6"/>
  <c r="O560" i="6"/>
  <c r="N560" i="6"/>
  <c r="M560" i="6"/>
  <c r="L560" i="6"/>
  <c r="W559" i="6"/>
  <c r="V559" i="6"/>
  <c r="U559" i="6"/>
  <c r="T559" i="6"/>
  <c r="S559" i="6"/>
  <c r="R559" i="6"/>
  <c r="Q559" i="6"/>
  <c r="P559" i="6"/>
  <c r="O559" i="6"/>
  <c r="N559" i="6"/>
  <c r="M559" i="6"/>
  <c r="L559" i="6"/>
  <c r="W558" i="6"/>
  <c r="V558" i="6"/>
  <c r="U558" i="6"/>
  <c r="T558" i="6"/>
  <c r="S558" i="6"/>
  <c r="R558" i="6"/>
  <c r="Q558" i="6"/>
  <c r="P558" i="6"/>
  <c r="O558" i="6"/>
  <c r="N558" i="6"/>
  <c r="M558" i="6"/>
  <c r="L558" i="6"/>
  <c r="W557" i="6"/>
  <c r="V557" i="6"/>
  <c r="U557" i="6"/>
  <c r="T557" i="6"/>
  <c r="S557" i="6"/>
  <c r="R557" i="6"/>
  <c r="Q557" i="6"/>
  <c r="P557" i="6"/>
  <c r="O557" i="6"/>
  <c r="N557" i="6"/>
  <c r="M557" i="6"/>
  <c r="L557" i="6"/>
  <c r="W556" i="6"/>
  <c r="V556" i="6"/>
  <c r="U556" i="6"/>
  <c r="T556" i="6"/>
  <c r="S556" i="6"/>
  <c r="R556" i="6"/>
  <c r="Q556" i="6"/>
  <c r="P556" i="6"/>
  <c r="O556" i="6"/>
  <c r="N556" i="6"/>
  <c r="M556" i="6"/>
  <c r="L556" i="6"/>
  <c r="W555" i="6"/>
  <c r="V555" i="6"/>
  <c r="U555" i="6"/>
  <c r="T555" i="6"/>
  <c r="S555" i="6"/>
  <c r="R555" i="6"/>
  <c r="Q555" i="6"/>
  <c r="P555" i="6"/>
  <c r="O555" i="6"/>
  <c r="N555" i="6"/>
  <c r="M555" i="6"/>
  <c r="L555" i="6"/>
  <c r="W554" i="6"/>
  <c r="V554" i="6"/>
  <c r="U554" i="6"/>
  <c r="T554" i="6"/>
  <c r="S554" i="6"/>
  <c r="R554" i="6"/>
  <c r="Q554" i="6"/>
  <c r="P554" i="6"/>
  <c r="O554" i="6"/>
  <c r="N554" i="6"/>
  <c r="M554" i="6"/>
  <c r="L554" i="6"/>
  <c r="W553" i="6"/>
  <c r="V553" i="6"/>
  <c r="U553" i="6"/>
  <c r="T553" i="6"/>
  <c r="S553" i="6"/>
  <c r="R553" i="6"/>
  <c r="Q553" i="6"/>
  <c r="P553" i="6"/>
  <c r="O553" i="6"/>
  <c r="N553" i="6"/>
  <c r="M553" i="6"/>
  <c r="L553" i="6"/>
  <c r="W552" i="6"/>
  <c r="C14" i="3" s="1"/>
  <c r="V552" i="6"/>
  <c r="U552" i="6"/>
  <c r="T552" i="6"/>
  <c r="S552" i="6"/>
  <c r="R552" i="6"/>
  <c r="Q552" i="6"/>
  <c r="P552" i="6"/>
  <c r="O552" i="6"/>
  <c r="N552" i="6"/>
  <c r="M552" i="6"/>
  <c r="L552" i="6"/>
  <c r="W551" i="6"/>
  <c r="S551" i="6"/>
  <c r="R551" i="6"/>
  <c r="Q551" i="6"/>
  <c r="O551" i="6"/>
  <c r="M551" i="6"/>
  <c r="L551" i="6"/>
  <c r="W550" i="6"/>
  <c r="V550" i="6"/>
  <c r="U550" i="6"/>
  <c r="T550" i="6"/>
  <c r="S550" i="6"/>
  <c r="R550" i="6"/>
  <c r="Q550" i="6"/>
  <c r="P550" i="6"/>
  <c r="O550" i="6"/>
  <c r="N550" i="6"/>
  <c r="M550" i="6"/>
  <c r="L550" i="6"/>
  <c r="W549" i="6"/>
  <c r="V549" i="6"/>
  <c r="U549" i="6"/>
  <c r="T549" i="6"/>
  <c r="S549" i="6"/>
  <c r="R549" i="6"/>
  <c r="Q549" i="6"/>
  <c r="P549" i="6"/>
  <c r="O549" i="6"/>
  <c r="N549" i="6"/>
  <c r="M549" i="6"/>
  <c r="L549" i="6"/>
  <c r="W548" i="6"/>
  <c r="V548" i="6"/>
  <c r="U548" i="6"/>
  <c r="T548" i="6"/>
  <c r="S548" i="6"/>
  <c r="R548" i="6"/>
  <c r="Q548" i="6"/>
  <c r="P548" i="6"/>
  <c r="O548" i="6"/>
  <c r="N548" i="6"/>
  <c r="M548" i="6"/>
  <c r="L548" i="6"/>
  <c r="W547" i="6"/>
  <c r="V547" i="6"/>
  <c r="U547" i="6"/>
  <c r="T547" i="6"/>
  <c r="S547" i="6"/>
  <c r="R547" i="6"/>
  <c r="Q547" i="6"/>
  <c r="P547" i="6"/>
  <c r="O547" i="6"/>
  <c r="N547" i="6"/>
  <c r="M547" i="6"/>
  <c r="L547" i="6"/>
  <c r="W546" i="6"/>
  <c r="V546" i="6"/>
  <c r="U546" i="6"/>
  <c r="T546" i="6"/>
  <c r="S546" i="6"/>
  <c r="R546" i="6"/>
  <c r="Q546" i="6"/>
  <c r="P546" i="6"/>
  <c r="O546" i="6"/>
  <c r="N546" i="6"/>
  <c r="M546" i="6"/>
  <c r="L546" i="6"/>
  <c r="W545" i="6"/>
  <c r="V545" i="6"/>
  <c r="U545" i="6"/>
  <c r="T545" i="6"/>
  <c r="S545" i="6"/>
  <c r="R545" i="6"/>
  <c r="Q545" i="6"/>
  <c r="P545" i="6"/>
  <c r="O545" i="6"/>
  <c r="N545" i="6"/>
  <c r="M545" i="6"/>
  <c r="L545" i="6"/>
  <c r="W544" i="6"/>
  <c r="V544" i="6"/>
  <c r="U544" i="6"/>
  <c r="T544" i="6"/>
  <c r="S544" i="6"/>
  <c r="R544" i="6"/>
  <c r="Q544" i="6"/>
  <c r="P544" i="6"/>
  <c r="O544" i="6"/>
  <c r="N544" i="6"/>
  <c r="M544" i="6"/>
  <c r="L544" i="6"/>
  <c r="W543" i="6"/>
  <c r="V543" i="6"/>
  <c r="U543" i="6"/>
  <c r="T543" i="6"/>
  <c r="S543" i="6"/>
  <c r="R543" i="6"/>
  <c r="Q543" i="6"/>
  <c r="P543" i="6"/>
  <c r="O543" i="6"/>
  <c r="N543" i="6"/>
  <c r="M543" i="6"/>
  <c r="L543" i="6"/>
  <c r="W542" i="6"/>
  <c r="V542" i="6"/>
  <c r="U542" i="6"/>
  <c r="T542" i="6"/>
  <c r="S542" i="6"/>
  <c r="R542" i="6"/>
  <c r="Q542" i="6"/>
  <c r="P542" i="6"/>
  <c r="O542" i="6"/>
  <c r="N542" i="6"/>
  <c r="M542" i="6"/>
  <c r="L542" i="6"/>
  <c r="W541" i="6"/>
  <c r="V541" i="6"/>
  <c r="U541" i="6"/>
  <c r="T541" i="6"/>
  <c r="S541" i="6"/>
  <c r="R541" i="6"/>
  <c r="Q541" i="6"/>
  <c r="P541" i="6"/>
  <c r="O541" i="6"/>
  <c r="N541" i="6"/>
  <c r="M541" i="6"/>
  <c r="L541" i="6"/>
  <c r="W540" i="6"/>
  <c r="V540" i="6"/>
  <c r="U540" i="6"/>
  <c r="T540" i="6"/>
  <c r="S540" i="6"/>
  <c r="R540" i="6"/>
  <c r="Q540" i="6"/>
  <c r="P540" i="6"/>
  <c r="O540" i="6"/>
  <c r="N540" i="6"/>
  <c r="M540" i="6"/>
  <c r="L540" i="6"/>
  <c r="W539" i="6"/>
  <c r="V539" i="6"/>
  <c r="U539" i="6"/>
  <c r="T539" i="6"/>
  <c r="S539" i="6"/>
  <c r="R539" i="6"/>
  <c r="Q539" i="6"/>
  <c r="P539" i="6"/>
  <c r="O539" i="6"/>
  <c r="N539" i="6"/>
  <c r="M539" i="6"/>
  <c r="L539" i="6"/>
  <c r="W538" i="6"/>
  <c r="V538" i="6"/>
  <c r="U538" i="6"/>
  <c r="T538" i="6"/>
  <c r="S538" i="6"/>
  <c r="R538" i="6"/>
  <c r="Q538" i="6"/>
  <c r="P538" i="6"/>
  <c r="O538" i="6"/>
  <c r="N538" i="6"/>
  <c r="M538" i="6"/>
  <c r="L538" i="6"/>
  <c r="W537" i="6"/>
  <c r="V537" i="6"/>
  <c r="U537" i="6"/>
  <c r="T537" i="6"/>
  <c r="S537" i="6"/>
  <c r="R537" i="6"/>
  <c r="Q537" i="6"/>
  <c r="P537" i="6"/>
  <c r="O537" i="6"/>
  <c r="N537" i="6"/>
  <c r="M537" i="6"/>
  <c r="L537" i="6"/>
  <c r="W536" i="6"/>
  <c r="V536" i="6"/>
  <c r="U536" i="6"/>
  <c r="T536" i="6"/>
  <c r="S536" i="6"/>
  <c r="R536" i="6"/>
  <c r="Q536" i="6"/>
  <c r="P536" i="6"/>
  <c r="O536" i="6"/>
  <c r="N536" i="6"/>
  <c r="M536" i="6"/>
  <c r="L536" i="6"/>
  <c r="W535" i="6"/>
  <c r="V535" i="6"/>
  <c r="U535" i="6"/>
  <c r="T535" i="6"/>
  <c r="S535" i="6"/>
  <c r="R535" i="6"/>
  <c r="Q535" i="6"/>
  <c r="P535" i="6"/>
  <c r="O535" i="6"/>
  <c r="N535" i="6"/>
  <c r="M535" i="6"/>
  <c r="L535" i="6"/>
  <c r="W534" i="6"/>
  <c r="V534" i="6"/>
  <c r="U534" i="6"/>
  <c r="T534" i="6"/>
  <c r="S534" i="6"/>
  <c r="R534" i="6"/>
  <c r="Q534" i="6"/>
  <c r="P534" i="6"/>
  <c r="O534" i="6"/>
  <c r="N534" i="6"/>
  <c r="M534" i="6"/>
  <c r="L534" i="6"/>
  <c r="W533" i="6"/>
  <c r="V533" i="6"/>
  <c r="U533" i="6"/>
  <c r="T533" i="6"/>
  <c r="S533" i="6"/>
  <c r="R533" i="6"/>
  <c r="Q533" i="6"/>
  <c r="P533" i="6"/>
  <c r="O533" i="6"/>
  <c r="N533" i="6"/>
  <c r="M533" i="6"/>
  <c r="L533" i="6"/>
  <c r="W532" i="6"/>
  <c r="V532" i="6"/>
  <c r="U532" i="6"/>
  <c r="T532" i="6"/>
  <c r="S532" i="6"/>
  <c r="R532" i="6"/>
  <c r="Q532" i="6"/>
  <c r="P532" i="6"/>
  <c r="O532" i="6"/>
  <c r="N532" i="6"/>
  <c r="M532" i="6"/>
  <c r="L532" i="6"/>
  <c r="W531" i="6"/>
  <c r="V531" i="6"/>
  <c r="U531" i="6"/>
  <c r="T531" i="6"/>
  <c r="S531" i="6"/>
  <c r="R531" i="6"/>
  <c r="Q531" i="6"/>
  <c r="P531" i="6"/>
  <c r="O531" i="6"/>
  <c r="N531" i="6"/>
  <c r="M531" i="6"/>
  <c r="L531" i="6"/>
  <c r="W530" i="6"/>
  <c r="V530" i="6"/>
  <c r="U530" i="6"/>
  <c r="T530" i="6"/>
  <c r="S530" i="6"/>
  <c r="R530" i="6"/>
  <c r="Q530" i="6"/>
  <c r="P530" i="6"/>
  <c r="O530" i="6"/>
  <c r="N530" i="6"/>
  <c r="M530" i="6"/>
  <c r="L530" i="6"/>
  <c r="W529" i="6"/>
  <c r="V529" i="6"/>
  <c r="U529" i="6"/>
  <c r="T529" i="6"/>
  <c r="S529" i="6"/>
  <c r="R529" i="6"/>
  <c r="Q529" i="6"/>
  <c r="P529" i="6"/>
  <c r="O529" i="6"/>
  <c r="N529" i="6"/>
  <c r="M529" i="6"/>
  <c r="L529" i="6"/>
  <c r="W528" i="6"/>
  <c r="V528" i="6"/>
  <c r="U528" i="6"/>
  <c r="T528" i="6"/>
  <c r="S528" i="6"/>
  <c r="R528" i="6"/>
  <c r="Q528" i="6"/>
  <c r="P528" i="6"/>
  <c r="O528" i="6"/>
  <c r="N528" i="6"/>
  <c r="M528" i="6"/>
  <c r="L528" i="6"/>
  <c r="W527" i="6"/>
  <c r="V527" i="6"/>
  <c r="U527" i="6"/>
  <c r="T527" i="6"/>
  <c r="S527" i="6"/>
  <c r="R527" i="6"/>
  <c r="Q527" i="6"/>
  <c r="P527" i="6"/>
  <c r="O527" i="6"/>
  <c r="N527" i="6"/>
  <c r="M527" i="6"/>
  <c r="L527" i="6"/>
  <c r="W526" i="6"/>
  <c r="V526" i="6"/>
  <c r="U526" i="6"/>
  <c r="T526" i="6"/>
  <c r="S526" i="6"/>
  <c r="R526" i="6"/>
  <c r="Q526" i="6"/>
  <c r="P526" i="6"/>
  <c r="O526" i="6"/>
  <c r="N526" i="6"/>
  <c r="M526" i="6"/>
  <c r="L526" i="6"/>
  <c r="W525" i="6"/>
  <c r="V525" i="6"/>
  <c r="U525" i="6"/>
  <c r="T525" i="6"/>
  <c r="S525" i="6"/>
  <c r="R525" i="6"/>
  <c r="Q525" i="6"/>
  <c r="P525" i="6"/>
  <c r="O525" i="6"/>
  <c r="N525" i="6"/>
  <c r="M525" i="6"/>
  <c r="L525" i="6"/>
  <c r="W524" i="6"/>
  <c r="V524" i="6"/>
  <c r="U524" i="6"/>
  <c r="T524" i="6"/>
  <c r="S524" i="6"/>
  <c r="R524" i="6"/>
  <c r="Q524" i="6"/>
  <c r="P524" i="6"/>
  <c r="O524" i="6"/>
  <c r="N524" i="6"/>
  <c r="M524" i="6"/>
  <c r="L524" i="6"/>
  <c r="W523" i="6"/>
  <c r="V523" i="6"/>
  <c r="U523" i="6"/>
  <c r="T523" i="6"/>
  <c r="S523" i="6"/>
  <c r="R523" i="6"/>
  <c r="Q523" i="6"/>
  <c r="P523" i="6"/>
  <c r="O523" i="6"/>
  <c r="N523" i="6"/>
  <c r="M523" i="6"/>
  <c r="L523" i="6"/>
  <c r="W522" i="6"/>
  <c r="V522" i="6"/>
  <c r="U522" i="6"/>
  <c r="T522" i="6"/>
  <c r="S522" i="6"/>
  <c r="R522" i="6"/>
  <c r="Q522" i="6"/>
  <c r="P522" i="6"/>
  <c r="O522" i="6"/>
  <c r="N522" i="6"/>
  <c r="M522" i="6"/>
  <c r="L522" i="6"/>
  <c r="W521" i="6"/>
  <c r="V521" i="6"/>
  <c r="U521" i="6"/>
  <c r="T521" i="6"/>
  <c r="S521" i="6"/>
  <c r="R521" i="6"/>
  <c r="Q521" i="6"/>
  <c r="P521" i="6"/>
  <c r="O521" i="6"/>
  <c r="N521" i="6"/>
  <c r="M521" i="6"/>
  <c r="L521" i="6"/>
  <c r="W520" i="6"/>
  <c r="V520" i="6"/>
  <c r="U520" i="6"/>
  <c r="T520" i="6"/>
  <c r="S520" i="6"/>
  <c r="R520" i="6"/>
  <c r="Q520" i="6"/>
  <c r="P520" i="6"/>
  <c r="O520" i="6"/>
  <c r="N520" i="6"/>
  <c r="M520" i="6"/>
  <c r="L520" i="6"/>
  <c r="W519" i="6"/>
  <c r="V519" i="6"/>
  <c r="U519" i="6"/>
  <c r="T519" i="6"/>
  <c r="S519" i="6"/>
  <c r="R519" i="6"/>
  <c r="Q519" i="6"/>
  <c r="P519" i="6"/>
  <c r="O519" i="6"/>
  <c r="N519" i="6"/>
  <c r="M519" i="6"/>
  <c r="L519" i="6"/>
  <c r="W518" i="6"/>
  <c r="V518" i="6"/>
  <c r="U518" i="6"/>
  <c r="T518" i="6"/>
  <c r="S518" i="6"/>
  <c r="R518" i="6"/>
  <c r="Q518" i="6"/>
  <c r="P518" i="6"/>
  <c r="O518" i="6"/>
  <c r="N518" i="6"/>
  <c r="M518" i="6"/>
  <c r="L518" i="6"/>
  <c r="W517" i="6"/>
  <c r="V517" i="6"/>
  <c r="U517" i="6"/>
  <c r="T517" i="6"/>
  <c r="S517" i="6"/>
  <c r="R517" i="6"/>
  <c r="Q517" i="6"/>
  <c r="P517" i="6"/>
  <c r="O517" i="6"/>
  <c r="N517" i="6"/>
  <c r="M517" i="6"/>
  <c r="L517" i="6"/>
  <c r="W516" i="6"/>
  <c r="V516" i="6"/>
  <c r="U516" i="6"/>
  <c r="T516" i="6"/>
  <c r="S516" i="6"/>
  <c r="R516" i="6"/>
  <c r="Q516" i="6"/>
  <c r="P516" i="6"/>
  <c r="O516" i="6"/>
  <c r="N516" i="6"/>
  <c r="M516" i="6"/>
  <c r="L516" i="6"/>
  <c r="W515" i="6"/>
  <c r="V515" i="6"/>
  <c r="U515" i="6"/>
  <c r="T515" i="6"/>
  <c r="S515" i="6"/>
  <c r="R515" i="6"/>
  <c r="Q515" i="6"/>
  <c r="P515" i="6"/>
  <c r="O515" i="6"/>
  <c r="N515" i="6"/>
  <c r="M515" i="6"/>
  <c r="L515" i="6"/>
  <c r="W514" i="6"/>
  <c r="V514" i="6"/>
  <c r="U514" i="6"/>
  <c r="T514" i="6"/>
  <c r="S514" i="6"/>
  <c r="R514" i="6"/>
  <c r="Q514" i="6"/>
  <c r="P514" i="6"/>
  <c r="O514" i="6"/>
  <c r="N514" i="6"/>
  <c r="M514" i="6"/>
  <c r="L514" i="6"/>
  <c r="W513" i="6"/>
  <c r="V513" i="6"/>
  <c r="U513" i="6"/>
  <c r="T513" i="6"/>
  <c r="S513" i="6"/>
  <c r="R513" i="6"/>
  <c r="Q513" i="6"/>
  <c r="P513" i="6"/>
  <c r="O513" i="6"/>
  <c r="N513" i="6"/>
  <c r="M513" i="6"/>
  <c r="L513" i="6"/>
  <c r="W512" i="6"/>
  <c r="V512" i="6"/>
  <c r="U512" i="6"/>
  <c r="T512" i="6"/>
  <c r="S512" i="6"/>
  <c r="R512" i="6"/>
  <c r="Q512" i="6"/>
  <c r="P512" i="6"/>
  <c r="O512" i="6"/>
  <c r="N512" i="6"/>
  <c r="M512" i="6"/>
  <c r="L512" i="6"/>
  <c r="W511" i="6"/>
  <c r="V511" i="6"/>
  <c r="U511" i="6"/>
  <c r="T511" i="6"/>
  <c r="S511" i="6"/>
  <c r="R511" i="6"/>
  <c r="Q511" i="6"/>
  <c r="P511" i="6"/>
  <c r="O511" i="6"/>
  <c r="N511" i="6"/>
  <c r="M511" i="6"/>
  <c r="L511" i="6"/>
  <c r="W510" i="6"/>
  <c r="V510" i="6"/>
  <c r="U510" i="6"/>
  <c r="T510" i="6"/>
  <c r="S510" i="6"/>
  <c r="R510" i="6"/>
  <c r="Q510" i="6"/>
  <c r="P510" i="6"/>
  <c r="O510" i="6"/>
  <c r="N510" i="6"/>
  <c r="M510" i="6"/>
  <c r="L510" i="6"/>
  <c r="W509" i="6"/>
  <c r="V509" i="6"/>
  <c r="U509" i="6"/>
  <c r="T509" i="6"/>
  <c r="S509" i="6"/>
  <c r="R509" i="6"/>
  <c r="Q509" i="6"/>
  <c r="P509" i="6"/>
  <c r="O509" i="6"/>
  <c r="N509" i="6"/>
  <c r="M509" i="6"/>
  <c r="L509" i="6"/>
  <c r="W508" i="6"/>
  <c r="C12" i="3" s="1"/>
  <c r="V508" i="6"/>
  <c r="U508" i="6"/>
  <c r="T508" i="6"/>
  <c r="S508" i="6"/>
  <c r="R508" i="6"/>
  <c r="Q508" i="6"/>
  <c r="P508" i="6"/>
  <c r="O508" i="6"/>
  <c r="N508" i="6"/>
  <c r="M508" i="6"/>
  <c r="L508" i="6"/>
  <c r="W507" i="6"/>
  <c r="V507" i="6"/>
  <c r="U507" i="6"/>
  <c r="T507" i="6"/>
  <c r="S507" i="6"/>
  <c r="R507" i="6"/>
  <c r="Q507" i="6"/>
  <c r="P507" i="6"/>
  <c r="O507" i="6"/>
  <c r="N507" i="6"/>
  <c r="M507" i="6"/>
  <c r="L507" i="6"/>
  <c r="W506" i="6"/>
  <c r="V506" i="6"/>
  <c r="U506" i="6"/>
  <c r="T506" i="6"/>
  <c r="S506" i="6"/>
  <c r="R506" i="6"/>
  <c r="Q506" i="6"/>
  <c r="P506" i="6"/>
  <c r="O506" i="6"/>
  <c r="N506" i="6"/>
  <c r="M506" i="6"/>
  <c r="L506" i="6"/>
  <c r="W505" i="6"/>
  <c r="V505" i="6"/>
  <c r="U505" i="6"/>
  <c r="T505" i="6"/>
  <c r="S505" i="6"/>
  <c r="R505" i="6"/>
  <c r="Q505" i="6"/>
  <c r="P505" i="6"/>
  <c r="O505" i="6"/>
  <c r="N505" i="6"/>
  <c r="M505" i="6"/>
  <c r="L505" i="6"/>
  <c r="W504" i="6"/>
  <c r="V504" i="6"/>
  <c r="U504" i="6"/>
  <c r="T504" i="6"/>
  <c r="S504" i="6"/>
  <c r="R504" i="6"/>
  <c r="Q504" i="6"/>
  <c r="P504" i="6"/>
  <c r="O504" i="6"/>
  <c r="N504" i="6"/>
  <c r="M504" i="6"/>
  <c r="L504" i="6"/>
  <c r="W503" i="6"/>
  <c r="V503" i="6"/>
  <c r="U503" i="6"/>
  <c r="T503" i="6"/>
  <c r="S503" i="6"/>
  <c r="R503" i="6"/>
  <c r="Q503" i="6"/>
  <c r="P503" i="6"/>
  <c r="O503" i="6"/>
  <c r="N503" i="6"/>
  <c r="M503" i="6"/>
  <c r="L503" i="6"/>
  <c r="W502" i="6"/>
  <c r="V502" i="6"/>
  <c r="U502" i="6"/>
  <c r="T502" i="6"/>
  <c r="S502" i="6"/>
  <c r="R502" i="6"/>
  <c r="Q502" i="6"/>
  <c r="P502" i="6"/>
  <c r="O502" i="6"/>
  <c r="N502" i="6"/>
  <c r="M502" i="6"/>
  <c r="L502" i="6"/>
  <c r="W501" i="6"/>
  <c r="V501" i="6"/>
  <c r="U501" i="6"/>
  <c r="T501" i="6"/>
  <c r="S501" i="6"/>
  <c r="R501" i="6"/>
  <c r="Q501" i="6"/>
  <c r="P501" i="6"/>
  <c r="O501" i="6"/>
  <c r="N501" i="6"/>
  <c r="M501" i="6"/>
  <c r="L501" i="6"/>
  <c r="W500" i="6"/>
  <c r="V500" i="6"/>
  <c r="U500" i="6"/>
  <c r="T500" i="6"/>
  <c r="S500" i="6"/>
  <c r="R500" i="6"/>
  <c r="Q500" i="6"/>
  <c r="P500" i="6"/>
  <c r="O500" i="6"/>
  <c r="N500" i="6"/>
  <c r="M500" i="6"/>
  <c r="L500" i="6"/>
  <c r="W499" i="6"/>
  <c r="V499" i="6"/>
  <c r="U499" i="6"/>
  <c r="T499" i="6"/>
  <c r="S499" i="6"/>
  <c r="R499" i="6"/>
  <c r="Q499" i="6"/>
  <c r="P499" i="6"/>
  <c r="O499" i="6"/>
  <c r="N499" i="6"/>
  <c r="M499" i="6"/>
  <c r="L499" i="6"/>
  <c r="W498" i="6"/>
  <c r="V498" i="6"/>
  <c r="U498" i="6"/>
  <c r="T498" i="6"/>
  <c r="S498" i="6"/>
  <c r="R498" i="6"/>
  <c r="Q498" i="6"/>
  <c r="P498" i="6"/>
  <c r="O498" i="6"/>
  <c r="N498" i="6"/>
  <c r="M498" i="6"/>
  <c r="L498" i="6"/>
  <c r="W497" i="6"/>
  <c r="C11" i="3" s="1"/>
  <c r="V497" i="6"/>
  <c r="U497" i="6"/>
  <c r="T497" i="6"/>
  <c r="S497" i="6"/>
  <c r="R497" i="6"/>
  <c r="Q497" i="6"/>
  <c r="P497" i="6"/>
  <c r="O497" i="6"/>
  <c r="N497" i="6"/>
  <c r="M497" i="6"/>
  <c r="L497" i="6"/>
  <c r="W496" i="6"/>
  <c r="V496" i="6"/>
  <c r="U496" i="6"/>
  <c r="T496" i="6"/>
  <c r="S496" i="6"/>
  <c r="R496" i="6"/>
  <c r="Q496" i="6"/>
  <c r="P496" i="6"/>
  <c r="O496" i="6"/>
  <c r="N496" i="6"/>
  <c r="M496" i="6"/>
  <c r="L496" i="6"/>
  <c r="W495" i="6"/>
  <c r="V495" i="6"/>
  <c r="U495" i="6"/>
  <c r="T495" i="6"/>
  <c r="S495" i="6"/>
  <c r="R495" i="6"/>
  <c r="Q495" i="6"/>
  <c r="P495" i="6"/>
  <c r="O495" i="6"/>
  <c r="N495" i="6"/>
  <c r="M495" i="6"/>
  <c r="L495" i="6"/>
  <c r="W494" i="6"/>
  <c r="V494" i="6"/>
  <c r="U494" i="6"/>
  <c r="T494" i="6"/>
  <c r="S494" i="6"/>
  <c r="R494" i="6"/>
  <c r="Q494" i="6"/>
  <c r="P494" i="6"/>
  <c r="O494" i="6"/>
  <c r="N494" i="6"/>
  <c r="M494" i="6"/>
  <c r="L494" i="6"/>
  <c r="W493" i="6"/>
  <c r="V493" i="6"/>
  <c r="U493" i="6"/>
  <c r="T493" i="6"/>
  <c r="S493" i="6"/>
  <c r="R493" i="6"/>
  <c r="Q493" i="6"/>
  <c r="P493" i="6"/>
  <c r="O493" i="6"/>
  <c r="N493" i="6"/>
  <c r="M493" i="6"/>
  <c r="L493" i="6"/>
  <c r="W492" i="6"/>
  <c r="V492" i="6"/>
  <c r="U492" i="6"/>
  <c r="T492" i="6"/>
  <c r="S492" i="6"/>
  <c r="R492" i="6"/>
  <c r="Q492" i="6"/>
  <c r="P492" i="6"/>
  <c r="O492" i="6"/>
  <c r="N492" i="6"/>
  <c r="M492" i="6"/>
  <c r="L492" i="6"/>
  <c r="W491" i="6"/>
  <c r="V491" i="6"/>
  <c r="U491" i="6"/>
  <c r="T491" i="6"/>
  <c r="S491" i="6"/>
  <c r="R491" i="6"/>
  <c r="Q491" i="6"/>
  <c r="P491" i="6"/>
  <c r="O491" i="6"/>
  <c r="N491" i="6"/>
  <c r="M491" i="6"/>
  <c r="L491" i="6"/>
  <c r="W490" i="6"/>
  <c r="V490" i="6"/>
  <c r="U490" i="6"/>
  <c r="T490" i="6"/>
  <c r="S490" i="6"/>
  <c r="R490" i="6"/>
  <c r="Q490" i="6"/>
  <c r="P490" i="6"/>
  <c r="O490" i="6"/>
  <c r="N490" i="6"/>
  <c r="M490" i="6"/>
  <c r="L490" i="6"/>
  <c r="W489" i="6"/>
  <c r="V489" i="6"/>
  <c r="U489" i="6"/>
  <c r="T489" i="6"/>
  <c r="S489" i="6"/>
  <c r="R489" i="6"/>
  <c r="Q489" i="6"/>
  <c r="P489" i="6"/>
  <c r="O489" i="6"/>
  <c r="N489" i="6"/>
  <c r="M489" i="6"/>
  <c r="L489" i="6"/>
  <c r="W488" i="6"/>
  <c r="V488" i="6"/>
  <c r="U488" i="6"/>
  <c r="T488" i="6"/>
  <c r="S488" i="6"/>
  <c r="R488" i="6"/>
  <c r="Q488" i="6"/>
  <c r="P488" i="6"/>
  <c r="O488" i="6"/>
  <c r="N488" i="6"/>
  <c r="M488" i="6"/>
  <c r="L488" i="6"/>
  <c r="W487" i="6"/>
  <c r="V487" i="6"/>
  <c r="U487" i="6"/>
  <c r="T487" i="6"/>
  <c r="S487" i="6"/>
  <c r="R487" i="6"/>
  <c r="Q487" i="6"/>
  <c r="P487" i="6"/>
  <c r="O487" i="6"/>
  <c r="N487" i="6"/>
  <c r="M487" i="6"/>
  <c r="L487" i="6"/>
  <c r="W486" i="6"/>
  <c r="V486" i="6"/>
  <c r="U486" i="6"/>
  <c r="T486" i="6"/>
  <c r="S486" i="6"/>
  <c r="R486" i="6"/>
  <c r="Q486" i="6"/>
  <c r="P486" i="6"/>
  <c r="O486" i="6"/>
  <c r="N486" i="6"/>
  <c r="M486" i="6"/>
  <c r="L486" i="6"/>
  <c r="W485" i="6"/>
  <c r="V485" i="6"/>
  <c r="U485" i="6"/>
  <c r="T485" i="6"/>
  <c r="S485" i="6"/>
  <c r="R485" i="6"/>
  <c r="Q485" i="6"/>
  <c r="P485" i="6"/>
  <c r="O485" i="6"/>
  <c r="N485" i="6"/>
  <c r="M485" i="6"/>
  <c r="L485" i="6"/>
  <c r="W484" i="6"/>
  <c r="V484" i="6"/>
  <c r="U484" i="6"/>
  <c r="T484" i="6"/>
  <c r="S484" i="6"/>
  <c r="R484" i="6"/>
  <c r="Q484" i="6"/>
  <c r="P484" i="6"/>
  <c r="O484" i="6"/>
  <c r="N484" i="6"/>
  <c r="M484" i="6"/>
  <c r="L484" i="6"/>
  <c r="W483" i="6"/>
  <c r="V483" i="6"/>
  <c r="U483" i="6"/>
  <c r="T483" i="6"/>
  <c r="S483" i="6"/>
  <c r="R483" i="6"/>
  <c r="Q483" i="6"/>
  <c r="P483" i="6"/>
  <c r="O483" i="6"/>
  <c r="N483" i="6"/>
  <c r="M483" i="6"/>
  <c r="L483" i="6"/>
  <c r="W482" i="6"/>
  <c r="V482" i="6"/>
  <c r="U482" i="6"/>
  <c r="T482" i="6"/>
  <c r="S482" i="6"/>
  <c r="R482" i="6"/>
  <c r="Q482" i="6"/>
  <c r="P482" i="6"/>
  <c r="O482" i="6"/>
  <c r="N482" i="6"/>
  <c r="M482" i="6"/>
  <c r="L482" i="6"/>
  <c r="W481" i="6"/>
  <c r="V481" i="6"/>
  <c r="U481" i="6"/>
  <c r="T481" i="6"/>
  <c r="S481" i="6"/>
  <c r="R481" i="6"/>
  <c r="Q481" i="6"/>
  <c r="P481" i="6"/>
  <c r="O481" i="6"/>
  <c r="N481" i="6"/>
  <c r="M481" i="6"/>
  <c r="L481" i="6"/>
  <c r="W480" i="6"/>
  <c r="V480" i="6"/>
  <c r="U480" i="6"/>
  <c r="T480" i="6"/>
  <c r="S480" i="6"/>
  <c r="R480" i="6"/>
  <c r="Q480" i="6"/>
  <c r="P480" i="6"/>
  <c r="O480" i="6"/>
  <c r="N480" i="6"/>
  <c r="M480" i="6"/>
  <c r="L480" i="6"/>
  <c r="W479" i="6"/>
  <c r="V479" i="6"/>
  <c r="U479" i="6"/>
  <c r="T479" i="6"/>
  <c r="S479" i="6"/>
  <c r="R479" i="6"/>
  <c r="Q479" i="6"/>
  <c r="P479" i="6"/>
  <c r="O479" i="6"/>
  <c r="N479" i="6"/>
  <c r="M479" i="6"/>
  <c r="L479" i="6"/>
  <c r="W478" i="6"/>
  <c r="V478" i="6"/>
  <c r="U478" i="6"/>
  <c r="T478" i="6"/>
  <c r="S478" i="6"/>
  <c r="R478" i="6"/>
  <c r="Q478" i="6"/>
  <c r="P478" i="6"/>
  <c r="O478" i="6"/>
  <c r="N478" i="6"/>
  <c r="M478" i="6"/>
  <c r="L478" i="6"/>
  <c r="W477" i="6"/>
  <c r="V477" i="6"/>
  <c r="U477" i="6"/>
  <c r="T477" i="6"/>
  <c r="S477" i="6"/>
  <c r="R477" i="6"/>
  <c r="Q477" i="6"/>
  <c r="P477" i="6"/>
  <c r="O477" i="6"/>
  <c r="N477" i="6"/>
  <c r="M477" i="6"/>
  <c r="L477" i="6"/>
  <c r="W476" i="6"/>
  <c r="V476" i="6"/>
  <c r="U476" i="6"/>
  <c r="T476" i="6"/>
  <c r="S476" i="6"/>
  <c r="R476" i="6"/>
  <c r="Q476" i="6"/>
  <c r="P476" i="6"/>
  <c r="O476" i="6"/>
  <c r="N476" i="6"/>
  <c r="M476" i="6"/>
  <c r="L476" i="6"/>
  <c r="W475" i="6"/>
  <c r="V475" i="6"/>
  <c r="U475" i="6"/>
  <c r="T475" i="6"/>
  <c r="S475" i="6"/>
  <c r="R475" i="6"/>
  <c r="Q475" i="6"/>
  <c r="P475" i="6"/>
  <c r="O475" i="6"/>
  <c r="N475" i="6"/>
  <c r="M475" i="6"/>
  <c r="L475" i="6"/>
  <c r="W474" i="6"/>
  <c r="V474" i="6"/>
  <c r="U474" i="6"/>
  <c r="T474" i="6"/>
  <c r="S474" i="6"/>
  <c r="R474" i="6"/>
  <c r="Q474" i="6"/>
  <c r="P474" i="6"/>
  <c r="O474" i="6"/>
  <c r="N474" i="6"/>
  <c r="M474" i="6"/>
  <c r="L474" i="6"/>
  <c r="W473" i="6"/>
  <c r="V473" i="6"/>
  <c r="U473" i="6"/>
  <c r="T473" i="6"/>
  <c r="S473" i="6"/>
  <c r="R473" i="6"/>
  <c r="Q473" i="6"/>
  <c r="P473" i="6"/>
  <c r="O473" i="6"/>
  <c r="N473" i="6"/>
  <c r="M473" i="6"/>
  <c r="L473" i="6"/>
  <c r="W472" i="6"/>
  <c r="V472" i="6"/>
  <c r="U472" i="6"/>
  <c r="T472" i="6"/>
  <c r="S472" i="6"/>
  <c r="R472" i="6"/>
  <c r="Q472" i="6"/>
  <c r="P472" i="6"/>
  <c r="O472" i="6"/>
  <c r="N472" i="6"/>
  <c r="M472" i="6"/>
  <c r="L472" i="6"/>
  <c r="W471" i="6"/>
  <c r="V471" i="6"/>
  <c r="U471" i="6"/>
  <c r="T471" i="6"/>
  <c r="S471" i="6"/>
  <c r="R471" i="6"/>
  <c r="Q471" i="6"/>
  <c r="P471" i="6"/>
  <c r="O471" i="6"/>
  <c r="N471" i="6"/>
  <c r="M471" i="6"/>
  <c r="L471" i="6"/>
  <c r="W470" i="6"/>
  <c r="V470" i="6"/>
  <c r="U470" i="6"/>
  <c r="T470" i="6"/>
  <c r="S470" i="6"/>
  <c r="R470" i="6"/>
  <c r="Q470" i="6"/>
  <c r="P470" i="6"/>
  <c r="O470" i="6"/>
  <c r="N470" i="6"/>
  <c r="M470" i="6"/>
  <c r="L470" i="6"/>
  <c r="W469" i="6"/>
  <c r="V469" i="6"/>
  <c r="U469" i="6"/>
  <c r="T469" i="6"/>
  <c r="S469" i="6"/>
  <c r="R469" i="6"/>
  <c r="Q469" i="6"/>
  <c r="P469" i="6"/>
  <c r="O469" i="6"/>
  <c r="N469" i="6"/>
  <c r="M469" i="6"/>
  <c r="L469" i="6"/>
  <c r="W468" i="6"/>
  <c r="V468" i="6"/>
  <c r="U468" i="6"/>
  <c r="T468" i="6"/>
  <c r="S468" i="6"/>
  <c r="R468" i="6"/>
  <c r="Q468" i="6"/>
  <c r="P468" i="6"/>
  <c r="O468" i="6"/>
  <c r="N468" i="6"/>
  <c r="M468" i="6"/>
  <c r="L468" i="6"/>
  <c r="W467" i="6"/>
  <c r="V467" i="6"/>
  <c r="U467" i="6"/>
  <c r="T467" i="6"/>
  <c r="S467" i="6"/>
  <c r="R467" i="6"/>
  <c r="Q467" i="6"/>
  <c r="P467" i="6"/>
  <c r="O467" i="6"/>
  <c r="N467" i="6"/>
  <c r="M467" i="6"/>
  <c r="L467" i="6"/>
  <c r="W466" i="6"/>
  <c r="V466" i="6"/>
  <c r="U466" i="6"/>
  <c r="T466" i="6"/>
  <c r="S466" i="6"/>
  <c r="R466" i="6"/>
  <c r="Q466" i="6"/>
  <c r="P466" i="6"/>
  <c r="O466" i="6"/>
  <c r="N466" i="6"/>
  <c r="M466" i="6"/>
  <c r="L466" i="6"/>
  <c r="W465" i="6"/>
  <c r="V465" i="6"/>
  <c r="U465" i="6"/>
  <c r="T465" i="6"/>
  <c r="S465" i="6"/>
  <c r="R465" i="6"/>
  <c r="Q465" i="6"/>
  <c r="P465" i="6"/>
  <c r="O465" i="6"/>
  <c r="N465" i="6"/>
  <c r="M465" i="6"/>
  <c r="L465" i="6"/>
  <c r="W464" i="6"/>
  <c r="V464" i="6"/>
  <c r="U464" i="6"/>
  <c r="T464" i="6"/>
  <c r="S464" i="6"/>
  <c r="R464" i="6"/>
  <c r="Q464" i="6"/>
  <c r="P464" i="6"/>
  <c r="O464" i="6"/>
  <c r="N464" i="6"/>
  <c r="M464" i="6"/>
  <c r="L464" i="6"/>
  <c r="W463" i="6"/>
  <c r="V463" i="6"/>
  <c r="U463" i="6"/>
  <c r="T463" i="6"/>
  <c r="S463" i="6"/>
  <c r="R463" i="6"/>
  <c r="Q463" i="6"/>
  <c r="P463" i="6"/>
  <c r="O463" i="6"/>
  <c r="N463" i="6"/>
  <c r="M463" i="6"/>
  <c r="L463" i="6"/>
  <c r="W462" i="6"/>
  <c r="V462" i="6"/>
  <c r="U462" i="6"/>
  <c r="T462" i="6"/>
  <c r="S462" i="6"/>
  <c r="R462" i="6"/>
  <c r="Q462" i="6"/>
  <c r="P462" i="6"/>
  <c r="O462" i="6"/>
  <c r="N462" i="6"/>
  <c r="M462" i="6"/>
  <c r="L462" i="6"/>
  <c r="W461" i="6"/>
  <c r="V461" i="6"/>
  <c r="U461" i="6"/>
  <c r="T461" i="6"/>
  <c r="S461" i="6"/>
  <c r="R461" i="6"/>
  <c r="Q461" i="6"/>
  <c r="P461" i="6"/>
  <c r="O461" i="6"/>
  <c r="N461" i="6"/>
  <c r="M461" i="6"/>
  <c r="L461" i="6"/>
  <c r="W460" i="6"/>
  <c r="V460" i="6"/>
  <c r="U460" i="6"/>
  <c r="T460" i="6"/>
  <c r="S460" i="6"/>
  <c r="R460" i="6"/>
  <c r="Q460" i="6"/>
  <c r="P460" i="6"/>
  <c r="O460" i="6"/>
  <c r="N460" i="6"/>
  <c r="M460" i="6"/>
  <c r="L460" i="6"/>
  <c r="W459" i="6"/>
  <c r="V459" i="6"/>
  <c r="U459" i="6"/>
  <c r="T459" i="6"/>
  <c r="S459" i="6"/>
  <c r="R459" i="6"/>
  <c r="Q459" i="6"/>
  <c r="P459" i="6"/>
  <c r="O459" i="6"/>
  <c r="N459" i="6"/>
  <c r="M459" i="6"/>
  <c r="L459" i="6"/>
  <c r="W458" i="6"/>
  <c r="V458" i="6"/>
  <c r="U458" i="6"/>
  <c r="T458" i="6"/>
  <c r="S458" i="6"/>
  <c r="R458" i="6"/>
  <c r="Q458" i="6"/>
  <c r="P458" i="6"/>
  <c r="O458" i="6"/>
  <c r="N458" i="6"/>
  <c r="M458" i="6"/>
  <c r="L458" i="6"/>
  <c r="W457" i="6"/>
  <c r="V457" i="6"/>
  <c r="U457" i="6"/>
  <c r="T457" i="6"/>
  <c r="S457" i="6"/>
  <c r="R457" i="6"/>
  <c r="Q457" i="6"/>
  <c r="P457" i="6"/>
  <c r="O457" i="6"/>
  <c r="N457" i="6"/>
  <c r="M457" i="6"/>
  <c r="L457" i="6"/>
  <c r="W456" i="6"/>
  <c r="V456" i="6"/>
  <c r="U456" i="6"/>
  <c r="T456" i="6"/>
  <c r="S456" i="6"/>
  <c r="R456" i="6"/>
  <c r="Q456" i="6"/>
  <c r="P456" i="6"/>
  <c r="O456" i="6"/>
  <c r="N456" i="6"/>
  <c r="M456" i="6"/>
  <c r="L456" i="6"/>
  <c r="W455" i="6"/>
  <c r="V455" i="6"/>
  <c r="U455" i="6"/>
  <c r="T455" i="6"/>
  <c r="S455" i="6"/>
  <c r="R455" i="6"/>
  <c r="Q455" i="6"/>
  <c r="P455" i="6"/>
  <c r="O455" i="6"/>
  <c r="N455" i="6"/>
  <c r="M455" i="6"/>
  <c r="L455" i="6"/>
  <c r="W454" i="6"/>
  <c r="V454" i="6"/>
  <c r="U454" i="6"/>
  <c r="T454" i="6"/>
  <c r="S454" i="6"/>
  <c r="R454" i="6"/>
  <c r="Q454" i="6"/>
  <c r="P454" i="6"/>
  <c r="O454" i="6"/>
  <c r="N454" i="6"/>
  <c r="M454" i="6"/>
  <c r="L454" i="6"/>
  <c r="W453" i="6"/>
  <c r="V453" i="6"/>
  <c r="U453" i="6"/>
  <c r="T453" i="6"/>
  <c r="S453" i="6"/>
  <c r="R453" i="6"/>
  <c r="Q453" i="6"/>
  <c r="P453" i="6"/>
  <c r="O453" i="6"/>
  <c r="N453" i="6"/>
  <c r="M453" i="6"/>
  <c r="L453" i="6"/>
  <c r="W452" i="6"/>
  <c r="V452" i="6"/>
  <c r="U452" i="6"/>
  <c r="T452" i="6"/>
  <c r="S452" i="6"/>
  <c r="R452" i="6"/>
  <c r="Q452" i="6"/>
  <c r="P452" i="6"/>
  <c r="O452" i="6"/>
  <c r="N452" i="6"/>
  <c r="M452" i="6"/>
  <c r="L452" i="6"/>
  <c r="W451" i="6"/>
  <c r="V451" i="6"/>
  <c r="U451" i="6"/>
  <c r="T451" i="6"/>
  <c r="S451" i="6"/>
  <c r="R451" i="6"/>
  <c r="Q451" i="6"/>
  <c r="P451" i="6"/>
  <c r="O451" i="6"/>
  <c r="N451" i="6"/>
  <c r="M451" i="6"/>
  <c r="L451" i="6"/>
  <c r="W450" i="6"/>
  <c r="V450" i="6"/>
  <c r="U450" i="6"/>
  <c r="T450" i="6"/>
  <c r="S450" i="6"/>
  <c r="R450" i="6"/>
  <c r="Q450" i="6"/>
  <c r="P450" i="6"/>
  <c r="O450" i="6"/>
  <c r="N450" i="6"/>
  <c r="M450" i="6"/>
  <c r="L450" i="6"/>
  <c r="W449" i="6"/>
  <c r="V449" i="6"/>
  <c r="U449" i="6"/>
  <c r="T449" i="6"/>
  <c r="S449" i="6"/>
  <c r="R449" i="6"/>
  <c r="Q449" i="6"/>
  <c r="P449" i="6"/>
  <c r="O449" i="6"/>
  <c r="N449" i="6"/>
  <c r="M449" i="6"/>
  <c r="L449" i="6"/>
  <c r="W448" i="6"/>
  <c r="V448" i="6"/>
  <c r="U448" i="6"/>
  <c r="T448" i="6"/>
  <c r="S448" i="6"/>
  <c r="R448" i="6"/>
  <c r="Q448" i="6"/>
  <c r="P448" i="6"/>
  <c r="O448" i="6"/>
  <c r="N448" i="6"/>
  <c r="M448" i="6"/>
  <c r="L448" i="6"/>
  <c r="W447" i="6"/>
  <c r="V447" i="6"/>
  <c r="U447" i="6"/>
  <c r="T447" i="6"/>
  <c r="S447" i="6"/>
  <c r="R447" i="6"/>
  <c r="Q447" i="6"/>
  <c r="P447" i="6"/>
  <c r="O447" i="6"/>
  <c r="N447" i="6"/>
  <c r="M447" i="6"/>
  <c r="L447" i="6"/>
  <c r="W446" i="6"/>
  <c r="V446" i="6"/>
  <c r="U446" i="6"/>
  <c r="T446" i="6"/>
  <c r="S446" i="6"/>
  <c r="R446" i="6"/>
  <c r="Q446" i="6"/>
  <c r="P446" i="6"/>
  <c r="O446" i="6"/>
  <c r="N446" i="6"/>
  <c r="M446" i="6"/>
  <c r="L446" i="6"/>
  <c r="W445" i="6"/>
  <c r="V445" i="6"/>
  <c r="U445" i="6"/>
  <c r="T445" i="6"/>
  <c r="S445" i="6"/>
  <c r="R445" i="6"/>
  <c r="Q445" i="6"/>
  <c r="P445" i="6"/>
  <c r="O445" i="6"/>
  <c r="N445" i="6"/>
  <c r="M445" i="6"/>
  <c r="L445" i="6"/>
  <c r="W444" i="6"/>
  <c r="V444" i="6"/>
  <c r="U444" i="6"/>
  <c r="T444" i="6"/>
  <c r="S444" i="6"/>
  <c r="R444" i="6"/>
  <c r="Q444" i="6"/>
  <c r="P444" i="6"/>
  <c r="O444" i="6"/>
  <c r="N444" i="6"/>
  <c r="M444" i="6"/>
  <c r="L444" i="6"/>
  <c r="W443" i="6"/>
  <c r="V443" i="6"/>
  <c r="U443" i="6"/>
  <c r="T443" i="6"/>
  <c r="S443" i="6"/>
  <c r="R443" i="6"/>
  <c r="Q443" i="6"/>
  <c r="P443" i="6"/>
  <c r="O443" i="6"/>
  <c r="N443" i="6"/>
  <c r="M443" i="6"/>
  <c r="L443" i="6"/>
  <c r="W442" i="6"/>
  <c r="V442" i="6"/>
  <c r="U442" i="6"/>
  <c r="T442" i="6"/>
  <c r="S442" i="6"/>
  <c r="R442" i="6"/>
  <c r="Q442" i="6"/>
  <c r="P442" i="6"/>
  <c r="O442" i="6"/>
  <c r="N442" i="6"/>
  <c r="M442" i="6"/>
  <c r="L442" i="6"/>
  <c r="W441" i="6"/>
  <c r="V441" i="6"/>
  <c r="U441" i="6"/>
  <c r="T441" i="6"/>
  <c r="S441" i="6"/>
  <c r="R441" i="6"/>
  <c r="Q441" i="6"/>
  <c r="P441" i="6"/>
  <c r="O441" i="6"/>
  <c r="N441" i="6"/>
  <c r="M441" i="6"/>
  <c r="L441" i="6"/>
  <c r="W440" i="6"/>
  <c r="V440" i="6"/>
  <c r="U440" i="6"/>
  <c r="T440" i="6"/>
  <c r="S440" i="6"/>
  <c r="R440" i="6"/>
  <c r="Q440" i="6"/>
  <c r="P440" i="6"/>
  <c r="O440" i="6"/>
  <c r="N440" i="6"/>
  <c r="M440" i="6"/>
  <c r="L440" i="6"/>
  <c r="W439" i="6"/>
  <c r="V439" i="6"/>
  <c r="U439" i="6"/>
  <c r="T439" i="6"/>
  <c r="S439" i="6"/>
  <c r="R439" i="6"/>
  <c r="Q439" i="6"/>
  <c r="P439" i="6"/>
  <c r="O439" i="6"/>
  <c r="N439" i="6"/>
  <c r="M439" i="6"/>
  <c r="L439" i="6"/>
  <c r="W438" i="6"/>
  <c r="V438" i="6"/>
  <c r="U438" i="6"/>
  <c r="T438" i="6"/>
  <c r="S438" i="6"/>
  <c r="R438" i="6"/>
  <c r="Q438" i="6"/>
  <c r="P438" i="6"/>
  <c r="O438" i="6"/>
  <c r="N438" i="6"/>
  <c r="M438" i="6"/>
  <c r="L438" i="6"/>
  <c r="W437" i="6"/>
  <c r="V437" i="6"/>
  <c r="U437" i="6"/>
  <c r="T437" i="6"/>
  <c r="S437" i="6"/>
  <c r="R437" i="6"/>
  <c r="Q437" i="6"/>
  <c r="P437" i="6"/>
  <c r="O437" i="6"/>
  <c r="N437" i="6"/>
  <c r="M437" i="6"/>
  <c r="L437" i="6"/>
  <c r="W436" i="6"/>
  <c r="V436" i="6"/>
  <c r="U436" i="6"/>
  <c r="T436" i="6"/>
  <c r="S436" i="6"/>
  <c r="R436" i="6"/>
  <c r="Q436" i="6"/>
  <c r="P436" i="6"/>
  <c r="O436" i="6"/>
  <c r="N436" i="6"/>
  <c r="M436" i="6"/>
  <c r="L436" i="6"/>
  <c r="W435" i="6"/>
  <c r="V435" i="6"/>
  <c r="U435" i="6"/>
  <c r="T435" i="6"/>
  <c r="S435" i="6"/>
  <c r="R435" i="6"/>
  <c r="Q435" i="6"/>
  <c r="P435" i="6"/>
  <c r="O435" i="6"/>
  <c r="N435" i="6"/>
  <c r="M435" i="6"/>
  <c r="L435" i="6"/>
  <c r="W434" i="6"/>
  <c r="V434" i="6"/>
  <c r="U434" i="6"/>
  <c r="T434" i="6"/>
  <c r="S434" i="6"/>
  <c r="R434" i="6"/>
  <c r="Q434" i="6"/>
  <c r="P434" i="6"/>
  <c r="O434" i="6"/>
  <c r="N434" i="6"/>
  <c r="M434" i="6"/>
  <c r="L434" i="6"/>
  <c r="W433" i="6"/>
  <c r="V433" i="6"/>
  <c r="U433" i="6"/>
  <c r="T433" i="6"/>
  <c r="S433" i="6"/>
  <c r="R433" i="6"/>
  <c r="Q433" i="6"/>
  <c r="P433" i="6"/>
  <c r="O433" i="6"/>
  <c r="N433" i="6"/>
  <c r="M433" i="6"/>
  <c r="L433" i="6"/>
  <c r="W432" i="6"/>
  <c r="V432" i="6"/>
  <c r="U432" i="6"/>
  <c r="T432" i="6"/>
  <c r="S432" i="6"/>
  <c r="R432" i="6"/>
  <c r="Q432" i="6"/>
  <c r="P432" i="6"/>
  <c r="O432" i="6"/>
  <c r="N432" i="6"/>
  <c r="M432" i="6"/>
  <c r="L432" i="6"/>
  <c r="W431" i="6"/>
  <c r="V431" i="6"/>
  <c r="U431" i="6"/>
  <c r="T431" i="6"/>
  <c r="S431" i="6"/>
  <c r="R431" i="6"/>
  <c r="Q431" i="6"/>
  <c r="P431" i="6"/>
  <c r="O431" i="6"/>
  <c r="N431" i="6"/>
  <c r="M431" i="6"/>
  <c r="L431" i="6"/>
  <c r="W430" i="6"/>
  <c r="V430" i="6"/>
  <c r="U430" i="6"/>
  <c r="T430" i="6"/>
  <c r="S430" i="6"/>
  <c r="R430" i="6"/>
  <c r="Q430" i="6"/>
  <c r="P430" i="6"/>
  <c r="O430" i="6"/>
  <c r="N430" i="6"/>
  <c r="M430" i="6"/>
  <c r="L430" i="6"/>
  <c r="W429" i="6"/>
  <c r="V429" i="6"/>
  <c r="U429" i="6"/>
  <c r="T429" i="6"/>
  <c r="S429" i="6"/>
  <c r="R429" i="6"/>
  <c r="Q429" i="6"/>
  <c r="P429" i="6"/>
  <c r="O429" i="6"/>
  <c r="N429" i="6"/>
  <c r="M429" i="6"/>
  <c r="L429" i="6"/>
  <c r="W428" i="6"/>
  <c r="V428" i="6"/>
  <c r="U428" i="6"/>
  <c r="T428" i="6"/>
  <c r="S428" i="6"/>
  <c r="R428" i="6"/>
  <c r="Q428" i="6"/>
  <c r="P428" i="6"/>
  <c r="O428" i="6"/>
  <c r="N428" i="6"/>
  <c r="M428" i="6"/>
  <c r="L428" i="6"/>
  <c r="W427" i="6"/>
  <c r="V427" i="6"/>
  <c r="U427" i="6"/>
  <c r="T427" i="6"/>
  <c r="S427" i="6"/>
  <c r="R427" i="6"/>
  <c r="Q427" i="6"/>
  <c r="P427" i="6"/>
  <c r="O427" i="6"/>
  <c r="N427" i="6"/>
  <c r="M427" i="6"/>
  <c r="L427" i="6"/>
  <c r="W426" i="6"/>
  <c r="V426" i="6"/>
  <c r="U426" i="6"/>
  <c r="T426" i="6"/>
  <c r="S426" i="6"/>
  <c r="R426" i="6"/>
  <c r="Q426" i="6"/>
  <c r="P426" i="6"/>
  <c r="O426" i="6"/>
  <c r="N426" i="6"/>
  <c r="M426" i="6"/>
  <c r="L426" i="6"/>
  <c r="W425" i="6"/>
  <c r="V425" i="6"/>
  <c r="U425" i="6"/>
  <c r="T425" i="6"/>
  <c r="S425" i="6"/>
  <c r="R425" i="6"/>
  <c r="Q425" i="6"/>
  <c r="P425" i="6"/>
  <c r="O425" i="6"/>
  <c r="N425" i="6"/>
  <c r="M425" i="6"/>
  <c r="L425" i="6"/>
  <c r="W424" i="6"/>
  <c r="V424" i="6"/>
  <c r="U424" i="6"/>
  <c r="T424" i="6"/>
  <c r="S424" i="6"/>
  <c r="R424" i="6"/>
  <c r="Q424" i="6"/>
  <c r="P424" i="6"/>
  <c r="O424" i="6"/>
  <c r="N424" i="6"/>
  <c r="M424" i="6"/>
  <c r="L424" i="6"/>
  <c r="W423" i="6"/>
  <c r="V423" i="6"/>
  <c r="U423" i="6"/>
  <c r="T423" i="6"/>
  <c r="S423" i="6"/>
  <c r="R423" i="6"/>
  <c r="Q423" i="6"/>
  <c r="P423" i="6"/>
  <c r="O423" i="6"/>
  <c r="N423" i="6"/>
  <c r="M423" i="6"/>
  <c r="L423" i="6"/>
  <c r="W422" i="6"/>
  <c r="V422" i="6"/>
  <c r="U422" i="6"/>
  <c r="T422" i="6"/>
  <c r="S422" i="6"/>
  <c r="R422" i="6"/>
  <c r="Q422" i="6"/>
  <c r="P422" i="6"/>
  <c r="O422" i="6"/>
  <c r="N422" i="6"/>
  <c r="M422" i="6"/>
  <c r="L422" i="6"/>
  <c r="W421" i="6"/>
  <c r="V421" i="6"/>
  <c r="U421" i="6"/>
  <c r="T421" i="6"/>
  <c r="S421" i="6"/>
  <c r="R421" i="6"/>
  <c r="Q421" i="6"/>
  <c r="P421" i="6"/>
  <c r="O421" i="6"/>
  <c r="N421" i="6"/>
  <c r="M421" i="6"/>
  <c r="L421" i="6"/>
  <c r="W420" i="6"/>
  <c r="V420" i="6"/>
  <c r="U420" i="6"/>
  <c r="T420" i="6"/>
  <c r="S420" i="6"/>
  <c r="R420" i="6"/>
  <c r="Q420" i="6"/>
  <c r="P420" i="6"/>
  <c r="O420" i="6"/>
  <c r="N420" i="6"/>
  <c r="M420" i="6"/>
  <c r="L420" i="6"/>
  <c r="W419" i="6"/>
  <c r="V419" i="6"/>
  <c r="U419" i="6"/>
  <c r="T419" i="6"/>
  <c r="S419" i="6"/>
  <c r="R419" i="6"/>
  <c r="Q419" i="6"/>
  <c r="P419" i="6"/>
  <c r="O419" i="6"/>
  <c r="N419" i="6"/>
  <c r="M419" i="6"/>
  <c r="L419" i="6"/>
  <c r="W418" i="6"/>
  <c r="V418" i="6"/>
  <c r="U418" i="6"/>
  <c r="T418" i="6"/>
  <c r="S418" i="6"/>
  <c r="R418" i="6"/>
  <c r="Q418" i="6"/>
  <c r="P418" i="6"/>
  <c r="O418" i="6"/>
  <c r="N418" i="6"/>
  <c r="M418" i="6"/>
  <c r="L418" i="6"/>
  <c r="W417" i="6"/>
  <c r="V417" i="6"/>
  <c r="U417" i="6"/>
  <c r="T417" i="6"/>
  <c r="S417" i="6"/>
  <c r="R417" i="6"/>
  <c r="Q417" i="6"/>
  <c r="P417" i="6"/>
  <c r="O417" i="6"/>
  <c r="N417" i="6"/>
  <c r="M417" i="6"/>
  <c r="L417" i="6"/>
  <c r="W416" i="6"/>
  <c r="V416" i="6"/>
  <c r="U416" i="6"/>
  <c r="T416" i="6"/>
  <c r="S416" i="6"/>
  <c r="R416" i="6"/>
  <c r="Q416" i="6"/>
  <c r="P416" i="6"/>
  <c r="O416" i="6"/>
  <c r="N416" i="6"/>
  <c r="M416" i="6"/>
  <c r="L416" i="6"/>
  <c r="W415" i="6"/>
  <c r="V415" i="6"/>
  <c r="U415" i="6"/>
  <c r="T415" i="6"/>
  <c r="S415" i="6"/>
  <c r="R415" i="6"/>
  <c r="Q415" i="6"/>
  <c r="P415" i="6"/>
  <c r="O415" i="6"/>
  <c r="N415" i="6"/>
  <c r="M415" i="6"/>
  <c r="L415" i="6"/>
  <c r="W414" i="6"/>
  <c r="V414" i="6"/>
  <c r="U414" i="6"/>
  <c r="T414" i="6"/>
  <c r="S414" i="6"/>
  <c r="R414" i="6"/>
  <c r="Q414" i="6"/>
  <c r="P414" i="6"/>
  <c r="O414" i="6"/>
  <c r="N414" i="6"/>
  <c r="M414" i="6"/>
  <c r="L414" i="6"/>
  <c r="W413" i="6"/>
  <c r="V413" i="6"/>
  <c r="U413" i="6"/>
  <c r="T413" i="6"/>
  <c r="S413" i="6"/>
  <c r="R413" i="6"/>
  <c r="Q413" i="6"/>
  <c r="P413" i="6"/>
  <c r="O413" i="6"/>
  <c r="N413" i="6"/>
  <c r="M413" i="6"/>
  <c r="L413" i="6"/>
  <c r="W412" i="6"/>
  <c r="C9" i="3" s="1"/>
  <c r="V412" i="6"/>
  <c r="U412" i="6"/>
  <c r="T412" i="6"/>
  <c r="S412" i="6"/>
  <c r="R412" i="6"/>
  <c r="Q412" i="6"/>
  <c r="P412" i="6"/>
  <c r="O412" i="6"/>
  <c r="N412" i="6"/>
  <c r="M412" i="6"/>
  <c r="L412" i="6"/>
  <c r="W411" i="6"/>
  <c r="V411" i="6"/>
  <c r="U411" i="6"/>
  <c r="T411" i="6"/>
  <c r="S411" i="6"/>
  <c r="R411" i="6"/>
  <c r="Q411" i="6"/>
  <c r="P411" i="6"/>
  <c r="O411" i="6"/>
  <c r="N411" i="6"/>
  <c r="M411" i="6"/>
  <c r="L411" i="6"/>
  <c r="W410" i="6"/>
  <c r="V410" i="6"/>
  <c r="U410" i="6"/>
  <c r="T410" i="6"/>
  <c r="S410" i="6"/>
  <c r="R410" i="6"/>
  <c r="Q410" i="6"/>
  <c r="P410" i="6"/>
  <c r="O410" i="6"/>
  <c r="N410" i="6"/>
  <c r="M410" i="6"/>
  <c r="L410" i="6"/>
  <c r="W409" i="6"/>
  <c r="V409" i="6"/>
  <c r="U409" i="6"/>
  <c r="T409" i="6"/>
  <c r="S409" i="6"/>
  <c r="R409" i="6"/>
  <c r="Q409" i="6"/>
  <c r="P409" i="6"/>
  <c r="O409" i="6"/>
  <c r="N409" i="6"/>
  <c r="M409" i="6"/>
  <c r="L409" i="6"/>
  <c r="W408" i="6"/>
  <c r="V408" i="6"/>
  <c r="U408" i="6"/>
  <c r="T408" i="6"/>
  <c r="S408" i="6"/>
  <c r="R408" i="6"/>
  <c r="Q408" i="6"/>
  <c r="P408" i="6"/>
  <c r="O408" i="6"/>
  <c r="N408" i="6"/>
  <c r="M408" i="6"/>
  <c r="L408" i="6"/>
  <c r="W407" i="6"/>
  <c r="V407" i="6"/>
  <c r="U407" i="6"/>
  <c r="T407" i="6"/>
  <c r="S407" i="6"/>
  <c r="R407" i="6"/>
  <c r="Q407" i="6"/>
  <c r="P407" i="6"/>
  <c r="O407" i="6"/>
  <c r="N407" i="6"/>
  <c r="M407" i="6"/>
  <c r="L407" i="6"/>
  <c r="W406" i="6"/>
  <c r="V406" i="6"/>
  <c r="U406" i="6"/>
  <c r="T406" i="6"/>
  <c r="S406" i="6"/>
  <c r="R406" i="6"/>
  <c r="Q406" i="6"/>
  <c r="P406" i="6"/>
  <c r="O406" i="6"/>
  <c r="N406" i="6"/>
  <c r="M406" i="6"/>
  <c r="L406" i="6"/>
  <c r="W405" i="6"/>
  <c r="V405" i="6"/>
  <c r="U405" i="6"/>
  <c r="T405" i="6"/>
  <c r="S405" i="6"/>
  <c r="R405" i="6"/>
  <c r="Q405" i="6"/>
  <c r="P405" i="6"/>
  <c r="O405" i="6"/>
  <c r="N405" i="6"/>
  <c r="M405" i="6"/>
  <c r="L405" i="6"/>
  <c r="W404" i="6"/>
  <c r="V404" i="6"/>
  <c r="U404" i="6"/>
  <c r="T404" i="6"/>
  <c r="S404" i="6"/>
  <c r="R404" i="6"/>
  <c r="Q404" i="6"/>
  <c r="P404" i="6"/>
  <c r="O404" i="6"/>
  <c r="N404" i="6"/>
  <c r="M404" i="6"/>
  <c r="L404" i="6"/>
  <c r="W403" i="6"/>
  <c r="V403" i="6"/>
  <c r="U403" i="6"/>
  <c r="T403" i="6"/>
  <c r="S403" i="6"/>
  <c r="R403" i="6"/>
  <c r="Q403" i="6"/>
  <c r="P403" i="6"/>
  <c r="O403" i="6"/>
  <c r="N403" i="6"/>
  <c r="M403" i="6"/>
  <c r="L403" i="6"/>
  <c r="W402" i="6"/>
  <c r="V402" i="6"/>
  <c r="U402" i="6"/>
  <c r="T402" i="6"/>
  <c r="S402" i="6"/>
  <c r="R402" i="6"/>
  <c r="Q402" i="6"/>
  <c r="P402" i="6"/>
  <c r="O402" i="6"/>
  <c r="N402" i="6"/>
  <c r="M402" i="6"/>
  <c r="L402" i="6"/>
  <c r="W401" i="6"/>
  <c r="V401" i="6"/>
  <c r="U401" i="6"/>
  <c r="T401" i="6"/>
  <c r="S401" i="6"/>
  <c r="R401" i="6"/>
  <c r="Q401" i="6"/>
  <c r="P401" i="6"/>
  <c r="O401" i="6"/>
  <c r="N401" i="6"/>
  <c r="M401" i="6"/>
  <c r="L401" i="6"/>
  <c r="W400" i="6"/>
  <c r="V400" i="6"/>
  <c r="U400" i="6"/>
  <c r="T400" i="6"/>
  <c r="S400" i="6"/>
  <c r="R400" i="6"/>
  <c r="Q400" i="6"/>
  <c r="P400" i="6"/>
  <c r="O400" i="6"/>
  <c r="N400" i="6"/>
  <c r="M400" i="6"/>
  <c r="L400" i="6"/>
  <c r="W399" i="6"/>
  <c r="V399" i="6"/>
  <c r="U399" i="6"/>
  <c r="T399" i="6"/>
  <c r="S399" i="6"/>
  <c r="R399" i="6"/>
  <c r="Q399" i="6"/>
  <c r="P399" i="6"/>
  <c r="O399" i="6"/>
  <c r="N399" i="6"/>
  <c r="M399" i="6"/>
  <c r="L399" i="6"/>
  <c r="W398" i="6"/>
  <c r="V398" i="6"/>
  <c r="U398" i="6"/>
  <c r="T398" i="6"/>
  <c r="S398" i="6"/>
  <c r="R398" i="6"/>
  <c r="Q398" i="6"/>
  <c r="P398" i="6"/>
  <c r="O398" i="6"/>
  <c r="N398" i="6"/>
  <c r="M398" i="6"/>
  <c r="L398" i="6"/>
  <c r="W397" i="6"/>
  <c r="V397" i="6"/>
  <c r="U397" i="6"/>
  <c r="T397" i="6"/>
  <c r="S397" i="6"/>
  <c r="R397" i="6"/>
  <c r="Q397" i="6"/>
  <c r="P397" i="6"/>
  <c r="O397" i="6"/>
  <c r="N397" i="6"/>
  <c r="M397" i="6"/>
  <c r="L397" i="6"/>
  <c r="W396" i="6"/>
  <c r="V396" i="6"/>
  <c r="U396" i="6"/>
  <c r="T396" i="6"/>
  <c r="S396" i="6"/>
  <c r="R396" i="6"/>
  <c r="Q396" i="6"/>
  <c r="P396" i="6"/>
  <c r="O396" i="6"/>
  <c r="N396" i="6"/>
  <c r="M396" i="6"/>
  <c r="L396" i="6"/>
  <c r="W395" i="6"/>
  <c r="V395" i="6"/>
  <c r="U395" i="6"/>
  <c r="T395" i="6"/>
  <c r="S395" i="6"/>
  <c r="R395" i="6"/>
  <c r="Q395" i="6"/>
  <c r="P395" i="6"/>
  <c r="O395" i="6"/>
  <c r="N395" i="6"/>
  <c r="M395" i="6"/>
  <c r="L395" i="6"/>
  <c r="W394" i="6"/>
  <c r="V394" i="6"/>
  <c r="U394" i="6"/>
  <c r="T394" i="6"/>
  <c r="S394" i="6"/>
  <c r="R394" i="6"/>
  <c r="Q394" i="6"/>
  <c r="P394" i="6"/>
  <c r="O394" i="6"/>
  <c r="N394" i="6"/>
  <c r="M394" i="6"/>
  <c r="L394" i="6"/>
  <c r="W393" i="6"/>
  <c r="V393" i="6"/>
  <c r="U393" i="6"/>
  <c r="T393" i="6"/>
  <c r="S393" i="6"/>
  <c r="R393" i="6"/>
  <c r="Q393" i="6"/>
  <c r="P393" i="6"/>
  <c r="O393" i="6"/>
  <c r="N393" i="6"/>
  <c r="M393" i="6"/>
  <c r="L393" i="6"/>
  <c r="W392" i="6"/>
  <c r="V392" i="6"/>
  <c r="U392" i="6"/>
  <c r="T392" i="6"/>
  <c r="S392" i="6"/>
  <c r="R392" i="6"/>
  <c r="Q392" i="6"/>
  <c r="P392" i="6"/>
  <c r="O392" i="6"/>
  <c r="N392" i="6"/>
  <c r="M392" i="6"/>
  <c r="L392" i="6"/>
  <c r="W391" i="6"/>
  <c r="V391" i="6"/>
  <c r="U391" i="6"/>
  <c r="T391" i="6"/>
  <c r="S391" i="6"/>
  <c r="R391" i="6"/>
  <c r="Q391" i="6"/>
  <c r="P391" i="6"/>
  <c r="O391" i="6"/>
  <c r="N391" i="6"/>
  <c r="M391" i="6"/>
  <c r="L391" i="6"/>
  <c r="W390" i="6"/>
  <c r="V390" i="6"/>
  <c r="U390" i="6"/>
  <c r="T390" i="6"/>
  <c r="S390" i="6"/>
  <c r="R390" i="6"/>
  <c r="Q390" i="6"/>
  <c r="P390" i="6"/>
  <c r="O390" i="6"/>
  <c r="N390" i="6"/>
  <c r="M390" i="6"/>
  <c r="L390" i="6"/>
  <c r="W389" i="6"/>
  <c r="V389" i="6"/>
  <c r="U389" i="6"/>
  <c r="T389" i="6"/>
  <c r="S389" i="6"/>
  <c r="R389" i="6"/>
  <c r="Q389" i="6"/>
  <c r="P389" i="6"/>
  <c r="O389" i="6"/>
  <c r="N389" i="6"/>
  <c r="M389" i="6"/>
  <c r="L389" i="6"/>
  <c r="W388" i="6"/>
  <c r="V388" i="6"/>
  <c r="U388" i="6"/>
  <c r="T388" i="6"/>
  <c r="S388" i="6"/>
  <c r="R388" i="6"/>
  <c r="Q388" i="6"/>
  <c r="P388" i="6"/>
  <c r="O388" i="6"/>
  <c r="N388" i="6"/>
  <c r="M388" i="6"/>
  <c r="L388" i="6"/>
  <c r="W387" i="6"/>
  <c r="V387" i="6"/>
  <c r="U387" i="6"/>
  <c r="T387" i="6"/>
  <c r="S387" i="6"/>
  <c r="R387" i="6"/>
  <c r="Q387" i="6"/>
  <c r="P387" i="6"/>
  <c r="O387" i="6"/>
  <c r="N387" i="6"/>
  <c r="M387" i="6"/>
  <c r="L387" i="6"/>
  <c r="W386" i="6"/>
  <c r="V386" i="6"/>
  <c r="U386" i="6"/>
  <c r="T386" i="6"/>
  <c r="S386" i="6"/>
  <c r="R386" i="6"/>
  <c r="Q386" i="6"/>
  <c r="P386" i="6"/>
  <c r="O386" i="6"/>
  <c r="N386" i="6"/>
  <c r="M386" i="6"/>
  <c r="L386" i="6"/>
  <c r="W385" i="6"/>
  <c r="V385" i="6"/>
  <c r="U385" i="6"/>
  <c r="T385" i="6"/>
  <c r="S385" i="6"/>
  <c r="R385" i="6"/>
  <c r="Q385" i="6"/>
  <c r="P385" i="6"/>
  <c r="O385" i="6"/>
  <c r="N385" i="6"/>
  <c r="M385" i="6"/>
  <c r="L385" i="6"/>
  <c r="W384" i="6"/>
  <c r="V384" i="6"/>
  <c r="U384" i="6"/>
  <c r="T384" i="6"/>
  <c r="S384" i="6"/>
  <c r="R384" i="6"/>
  <c r="Q384" i="6"/>
  <c r="P384" i="6"/>
  <c r="O384" i="6"/>
  <c r="N384" i="6"/>
  <c r="M384" i="6"/>
  <c r="L384" i="6"/>
  <c r="W383" i="6"/>
  <c r="V383" i="6"/>
  <c r="U383" i="6"/>
  <c r="T383" i="6"/>
  <c r="S383" i="6"/>
  <c r="R383" i="6"/>
  <c r="Q383" i="6"/>
  <c r="P383" i="6"/>
  <c r="O383" i="6"/>
  <c r="N383" i="6"/>
  <c r="M383" i="6"/>
  <c r="L383" i="6"/>
  <c r="W382" i="6"/>
  <c r="V382" i="6"/>
  <c r="U382" i="6"/>
  <c r="T382" i="6"/>
  <c r="S382" i="6"/>
  <c r="R382" i="6"/>
  <c r="Q382" i="6"/>
  <c r="P382" i="6"/>
  <c r="O382" i="6"/>
  <c r="N382" i="6"/>
  <c r="M382" i="6"/>
  <c r="L382" i="6"/>
  <c r="W381" i="6"/>
  <c r="G21" i="2" s="1"/>
  <c r="G29" i="2" s="1"/>
  <c r="V381" i="6"/>
  <c r="U381" i="6"/>
  <c r="T381" i="6"/>
  <c r="S381" i="6"/>
  <c r="R381" i="6"/>
  <c r="Q381" i="6"/>
  <c r="P381" i="6"/>
  <c r="O381" i="6"/>
  <c r="M381" i="6"/>
  <c r="L381" i="6"/>
  <c r="W380" i="6"/>
  <c r="V380" i="6"/>
  <c r="U380" i="6"/>
  <c r="T380" i="6"/>
  <c r="S380" i="6"/>
  <c r="R380" i="6"/>
  <c r="Q380" i="6"/>
  <c r="P380" i="6"/>
  <c r="O380" i="6"/>
  <c r="N380" i="6"/>
  <c r="M380" i="6"/>
  <c r="L380" i="6"/>
  <c r="W379" i="6"/>
  <c r="V379" i="6"/>
  <c r="U379" i="6"/>
  <c r="T379" i="6"/>
  <c r="S379" i="6"/>
  <c r="R379" i="6"/>
  <c r="Q379" i="6"/>
  <c r="P379" i="6"/>
  <c r="O379" i="6"/>
  <c r="N379" i="6"/>
  <c r="M379" i="6"/>
  <c r="L379" i="6"/>
  <c r="W378" i="6"/>
  <c r="V378" i="6"/>
  <c r="U378" i="6"/>
  <c r="T378" i="6"/>
  <c r="S378" i="6"/>
  <c r="R378" i="6"/>
  <c r="Q378" i="6"/>
  <c r="P378" i="6"/>
  <c r="O378" i="6"/>
  <c r="N378" i="6"/>
  <c r="M378" i="6"/>
  <c r="L378" i="6"/>
  <c r="W377" i="6"/>
  <c r="V377" i="6"/>
  <c r="U377" i="6"/>
  <c r="T377" i="6"/>
  <c r="S377" i="6"/>
  <c r="R377" i="6"/>
  <c r="Q377" i="6"/>
  <c r="P377" i="6"/>
  <c r="O377" i="6"/>
  <c r="N377" i="6"/>
  <c r="M377" i="6"/>
  <c r="L377" i="6"/>
  <c r="W376" i="6"/>
  <c r="V376" i="6"/>
  <c r="U376" i="6"/>
  <c r="T376" i="6"/>
  <c r="S376" i="6"/>
  <c r="R376" i="6"/>
  <c r="Q376" i="6"/>
  <c r="P376" i="6"/>
  <c r="O376" i="6"/>
  <c r="N376" i="6"/>
  <c r="M376" i="6"/>
  <c r="L376" i="6"/>
  <c r="W375" i="6"/>
  <c r="V375" i="6"/>
  <c r="U375" i="6"/>
  <c r="T375" i="6"/>
  <c r="S375" i="6"/>
  <c r="R375" i="6"/>
  <c r="Q375" i="6"/>
  <c r="P375" i="6"/>
  <c r="O375" i="6"/>
  <c r="N375" i="6"/>
  <c r="M375" i="6"/>
  <c r="L375" i="6"/>
  <c r="W374" i="6"/>
  <c r="V374" i="6"/>
  <c r="U374" i="6"/>
  <c r="T374" i="6"/>
  <c r="S374" i="6"/>
  <c r="R374" i="6"/>
  <c r="Q374" i="6"/>
  <c r="P374" i="6"/>
  <c r="O374" i="6"/>
  <c r="N374" i="6"/>
  <c r="M374" i="6"/>
  <c r="L374" i="6"/>
  <c r="W373" i="6"/>
  <c r="V373" i="6"/>
  <c r="U373" i="6"/>
  <c r="T373" i="6"/>
  <c r="S373" i="6"/>
  <c r="R373" i="6"/>
  <c r="Q373" i="6"/>
  <c r="P373" i="6"/>
  <c r="O373" i="6"/>
  <c r="N373" i="6"/>
  <c r="M373" i="6"/>
  <c r="L373" i="6"/>
  <c r="W372" i="6"/>
  <c r="V372" i="6"/>
  <c r="U372" i="6"/>
  <c r="T372" i="6"/>
  <c r="S372" i="6"/>
  <c r="R372" i="6"/>
  <c r="Q372" i="6"/>
  <c r="P372" i="6"/>
  <c r="O372" i="6"/>
  <c r="N372" i="6"/>
  <c r="M372" i="6"/>
  <c r="L372" i="6"/>
  <c r="W371" i="6"/>
  <c r="V371" i="6"/>
  <c r="U371" i="6"/>
  <c r="T371" i="6"/>
  <c r="S371" i="6"/>
  <c r="R371" i="6"/>
  <c r="Q371" i="6"/>
  <c r="P371" i="6"/>
  <c r="O371" i="6"/>
  <c r="N371" i="6"/>
  <c r="M371" i="6"/>
  <c r="L371" i="6"/>
  <c r="W370" i="6"/>
  <c r="V370" i="6"/>
  <c r="U370" i="6"/>
  <c r="T370" i="6"/>
  <c r="S370" i="6"/>
  <c r="R370" i="6"/>
  <c r="Q370" i="6"/>
  <c r="P370" i="6"/>
  <c r="O370" i="6"/>
  <c r="N370" i="6"/>
  <c r="M370" i="6"/>
  <c r="L370" i="6"/>
  <c r="W369" i="6"/>
  <c r="V369" i="6"/>
  <c r="U369" i="6"/>
  <c r="T369" i="6"/>
  <c r="S369" i="6"/>
  <c r="R369" i="6"/>
  <c r="Q369" i="6"/>
  <c r="P369" i="6"/>
  <c r="O369" i="6"/>
  <c r="N369" i="6"/>
  <c r="M369" i="6"/>
  <c r="L369" i="6"/>
  <c r="W368" i="6"/>
  <c r="V368" i="6"/>
  <c r="U368" i="6"/>
  <c r="T368" i="6"/>
  <c r="S368" i="6"/>
  <c r="R368" i="6"/>
  <c r="Q368" i="6"/>
  <c r="P368" i="6"/>
  <c r="O368" i="6"/>
  <c r="N368" i="6"/>
  <c r="M368" i="6"/>
  <c r="L368" i="6"/>
  <c r="W367" i="6"/>
  <c r="V367" i="6"/>
  <c r="U367" i="6"/>
  <c r="T367" i="6"/>
  <c r="S367" i="6"/>
  <c r="R367" i="6"/>
  <c r="Q367" i="6"/>
  <c r="P367" i="6"/>
  <c r="O367" i="6"/>
  <c r="N367" i="6"/>
  <c r="M367" i="6"/>
  <c r="L367" i="6"/>
  <c r="W366" i="6"/>
  <c r="V366" i="6"/>
  <c r="U366" i="6"/>
  <c r="T366" i="6"/>
  <c r="S366" i="6"/>
  <c r="R366" i="6"/>
  <c r="Q366" i="6"/>
  <c r="P366" i="6"/>
  <c r="O366" i="6"/>
  <c r="N366" i="6"/>
  <c r="M366" i="6"/>
  <c r="L366" i="6"/>
  <c r="W365" i="6"/>
  <c r="V365" i="6"/>
  <c r="U365" i="6"/>
  <c r="T365" i="6"/>
  <c r="S365" i="6"/>
  <c r="R365" i="6"/>
  <c r="Q365" i="6"/>
  <c r="P365" i="6"/>
  <c r="O365" i="6"/>
  <c r="N365" i="6"/>
  <c r="M365" i="6"/>
  <c r="L365" i="6"/>
  <c r="W364" i="6"/>
  <c r="V364" i="6"/>
  <c r="U364" i="6"/>
  <c r="T364" i="6"/>
  <c r="S364" i="6"/>
  <c r="R364" i="6"/>
  <c r="Q364" i="6"/>
  <c r="P364" i="6"/>
  <c r="O364" i="6"/>
  <c r="N364" i="6"/>
  <c r="M364" i="6"/>
  <c r="L364" i="6"/>
  <c r="W363" i="6"/>
  <c r="V363" i="6"/>
  <c r="U363" i="6"/>
  <c r="T363" i="6"/>
  <c r="S363" i="6"/>
  <c r="R363" i="6"/>
  <c r="Q363" i="6"/>
  <c r="P363" i="6"/>
  <c r="O363" i="6"/>
  <c r="N363" i="6"/>
  <c r="M363" i="6"/>
  <c r="L363" i="6"/>
  <c r="W362" i="6"/>
  <c r="V362" i="6"/>
  <c r="U362" i="6"/>
  <c r="T362" i="6"/>
  <c r="S362" i="6"/>
  <c r="R362" i="6"/>
  <c r="Q362" i="6"/>
  <c r="P362" i="6"/>
  <c r="O362" i="6"/>
  <c r="N362" i="6"/>
  <c r="M362" i="6"/>
  <c r="L362" i="6"/>
  <c r="W361" i="6"/>
  <c r="V361" i="6"/>
  <c r="U361" i="6"/>
  <c r="T361" i="6"/>
  <c r="S361" i="6"/>
  <c r="R361" i="6"/>
  <c r="Q361" i="6"/>
  <c r="P361" i="6"/>
  <c r="O361" i="6"/>
  <c r="N361" i="6"/>
  <c r="M361" i="6"/>
  <c r="L361" i="6"/>
  <c r="W360" i="6"/>
  <c r="V360" i="6"/>
  <c r="U360" i="6"/>
  <c r="T360" i="6"/>
  <c r="S360" i="6"/>
  <c r="R360" i="6"/>
  <c r="Q360" i="6"/>
  <c r="P360" i="6"/>
  <c r="O360" i="6"/>
  <c r="N360" i="6"/>
  <c r="M360" i="6"/>
  <c r="L360" i="6"/>
  <c r="W359" i="6"/>
  <c r="V359" i="6"/>
  <c r="U359" i="6"/>
  <c r="T359" i="6"/>
  <c r="S359" i="6"/>
  <c r="R359" i="6"/>
  <c r="Q359" i="6"/>
  <c r="P359" i="6"/>
  <c r="O359" i="6"/>
  <c r="N359" i="6"/>
  <c r="M359" i="6"/>
  <c r="L359" i="6"/>
  <c r="W358" i="6"/>
  <c r="V358" i="6"/>
  <c r="U358" i="6"/>
  <c r="T358" i="6"/>
  <c r="S358" i="6"/>
  <c r="R358" i="6"/>
  <c r="Q358" i="6"/>
  <c r="P358" i="6"/>
  <c r="O358" i="6"/>
  <c r="N358" i="6"/>
  <c r="M358" i="6"/>
  <c r="L358" i="6"/>
  <c r="W357" i="6"/>
  <c r="V357" i="6"/>
  <c r="U357" i="6"/>
  <c r="T357" i="6"/>
  <c r="S357" i="6"/>
  <c r="R357" i="6"/>
  <c r="Q357" i="6"/>
  <c r="P357" i="6"/>
  <c r="O357" i="6"/>
  <c r="N357" i="6"/>
  <c r="M357" i="6"/>
  <c r="L357" i="6"/>
  <c r="W356" i="6"/>
  <c r="V356" i="6"/>
  <c r="U356" i="6"/>
  <c r="T356" i="6"/>
  <c r="S356" i="6"/>
  <c r="R356" i="6"/>
  <c r="Q356" i="6"/>
  <c r="P356" i="6"/>
  <c r="O356" i="6"/>
  <c r="N356" i="6"/>
  <c r="M356" i="6"/>
  <c r="L356" i="6"/>
  <c r="W355" i="6"/>
  <c r="V355" i="6"/>
  <c r="U355" i="6"/>
  <c r="T355" i="6"/>
  <c r="S355" i="6"/>
  <c r="R355" i="6"/>
  <c r="Q355" i="6"/>
  <c r="P355" i="6"/>
  <c r="O355" i="6"/>
  <c r="N355" i="6"/>
  <c r="M355" i="6"/>
  <c r="L355" i="6"/>
  <c r="W354" i="6"/>
  <c r="V354" i="6"/>
  <c r="U354" i="6"/>
  <c r="T354" i="6"/>
  <c r="S354" i="6"/>
  <c r="R354" i="6"/>
  <c r="Q354" i="6"/>
  <c r="P354" i="6"/>
  <c r="O354" i="6"/>
  <c r="N354" i="6"/>
  <c r="M354" i="6"/>
  <c r="L354" i="6"/>
  <c r="W353" i="6"/>
  <c r="V353" i="6"/>
  <c r="U353" i="6"/>
  <c r="T353" i="6"/>
  <c r="S353" i="6"/>
  <c r="R353" i="6"/>
  <c r="Q353" i="6"/>
  <c r="P353" i="6"/>
  <c r="O353" i="6"/>
  <c r="N353" i="6"/>
  <c r="M353" i="6"/>
  <c r="L353" i="6"/>
  <c r="W352" i="6"/>
  <c r="V352" i="6"/>
  <c r="U352" i="6"/>
  <c r="T352" i="6"/>
  <c r="S352" i="6"/>
  <c r="R352" i="6"/>
  <c r="Q352" i="6"/>
  <c r="P352" i="6"/>
  <c r="O352" i="6"/>
  <c r="N352" i="6"/>
  <c r="M352" i="6"/>
  <c r="L352" i="6"/>
  <c r="W351" i="6"/>
  <c r="V351" i="6"/>
  <c r="U351" i="6"/>
  <c r="T351" i="6"/>
  <c r="S351" i="6"/>
  <c r="R351" i="6"/>
  <c r="Q351" i="6"/>
  <c r="P351" i="6"/>
  <c r="O351" i="6"/>
  <c r="N351" i="6"/>
  <c r="M351" i="6"/>
  <c r="L351" i="6"/>
  <c r="W350" i="6"/>
  <c r="V350" i="6"/>
  <c r="U350" i="6"/>
  <c r="T350" i="6"/>
  <c r="S350" i="6"/>
  <c r="R350" i="6"/>
  <c r="Q350" i="6"/>
  <c r="P350" i="6"/>
  <c r="O350" i="6"/>
  <c r="N350" i="6"/>
  <c r="M350" i="6"/>
  <c r="L350" i="6"/>
  <c r="W349" i="6"/>
  <c r="V349" i="6"/>
  <c r="U349" i="6"/>
  <c r="T349" i="6"/>
  <c r="S349" i="6"/>
  <c r="R349" i="6"/>
  <c r="Q349" i="6"/>
  <c r="P349" i="6"/>
  <c r="O349" i="6"/>
  <c r="N349" i="6"/>
  <c r="M349" i="6"/>
  <c r="L349" i="6"/>
  <c r="W348" i="6"/>
  <c r="V348" i="6"/>
  <c r="U348" i="6"/>
  <c r="T348" i="6"/>
  <c r="S348" i="6"/>
  <c r="R348" i="6"/>
  <c r="Q348" i="6"/>
  <c r="P348" i="6"/>
  <c r="O348" i="6"/>
  <c r="N348" i="6"/>
  <c r="M348" i="6"/>
  <c r="L348" i="6"/>
  <c r="W347" i="6"/>
  <c r="V347" i="6"/>
  <c r="U347" i="6"/>
  <c r="T347" i="6"/>
  <c r="S347" i="6"/>
  <c r="R347" i="6"/>
  <c r="Q347" i="6"/>
  <c r="P347" i="6"/>
  <c r="O347" i="6"/>
  <c r="N347" i="6"/>
  <c r="M347" i="6"/>
  <c r="L347" i="6"/>
  <c r="W346" i="6"/>
  <c r="V346" i="6"/>
  <c r="U346" i="6"/>
  <c r="T346" i="6"/>
  <c r="S346" i="6"/>
  <c r="Q346" i="6"/>
  <c r="P346" i="6"/>
  <c r="O346" i="6"/>
  <c r="N346" i="6"/>
  <c r="M346" i="6"/>
  <c r="L346" i="6"/>
  <c r="W345" i="6"/>
  <c r="V345" i="6"/>
  <c r="U345" i="6"/>
  <c r="T345" i="6"/>
  <c r="S345" i="6"/>
  <c r="R345" i="6"/>
  <c r="Q345" i="6"/>
  <c r="P345" i="6"/>
  <c r="O345" i="6"/>
  <c r="N345" i="6"/>
  <c r="M345" i="6"/>
  <c r="L345" i="6"/>
  <c r="W344" i="6"/>
  <c r="V344" i="6"/>
  <c r="U344" i="6"/>
  <c r="T344" i="6"/>
  <c r="S344" i="6"/>
  <c r="R344" i="6"/>
  <c r="Q344" i="6"/>
  <c r="P344" i="6"/>
  <c r="O344" i="6"/>
  <c r="N344" i="6"/>
  <c r="M344" i="6"/>
  <c r="L344" i="6"/>
  <c r="W343" i="6"/>
  <c r="V343" i="6"/>
  <c r="U343" i="6"/>
  <c r="T343" i="6"/>
  <c r="S343" i="6"/>
  <c r="R343" i="6"/>
  <c r="Q343" i="6"/>
  <c r="P343" i="6"/>
  <c r="O343" i="6"/>
  <c r="N343" i="6"/>
  <c r="M343" i="6"/>
  <c r="L343" i="6"/>
  <c r="W342" i="6"/>
  <c r="V342" i="6"/>
  <c r="U342" i="6"/>
  <c r="T342" i="6"/>
  <c r="S342" i="6"/>
  <c r="R342" i="6"/>
  <c r="Q342" i="6"/>
  <c r="P342" i="6"/>
  <c r="O342" i="6"/>
  <c r="N342" i="6"/>
  <c r="M342" i="6"/>
  <c r="L342" i="6"/>
  <c r="W341" i="6"/>
  <c r="V341" i="6"/>
  <c r="U341" i="6"/>
  <c r="T341" i="6"/>
  <c r="S341" i="6"/>
  <c r="R341" i="6"/>
  <c r="Q341" i="6"/>
  <c r="P341" i="6"/>
  <c r="O341" i="6"/>
  <c r="N341" i="6"/>
  <c r="M341" i="6"/>
  <c r="L341" i="6"/>
  <c r="W340" i="6"/>
  <c r="V340" i="6"/>
  <c r="U340" i="6"/>
  <c r="T340" i="6"/>
  <c r="S340" i="6"/>
  <c r="R340" i="6"/>
  <c r="Q340" i="6"/>
  <c r="P340" i="6"/>
  <c r="O340" i="6"/>
  <c r="N340" i="6"/>
  <c r="M340" i="6"/>
  <c r="L340" i="6"/>
  <c r="W339" i="6"/>
  <c r="V339" i="6"/>
  <c r="U339" i="6"/>
  <c r="T339" i="6"/>
  <c r="S339" i="6"/>
  <c r="R339" i="6"/>
  <c r="Q339" i="6"/>
  <c r="P339" i="6"/>
  <c r="O339" i="6"/>
  <c r="N339" i="6"/>
  <c r="M339" i="6"/>
  <c r="L339" i="6"/>
  <c r="W338" i="6"/>
  <c r="V338" i="6"/>
  <c r="U338" i="6"/>
  <c r="T338" i="6"/>
  <c r="S338" i="6"/>
  <c r="R338" i="6"/>
  <c r="Q338" i="6"/>
  <c r="P338" i="6"/>
  <c r="O338" i="6"/>
  <c r="N338" i="6"/>
  <c r="M338" i="6"/>
  <c r="L338" i="6"/>
  <c r="W337" i="6"/>
  <c r="V337" i="6"/>
  <c r="U337" i="6"/>
  <c r="T337" i="6"/>
  <c r="S337" i="6"/>
  <c r="R337" i="6"/>
  <c r="Q337" i="6"/>
  <c r="P337" i="6"/>
  <c r="O337" i="6"/>
  <c r="N337" i="6"/>
  <c r="M337" i="6"/>
  <c r="L337" i="6"/>
  <c r="W336" i="6"/>
  <c r="V336" i="6"/>
  <c r="U336" i="6"/>
  <c r="T336" i="6"/>
  <c r="S336" i="6"/>
  <c r="R336" i="6"/>
  <c r="Q336" i="6"/>
  <c r="P336" i="6"/>
  <c r="O336" i="6"/>
  <c r="N336" i="6"/>
  <c r="M336" i="6"/>
  <c r="L336" i="6"/>
  <c r="W335" i="6"/>
  <c r="V335" i="6"/>
  <c r="U335" i="6"/>
  <c r="T335" i="6"/>
  <c r="S335" i="6"/>
  <c r="R335" i="6"/>
  <c r="Q335" i="6"/>
  <c r="P335" i="6"/>
  <c r="O335" i="6"/>
  <c r="N335" i="6"/>
  <c r="M335" i="6"/>
  <c r="L335" i="6"/>
  <c r="W334" i="6"/>
  <c r="V334" i="6"/>
  <c r="U334" i="6"/>
  <c r="T334" i="6"/>
  <c r="S334" i="6"/>
  <c r="R334" i="6"/>
  <c r="Q334" i="6"/>
  <c r="P334" i="6"/>
  <c r="O334" i="6"/>
  <c r="N334" i="6"/>
  <c r="M334" i="6"/>
  <c r="L334" i="6"/>
  <c r="W333" i="6"/>
  <c r="V333" i="6"/>
  <c r="U333" i="6"/>
  <c r="T333" i="6"/>
  <c r="S333" i="6"/>
  <c r="R333" i="6"/>
  <c r="Q333" i="6"/>
  <c r="P333" i="6"/>
  <c r="O333" i="6"/>
  <c r="N333" i="6"/>
  <c r="M333" i="6"/>
  <c r="L333" i="6"/>
  <c r="W332" i="6"/>
  <c r="V332" i="6"/>
  <c r="U332" i="6"/>
  <c r="T332" i="6"/>
  <c r="S332" i="6"/>
  <c r="R332" i="6"/>
  <c r="Q332" i="6"/>
  <c r="P332" i="6"/>
  <c r="O332" i="6"/>
  <c r="N332" i="6"/>
  <c r="M332" i="6"/>
  <c r="L332" i="6"/>
  <c r="W331" i="6"/>
  <c r="V331" i="6"/>
  <c r="U331" i="6"/>
  <c r="T331" i="6"/>
  <c r="S331" i="6"/>
  <c r="R331" i="6"/>
  <c r="Q331" i="6"/>
  <c r="P331" i="6"/>
  <c r="O331" i="6"/>
  <c r="N331" i="6"/>
  <c r="M331" i="6"/>
  <c r="L331" i="6"/>
  <c r="W330" i="6"/>
  <c r="V330" i="6"/>
  <c r="U330" i="6"/>
  <c r="T330" i="6"/>
  <c r="S330" i="6"/>
  <c r="R330" i="6"/>
  <c r="Q330" i="6"/>
  <c r="P330" i="6"/>
  <c r="O330" i="6"/>
  <c r="N330" i="6"/>
  <c r="M330" i="6"/>
  <c r="L330" i="6"/>
  <c r="W329" i="6"/>
  <c r="V329" i="6"/>
  <c r="U329" i="6"/>
  <c r="T329" i="6"/>
  <c r="S329" i="6"/>
  <c r="R329" i="6"/>
  <c r="Q329" i="6"/>
  <c r="P329" i="6"/>
  <c r="O329" i="6"/>
  <c r="N329" i="6"/>
  <c r="M329" i="6"/>
  <c r="L329" i="6"/>
  <c r="W328" i="6"/>
  <c r="V328" i="6"/>
  <c r="U328" i="6"/>
  <c r="T328" i="6"/>
  <c r="S328" i="6"/>
  <c r="R328" i="6"/>
  <c r="Q328" i="6"/>
  <c r="P328" i="6"/>
  <c r="O328" i="6"/>
  <c r="N328" i="6"/>
  <c r="M328" i="6"/>
  <c r="L328" i="6"/>
  <c r="W327" i="6"/>
  <c r="V327" i="6"/>
  <c r="U327" i="6"/>
  <c r="T327" i="6"/>
  <c r="S327" i="6"/>
  <c r="R327" i="6"/>
  <c r="Q327" i="6"/>
  <c r="P327" i="6"/>
  <c r="O327" i="6"/>
  <c r="N327" i="6"/>
  <c r="M327" i="6"/>
  <c r="L327" i="6"/>
  <c r="W326" i="6"/>
  <c r="V326" i="6"/>
  <c r="U326" i="6"/>
  <c r="T326" i="6"/>
  <c r="S326" i="6"/>
  <c r="R326" i="6"/>
  <c r="Q326" i="6"/>
  <c r="P326" i="6"/>
  <c r="O326" i="6"/>
  <c r="N326" i="6"/>
  <c r="M326" i="6"/>
  <c r="L326" i="6"/>
  <c r="W325" i="6"/>
  <c r="V325" i="6"/>
  <c r="U325" i="6"/>
  <c r="T325" i="6"/>
  <c r="S325" i="6"/>
  <c r="R325" i="6"/>
  <c r="Q325" i="6"/>
  <c r="P325" i="6"/>
  <c r="O325" i="6"/>
  <c r="N325" i="6"/>
  <c r="M325" i="6"/>
  <c r="L325" i="6"/>
  <c r="W324" i="6"/>
  <c r="V324" i="6"/>
  <c r="U324" i="6"/>
  <c r="T324" i="6"/>
  <c r="S324" i="6"/>
  <c r="R324" i="6"/>
  <c r="Q324" i="6"/>
  <c r="P324" i="6"/>
  <c r="O324" i="6"/>
  <c r="N324" i="6"/>
  <c r="M324" i="6"/>
  <c r="L324" i="6"/>
  <c r="W323" i="6"/>
  <c r="V323" i="6"/>
  <c r="U323" i="6"/>
  <c r="T323" i="6"/>
  <c r="S323" i="6"/>
  <c r="R323" i="6"/>
  <c r="Q323" i="6"/>
  <c r="P323" i="6"/>
  <c r="O323" i="6"/>
  <c r="N323" i="6"/>
  <c r="M323" i="6"/>
  <c r="L323" i="6"/>
  <c r="W322" i="6"/>
  <c r="V322" i="6"/>
  <c r="U322" i="6"/>
  <c r="T322" i="6"/>
  <c r="S322" i="6"/>
  <c r="R322" i="6"/>
  <c r="Q322" i="6"/>
  <c r="P322" i="6"/>
  <c r="O322" i="6"/>
  <c r="N322" i="6"/>
  <c r="M322" i="6"/>
  <c r="L322" i="6"/>
  <c r="W321" i="6"/>
  <c r="V321" i="6"/>
  <c r="U321" i="6"/>
  <c r="T321" i="6"/>
  <c r="S321" i="6"/>
  <c r="R321" i="6"/>
  <c r="Q321" i="6"/>
  <c r="P321" i="6"/>
  <c r="O321" i="6"/>
  <c r="N321" i="6"/>
  <c r="M321" i="6"/>
  <c r="L321" i="6"/>
  <c r="W320" i="6"/>
  <c r="V320" i="6"/>
  <c r="U320" i="6"/>
  <c r="T320" i="6"/>
  <c r="S320" i="6"/>
  <c r="R320" i="6"/>
  <c r="Q320" i="6"/>
  <c r="P320" i="6"/>
  <c r="O320" i="6"/>
  <c r="N320" i="6"/>
  <c r="M320" i="6"/>
  <c r="L320" i="6"/>
  <c r="W319" i="6"/>
  <c r="V319" i="6"/>
  <c r="U319" i="6"/>
  <c r="T319" i="6"/>
  <c r="S319" i="6"/>
  <c r="R319" i="6"/>
  <c r="Q319" i="6"/>
  <c r="P319" i="6"/>
  <c r="O319" i="6"/>
  <c r="N319" i="6"/>
  <c r="M319" i="6"/>
  <c r="L319" i="6"/>
  <c r="W318" i="6"/>
  <c r="V318" i="6"/>
  <c r="U318" i="6"/>
  <c r="T318" i="6"/>
  <c r="S318" i="6"/>
  <c r="R318" i="6"/>
  <c r="Q318" i="6"/>
  <c r="P318" i="6"/>
  <c r="O318" i="6"/>
  <c r="N318" i="6"/>
  <c r="M318" i="6"/>
  <c r="L318" i="6"/>
  <c r="W317" i="6"/>
  <c r="V317" i="6"/>
  <c r="U317" i="6"/>
  <c r="T317" i="6"/>
  <c r="S317" i="6"/>
  <c r="R317" i="6"/>
  <c r="Q317" i="6"/>
  <c r="P317" i="6"/>
  <c r="O317" i="6"/>
  <c r="N317" i="6"/>
  <c r="M317" i="6"/>
  <c r="L317" i="6"/>
  <c r="W316" i="6"/>
  <c r="V316" i="6"/>
  <c r="U316" i="6"/>
  <c r="T316" i="6"/>
  <c r="S316" i="6"/>
  <c r="R316" i="6"/>
  <c r="Q316" i="6"/>
  <c r="P316" i="6"/>
  <c r="O316" i="6"/>
  <c r="N316" i="6"/>
  <c r="M316" i="6"/>
  <c r="L316" i="6"/>
  <c r="W315" i="6"/>
  <c r="V315" i="6"/>
  <c r="U315" i="6"/>
  <c r="T315" i="6"/>
  <c r="S315" i="6"/>
  <c r="R315" i="6"/>
  <c r="Q315" i="6"/>
  <c r="P315" i="6"/>
  <c r="O315" i="6"/>
  <c r="N315" i="6"/>
  <c r="M315" i="6"/>
  <c r="L315" i="6"/>
  <c r="W314" i="6"/>
  <c r="V314" i="6"/>
  <c r="U314" i="6"/>
  <c r="T314" i="6"/>
  <c r="S314" i="6"/>
  <c r="R314" i="6"/>
  <c r="Q314" i="6"/>
  <c r="P314" i="6"/>
  <c r="O314" i="6"/>
  <c r="N314" i="6"/>
  <c r="M314" i="6"/>
  <c r="L314" i="6"/>
  <c r="W313" i="6"/>
  <c r="V313" i="6"/>
  <c r="U313" i="6"/>
  <c r="T313" i="6"/>
  <c r="S313" i="6"/>
  <c r="R313" i="6"/>
  <c r="Q313" i="6"/>
  <c r="P313" i="6"/>
  <c r="O313" i="6"/>
  <c r="N313" i="6"/>
  <c r="M313" i="6"/>
  <c r="L313" i="6"/>
  <c r="W312" i="6"/>
  <c r="V312" i="6"/>
  <c r="U312" i="6"/>
  <c r="T312" i="6"/>
  <c r="S312" i="6"/>
  <c r="R312" i="6"/>
  <c r="Q312" i="6"/>
  <c r="P312" i="6"/>
  <c r="O312" i="6"/>
  <c r="N312" i="6"/>
  <c r="M312" i="6"/>
  <c r="L312" i="6"/>
  <c r="W311" i="6"/>
  <c r="V311" i="6"/>
  <c r="U311" i="6"/>
  <c r="T311" i="6"/>
  <c r="S311" i="6"/>
  <c r="R311" i="6"/>
  <c r="Q311" i="6"/>
  <c r="P311" i="6"/>
  <c r="O311" i="6"/>
  <c r="N311" i="6"/>
  <c r="M311" i="6"/>
  <c r="L311" i="6"/>
  <c r="W310" i="6"/>
  <c r="V310" i="6"/>
  <c r="U310" i="6"/>
  <c r="T310" i="6"/>
  <c r="S310" i="6"/>
  <c r="R310" i="6"/>
  <c r="Q310" i="6"/>
  <c r="P310" i="6"/>
  <c r="O310" i="6"/>
  <c r="N310" i="6"/>
  <c r="M310" i="6"/>
  <c r="L310" i="6"/>
  <c r="W309" i="6"/>
  <c r="V309" i="6"/>
  <c r="U309" i="6"/>
  <c r="T309" i="6"/>
  <c r="S309" i="6"/>
  <c r="R309" i="6"/>
  <c r="Q309" i="6"/>
  <c r="P309" i="6"/>
  <c r="O309" i="6"/>
  <c r="N309" i="6"/>
  <c r="M309" i="6"/>
  <c r="L309" i="6"/>
  <c r="W308" i="6"/>
  <c r="G14" i="2" s="1"/>
  <c r="V308" i="6"/>
  <c r="U308" i="6"/>
  <c r="T308" i="6"/>
  <c r="S308" i="6"/>
  <c r="R308" i="6"/>
  <c r="Q308" i="6"/>
  <c r="P308" i="6"/>
  <c r="O308" i="6"/>
  <c r="N308" i="6"/>
  <c r="M308" i="6"/>
  <c r="L308" i="6"/>
  <c r="W307" i="6"/>
  <c r="V307" i="6"/>
  <c r="U307" i="6"/>
  <c r="T307" i="6"/>
  <c r="S307" i="6"/>
  <c r="R307" i="6"/>
  <c r="Q307" i="6"/>
  <c r="P307" i="6"/>
  <c r="O307" i="6"/>
  <c r="N307" i="6"/>
  <c r="M307" i="6"/>
  <c r="L307" i="6"/>
  <c r="W306" i="6"/>
  <c r="V306" i="6"/>
  <c r="U306" i="6"/>
  <c r="T306" i="6"/>
  <c r="S306" i="6"/>
  <c r="R306" i="6"/>
  <c r="Q306" i="6"/>
  <c r="P306" i="6"/>
  <c r="O306" i="6"/>
  <c r="N306" i="6"/>
  <c r="M306" i="6"/>
  <c r="L306" i="6"/>
  <c r="W305" i="6"/>
  <c r="V305" i="6"/>
  <c r="U305" i="6"/>
  <c r="T305" i="6"/>
  <c r="S305" i="6"/>
  <c r="R305" i="6"/>
  <c r="Q305" i="6"/>
  <c r="P305" i="6"/>
  <c r="O305" i="6"/>
  <c r="N305" i="6"/>
  <c r="M305" i="6"/>
  <c r="L305" i="6"/>
  <c r="W304" i="6"/>
  <c r="V304" i="6"/>
  <c r="U304" i="6"/>
  <c r="T304" i="6"/>
  <c r="S304" i="6"/>
  <c r="R304" i="6"/>
  <c r="Q304" i="6"/>
  <c r="P304" i="6"/>
  <c r="O304" i="6"/>
  <c r="N304" i="6"/>
  <c r="M304" i="6"/>
  <c r="L304" i="6"/>
  <c r="W303" i="6"/>
  <c r="V303" i="6"/>
  <c r="U303" i="6"/>
  <c r="T303" i="6"/>
  <c r="S303" i="6"/>
  <c r="R303" i="6"/>
  <c r="Q303" i="6"/>
  <c r="P303" i="6"/>
  <c r="O303" i="6"/>
  <c r="N303" i="6"/>
  <c r="M303" i="6"/>
  <c r="L303" i="6"/>
  <c r="W302" i="6"/>
  <c r="V302" i="6"/>
  <c r="U302" i="6"/>
  <c r="T302" i="6"/>
  <c r="S302" i="6"/>
  <c r="R302" i="6"/>
  <c r="Q302" i="6"/>
  <c r="P302" i="6"/>
  <c r="O302" i="6"/>
  <c r="N302" i="6"/>
  <c r="M302" i="6"/>
  <c r="L302" i="6"/>
  <c r="W301" i="6"/>
  <c r="V301" i="6"/>
  <c r="U301" i="6"/>
  <c r="T301" i="6"/>
  <c r="S301" i="6"/>
  <c r="R301" i="6"/>
  <c r="Q301" i="6"/>
  <c r="P301" i="6"/>
  <c r="O301" i="6"/>
  <c r="N301" i="6"/>
  <c r="M301" i="6"/>
  <c r="L301" i="6"/>
  <c r="W300" i="6"/>
  <c r="V300" i="6"/>
  <c r="U300" i="6"/>
  <c r="T300" i="6"/>
  <c r="S300" i="6"/>
  <c r="R300" i="6"/>
  <c r="Q300" i="6"/>
  <c r="P300" i="6"/>
  <c r="O300" i="6"/>
  <c r="N300" i="6"/>
  <c r="M300" i="6"/>
  <c r="L300" i="6"/>
  <c r="W299" i="6"/>
  <c r="V299" i="6"/>
  <c r="U299" i="6"/>
  <c r="T299" i="6"/>
  <c r="S299" i="6"/>
  <c r="R299" i="6"/>
  <c r="Q299" i="6"/>
  <c r="P299" i="6"/>
  <c r="O299" i="6"/>
  <c r="N299" i="6"/>
  <c r="M299" i="6"/>
  <c r="L299" i="6"/>
  <c r="W298" i="6"/>
  <c r="V298" i="6"/>
  <c r="U298" i="6"/>
  <c r="T298" i="6"/>
  <c r="S298" i="6"/>
  <c r="R298" i="6"/>
  <c r="Q298" i="6"/>
  <c r="P298" i="6"/>
  <c r="O298" i="6"/>
  <c r="N298" i="6"/>
  <c r="M298" i="6"/>
  <c r="L298" i="6"/>
  <c r="W297" i="6"/>
  <c r="V297" i="6"/>
  <c r="U297" i="6"/>
  <c r="T297" i="6"/>
  <c r="S297" i="6"/>
  <c r="R297" i="6"/>
  <c r="Q297" i="6"/>
  <c r="P297" i="6"/>
  <c r="O297" i="6"/>
  <c r="N297" i="6"/>
  <c r="M297" i="6"/>
  <c r="L297" i="6"/>
  <c r="W296" i="6"/>
  <c r="V296" i="6"/>
  <c r="U296" i="6"/>
  <c r="T296" i="6"/>
  <c r="S296" i="6"/>
  <c r="R296" i="6"/>
  <c r="Q296" i="6"/>
  <c r="P296" i="6"/>
  <c r="O296" i="6"/>
  <c r="N296" i="6"/>
  <c r="M296" i="6"/>
  <c r="L296" i="6"/>
  <c r="W295" i="6"/>
  <c r="V295" i="6"/>
  <c r="U295" i="6"/>
  <c r="T295" i="6"/>
  <c r="S295" i="6"/>
  <c r="R295" i="6"/>
  <c r="Q295" i="6"/>
  <c r="P295" i="6"/>
  <c r="O295" i="6"/>
  <c r="N295" i="6"/>
  <c r="M295" i="6"/>
  <c r="L295" i="6"/>
  <c r="W294" i="6"/>
  <c r="V294" i="6"/>
  <c r="U294" i="6"/>
  <c r="T294" i="6"/>
  <c r="S294" i="6"/>
  <c r="R294" i="6"/>
  <c r="Q294" i="6"/>
  <c r="P294" i="6"/>
  <c r="O294" i="6"/>
  <c r="N294" i="6"/>
  <c r="M294" i="6"/>
  <c r="L294" i="6"/>
  <c r="W293" i="6"/>
  <c r="V293" i="6"/>
  <c r="U293" i="6"/>
  <c r="T293" i="6"/>
  <c r="S293" i="6"/>
  <c r="R293" i="6"/>
  <c r="Q293" i="6"/>
  <c r="P293" i="6"/>
  <c r="O293" i="6"/>
  <c r="N293" i="6"/>
  <c r="M293" i="6"/>
  <c r="L293" i="6"/>
  <c r="W292" i="6"/>
  <c r="V292" i="6"/>
  <c r="U292" i="6"/>
  <c r="T292" i="6"/>
  <c r="S292" i="6"/>
  <c r="R292" i="6"/>
  <c r="Q292" i="6"/>
  <c r="P292" i="6"/>
  <c r="O292" i="6"/>
  <c r="N292" i="6"/>
  <c r="M292" i="6"/>
  <c r="L292" i="6"/>
  <c r="W291" i="6"/>
  <c r="V291" i="6"/>
  <c r="U291" i="6"/>
  <c r="T291" i="6"/>
  <c r="S291" i="6"/>
  <c r="R291" i="6"/>
  <c r="Q291" i="6"/>
  <c r="P291" i="6"/>
  <c r="O291" i="6"/>
  <c r="N291" i="6"/>
  <c r="M291" i="6"/>
  <c r="L291" i="6"/>
  <c r="W290" i="6"/>
  <c r="V290" i="6"/>
  <c r="U290" i="6"/>
  <c r="T290" i="6"/>
  <c r="S290" i="6"/>
  <c r="R290" i="6"/>
  <c r="Q290" i="6"/>
  <c r="P290" i="6"/>
  <c r="O290" i="6"/>
  <c r="N290" i="6"/>
  <c r="M290" i="6"/>
  <c r="L290" i="6"/>
  <c r="W289" i="6"/>
  <c r="V289" i="6"/>
  <c r="U289" i="6"/>
  <c r="T289" i="6"/>
  <c r="S289" i="6"/>
  <c r="R289" i="6"/>
  <c r="Q289" i="6"/>
  <c r="P289" i="6"/>
  <c r="O289" i="6"/>
  <c r="N289" i="6"/>
  <c r="M289" i="6"/>
  <c r="L289" i="6"/>
  <c r="W288" i="6"/>
  <c r="V288" i="6"/>
  <c r="U288" i="6"/>
  <c r="T288" i="6"/>
  <c r="S288" i="6"/>
  <c r="R288" i="6"/>
  <c r="Q288" i="6"/>
  <c r="P288" i="6"/>
  <c r="O288" i="6"/>
  <c r="N288" i="6"/>
  <c r="M288" i="6"/>
  <c r="L288" i="6"/>
  <c r="W287" i="6"/>
  <c r="V287" i="6"/>
  <c r="U287" i="6"/>
  <c r="T287" i="6"/>
  <c r="S287" i="6"/>
  <c r="R287" i="6"/>
  <c r="Q287" i="6"/>
  <c r="P287" i="6"/>
  <c r="O287" i="6"/>
  <c r="N287" i="6"/>
  <c r="M287" i="6"/>
  <c r="L287" i="6"/>
  <c r="W286" i="6"/>
  <c r="V286" i="6"/>
  <c r="U286" i="6"/>
  <c r="T286" i="6"/>
  <c r="S286" i="6"/>
  <c r="R286" i="6"/>
  <c r="Q286" i="6"/>
  <c r="P286" i="6"/>
  <c r="O286" i="6"/>
  <c r="N286" i="6"/>
  <c r="M286" i="6"/>
  <c r="L286" i="6"/>
  <c r="W285" i="6"/>
  <c r="V285" i="6"/>
  <c r="U285" i="6"/>
  <c r="T285" i="6"/>
  <c r="S285" i="6"/>
  <c r="R285" i="6"/>
  <c r="Q285" i="6"/>
  <c r="P285" i="6"/>
  <c r="O285" i="6"/>
  <c r="N285" i="6"/>
  <c r="M285" i="6"/>
  <c r="L285" i="6"/>
  <c r="W284" i="6"/>
  <c r="V284" i="6"/>
  <c r="U284" i="6"/>
  <c r="T284" i="6"/>
  <c r="S284" i="6"/>
  <c r="R284" i="6"/>
  <c r="Q284" i="6"/>
  <c r="P284" i="6"/>
  <c r="O284" i="6"/>
  <c r="N284" i="6"/>
  <c r="M284" i="6"/>
  <c r="L284" i="6"/>
  <c r="W283" i="6"/>
  <c r="V283" i="6"/>
  <c r="U283" i="6"/>
  <c r="T283" i="6"/>
  <c r="S283" i="6"/>
  <c r="R283" i="6"/>
  <c r="Q283" i="6"/>
  <c r="P283" i="6"/>
  <c r="O283" i="6"/>
  <c r="N283" i="6"/>
  <c r="M283" i="6"/>
  <c r="L283" i="6"/>
  <c r="W282" i="6"/>
  <c r="V282" i="6"/>
  <c r="U282" i="6"/>
  <c r="T282" i="6"/>
  <c r="S282" i="6"/>
  <c r="R282" i="6"/>
  <c r="Q282" i="6"/>
  <c r="P282" i="6"/>
  <c r="O282" i="6"/>
  <c r="N282" i="6"/>
  <c r="M282" i="6"/>
  <c r="L282" i="6"/>
  <c r="W281" i="6"/>
  <c r="V281" i="6"/>
  <c r="U281" i="6"/>
  <c r="T281" i="6"/>
  <c r="S281" i="6"/>
  <c r="R281" i="6"/>
  <c r="Q281" i="6"/>
  <c r="P281" i="6"/>
  <c r="O281" i="6"/>
  <c r="N281" i="6"/>
  <c r="M281" i="6"/>
  <c r="L281" i="6"/>
  <c r="W280" i="6"/>
  <c r="V280" i="6"/>
  <c r="U280" i="6"/>
  <c r="T280" i="6"/>
  <c r="S280" i="6"/>
  <c r="R280" i="6"/>
  <c r="Q280" i="6"/>
  <c r="P280" i="6"/>
  <c r="O280" i="6"/>
  <c r="N280" i="6"/>
  <c r="M280" i="6"/>
  <c r="L280" i="6"/>
  <c r="W279" i="6"/>
  <c r="V279" i="6"/>
  <c r="U279" i="6"/>
  <c r="T279" i="6"/>
  <c r="S279" i="6"/>
  <c r="R279" i="6"/>
  <c r="Q279" i="6"/>
  <c r="P279" i="6"/>
  <c r="O279" i="6"/>
  <c r="N279" i="6"/>
  <c r="M279" i="6"/>
  <c r="L279" i="6"/>
  <c r="W278" i="6"/>
  <c r="V278" i="6"/>
  <c r="U278" i="6"/>
  <c r="T278" i="6"/>
  <c r="S278" i="6"/>
  <c r="R278" i="6"/>
  <c r="Q278" i="6"/>
  <c r="P278" i="6"/>
  <c r="O278" i="6"/>
  <c r="N278" i="6"/>
  <c r="M278" i="6"/>
  <c r="L278" i="6"/>
  <c r="W277" i="6"/>
  <c r="V277" i="6"/>
  <c r="U277" i="6"/>
  <c r="T277" i="6"/>
  <c r="S277" i="6"/>
  <c r="R277" i="6"/>
  <c r="Q277" i="6"/>
  <c r="P277" i="6"/>
  <c r="O277" i="6"/>
  <c r="N277" i="6"/>
  <c r="M277" i="6"/>
  <c r="L277" i="6"/>
  <c r="W276" i="6"/>
  <c r="V276" i="6"/>
  <c r="U276" i="6"/>
  <c r="T276" i="6"/>
  <c r="S276" i="6"/>
  <c r="R276" i="6"/>
  <c r="Q276" i="6"/>
  <c r="P276" i="6"/>
  <c r="O276" i="6"/>
  <c r="N276" i="6"/>
  <c r="M276" i="6"/>
  <c r="L276" i="6"/>
  <c r="W275" i="6"/>
  <c r="V275" i="6"/>
  <c r="U275" i="6"/>
  <c r="T275" i="6"/>
  <c r="S275" i="6"/>
  <c r="R275" i="6"/>
  <c r="Q275" i="6"/>
  <c r="P275" i="6"/>
  <c r="O275" i="6"/>
  <c r="N275" i="6"/>
  <c r="M275" i="6"/>
  <c r="L275" i="6"/>
  <c r="W274" i="6"/>
  <c r="V274" i="6"/>
  <c r="U274" i="6"/>
  <c r="T274" i="6"/>
  <c r="S274" i="6"/>
  <c r="R274" i="6"/>
  <c r="Q274" i="6"/>
  <c r="P274" i="6"/>
  <c r="O274" i="6"/>
  <c r="N274" i="6"/>
  <c r="M274" i="6"/>
  <c r="L274" i="6"/>
  <c r="W273" i="6"/>
  <c r="V273" i="6"/>
  <c r="U273" i="6"/>
  <c r="T273" i="6"/>
  <c r="S273" i="6"/>
  <c r="R273" i="6"/>
  <c r="Q273" i="6"/>
  <c r="P273" i="6"/>
  <c r="O273" i="6"/>
  <c r="N273" i="6"/>
  <c r="M273" i="6"/>
  <c r="L273" i="6"/>
  <c r="W272" i="6"/>
  <c r="V272" i="6"/>
  <c r="U272" i="6"/>
  <c r="T272" i="6"/>
  <c r="Q272" i="6"/>
  <c r="P272" i="6"/>
  <c r="N272" i="6"/>
  <c r="L272" i="6"/>
  <c r="T271" i="6"/>
  <c r="S271" i="6"/>
  <c r="P271" i="6"/>
  <c r="O271" i="6"/>
  <c r="N271" i="6"/>
  <c r="L271" i="6"/>
  <c r="W270" i="6"/>
  <c r="V270" i="6"/>
  <c r="U270" i="6"/>
  <c r="T270" i="6"/>
  <c r="S270" i="6"/>
  <c r="R270" i="6"/>
  <c r="Q270" i="6"/>
  <c r="P270" i="6"/>
  <c r="O270" i="6"/>
  <c r="N270" i="6"/>
  <c r="M270" i="6"/>
  <c r="L270" i="6"/>
  <c r="W269" i="6"/>
  <c r="V269" i="6"/>
  <c r="U269" i="6"/>
  <c r="T269" i="6"/>
  <c r="S269" i="6"/>
  <c r="R269" i="6"/>
  <c r="Q269" i="6"/>
  <c r="P269" i="6"/>
  <c r="O269" i="6"/>
  <c r="N269" i="6"/>
  <c r="M269" i="6"/>
  <c r="L269" i="6"/>
  <c r="W268" i="6"/>
  <c r="V268" i="6"/>
  <c r="U268" i="6"/>
  <c r="T268" i="6"/>
  <c r="S268" i="6"/>
  <c r="R268" i="6"/>
  <c r="Q268" i="6"/>
  <c r="P268" i="6"/>
  <c r="O268" i="6"/>
  <c r="N268" i="6"/>
  <c r="M268" i="6"/>
  <c r="L268" i="6"/>
  <c r="W267" i="6"/>
  <c r="V267" i="6"/>
  <c r="U267" i="6"/>
  <c r="T267" i="6"/>
  <c r="S267" i="6"/>
  <c r="R267" i="6"/>
  <c r="Q267" i="6"/>
  <c r="P267" i="6"/>
  <c r="O267" i="6"/>
  <c r="N267" i="6"/>
  <c r="M267" i="6"/>
  <c r="L267" i="6"/>
  <c r="W266" i="6"/>
  <c r="V266" i="6"/>
  <c r="U266" i="6"/>
  <c r="T266" i="6"/>
  <c r="S266" i="6"/>
  <c r="R266" i="6"/>
  <c r="Q266" i="6"/>
  <c r="P266" i="6"/>
  <c r="O266" i="6"/>
  <c r="N266" i="6"/>
  <c r="M266" i="6"/>
  <c r="L266" i="6"/>
  <c r="W265" i="6"/>
  <c r="V265" i="6"/>
  <c r="U265" i="6"/>
  <c r="S265" i="6"/>
  <c r="R265" i="6"/>
  <c r="Q265" i="6"/>
  <c r="P265" i="6"/>
  <c r="O265" i="6"/>
  <c r="N265" i="6"/>
  <c r="M265" i="6"/>
  <c r="L265" i="6"/>
  <c r="U264" i="6"/>
  <c r="T264" i="6"/>
  <c r="S264" i="6"/>
  <c r="R264" i="6"/>
  <c r="P264" i="6"/>
  <c r="O264" i="6"/>
  <c r="N264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W262" i="6"/>
  <c r="V262" i="6"/>
  <c r="U262" i="6"/>
  <c r="T262" i="6"/>
  <c r="S262" i="6"/>
  <c r="R262" i="6"/>
  <c r="Q262" i="6"/>
  <c r="P262" i="6"/>
  <c r="O262" i="6"/>
  <c r="N262" i="6"/>
  <c r="M262" i="6"/>
  <c r="L262" i="6"/>
  <c r="W261" i="6"/>
  <c r="V261" i="6"/>
  <c r="U261" i="6"/>
  <c r="T261" i="6"/>
  <c r="S261" i="6"/>
  <c r="R261" i="6"/>
  <c r="Q261" i="6"/>
  <c r="P261" i="6"/>
  <c r="O261" i="6"/>
  <c r="N261" i="6"/>
  <c r="M261" i="6"/>
  <c r="L261" i="6"/>
  <c r="W260" i="6"/>
  <c r="V260" i="6"/>
  <c r="U260" i="6"/>
  <c r="T260" i="6"/>
  <c r="S260" i="6"/>
  <c r="R260" i="6"/>
  <c r="Q260" i="6"/>
  <c r="P260" i="6"/>
  <c r="O260" i="6"/>
  <c r="N260" i="6"/>
  <c r="M260" i="6"/>
  <c r="L260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W258" i="6"/>
  <c r="V258" i="6"/>
  <c r="U258" i="6"/>
  <c r="T258" i="6"/>
  <c r="S258" i="6"/>
  <c r="R258" i="6"/>
  <c r="Q258" i="6"/>
  <c r="P258" i="6"/>
  <c r="O258" i="6"/>
  <c r="N258" i="6"/>
  <c r="M258" i="6"/>
  <c r="L258" i="6"/>
  <c r="W257" i="6"/>
  <c r="V257" i="6"/>
  <c r="U257" i="6"/>
  <c r="T257" i="6"/>
  <c r="S257" i="6"/>
  <c r="R257" i="6"/>
  <c r="Q257" i="6"/>
  <c r="P257" i="6"/>
  <c r="O257" i="6"/>
  <c r="N257" i="6"/>
  <c r="M257" i="6"/>
  <c r="L257" i="6"/>
  <c r="W256" i="6"/>
  <c r="V256" i="6"/>
  <c r="U256" i="6"/>
  <c r="T256" i="6"/>
  <c r="S256" i="6"/>
  <c r="R256" i="6"/>
  <c r="Q256" i="6"/>
  <c r="P256" i="6"/>
  <c r="O256" i="6"/>
  <c r="N256" i="6"/>
  <c r="M256" i="6"/>
  <c r="L256" i="6"/>
  <c r="W255" i="6"/>
  <c r="V255" i="6"/>
  <c r="U255" i="6"/>
  <c r="T255" i="6"/>
  <c r="S255" i="6"/>
  <c r="R255" i="6"/>
  <c r="Q255" i="6"/>
  <c r="P255" i="6"/>
  <c r="O255" i="6"/>
  <c r="N255" i="6"/>
  <c r="M255" i="6"/>
  <c r="L255" i="6"/>
  <c r="W254" i="6"/>
  <c r="C48" i="2" s="1"/>
  <c r="V254" i="6"/>
  <c r="U254" i="6"/>
  <c r="T254" i="6"/>
  <c r="S254" i="6"/>
  <c r="R254" i="6"/>
  <c r="Q254" i="6"/>
  <c r="P254" i="6"/>
  <c r="O254" i="6"/>
  <c r="N254" i="6"/>
  <c r="M254" i="6"/>
  <c r="L254" i="6"/>
  <c r="W253" i="6"/>
  <c r="V253" i="6"/>
  <c r="U253" i="6"/>
  <c r="T253" i="6"/>
  <c r="S253" i="6"/>
  <c r="R253" i="6"/>
  <c r="Q253" i="6"/>
  <c r="P253" i="6"/>
  <c r="O253" i="6"/>
  <c r="N253" i="6"/>
  <c r="M253" i="6"/>
  <c r="L253" i="6"/>
  <c r="W252" i="6"/>
  <c r="V252" i="6"/>
  <c r="U252" i="6"/>
  <c r="T252" i="6"/>
  <c r="S252" i="6"/>
  <c r="R252" i="6"/>
  <c r="Q252" i="6"/>
  <c r="P252" i="6"/>
  <c r="O252" i="6"/>
  <c r="N252" i="6"/>
  <c r="M252" i="6"/>
  <c r="L252" i="6"/>
  <c r="W251" i="6"/>
  <c r="V251" i="6"/>
  <c r="U251" i="6"/>
  <c r="T251" i="6"/>
  <c r="S251" i="6"/>
  <c r="R251" i="6"/>
  <c r="Q251" i="6"/>
  <c r="P251" i="6"/>
  <c r="O251" i="6"/>
  <c r="N251" i="6"/>
  <c r="M251" i="6"/>
  <c r="L251" i="6"/>
  <c r="W250" i="6"/>
  <c r="V250" i="6"/>
  <c r="U250" i="6"/>
  <c r="T250" i="6"/>
  <c r="S250" i="6"/>
  <c r="R250" i="6"/>
  <c r="Q250" i="6"/>
  <c r="P250" i="6"/>
  <c r="O250" i="6"/>
  <c r="N250" i="6"/>
  <c r="M250" i="6"/>
  <c r="L250" i="6"/>
  <c r="S249" i="6"/>
  <c r="R249" i="6"/>
  <c r="Q249" i="6"/>
  <c r="N249" i="6"/>
  <c r="M249" i="6"/>
  <c r="W248" i="6"/>
  <c r="V248" i="6"/>
  <c r="U248" i="6"/>
  <c r="T248" i="6"/>
  <c r="S248" i="6"/>
  <c r="R248" i="6"/>
  <c r="Q248" i="6"/>
  <c r="P248" i="6"/>
  <c r="O248" i="6"/>
  <c r="N248" i="6"/>
  <c r="M248" i="6"/>
  <c r="L248" i="6"/>
  <c r="W247" i="6"/>
  <c r="V247" i="6"/>
  <c r="U247" i="6"/>
  <c r="T247" i="6"/>
  <c r="S247" i="6"/>
  <c r="R247" i="6"/>
  <c r="Q247" i="6"/>
  <c r="P247" i="6"/>
  <c r="O247" i="6"/>
  <c r="N247" i="6"/>
  <c r="M247" i="6"/>
  <c r="L247" i="6"/>
  <c r="W246" i="6"/>
  <c r="V246" i="6"/>
  <c r="U246" i="6"/>
  <c r="T246" i="6"/>
  <c r="S246" i="6"/>
  <c r="R246" i="6"/>
  <c r="Q246" i="6"/>
  <c r="P246" i="6"/>
  <c r="O246" i="6"/>
  <c r="N246" i="6"/>
  <c r="M246" i="6"/>
  <c r="L246" i="6"/>
  <c r="W245" i="6"/>
  <c r="V245" i="6"/>
  <c r="U245" i="6"/>
  <c r="T245" i="6"/>
  <c r="S245" i="6"/>
  <c r="R245" i="6"/>
  <c r="Q245" i="6"/>
  <c r="P245" i="6"/>
  <c r="O245" i="6"/>
  <c r="N245" i="6"/>
  <c r="M245" i="6"/>
  <c r="L245" i="6"/>
  <c r="W244" i="6"/>
  <c r="V244" i="6"/>
  <c r="U244" i="6"/>
  <c r="T244" i="6"/>
  <c r="S244" i="6"/>
  <c r="R244" i="6"/>
  <c r="Q244" i="6"/>
  <c r="P244" i="6"/>
  <c r="O244" i="6"/>
  <c r="N244" i="6"/>
  <c r="M244" i="6"/>
  <c r="L244" i="6"/>
  <c r="W243" i="6"/>
  <c r="V243" i="6"/>
  <c r="U243" i="6"/>
  <c r="T243" i="6"/>
  <c r="S243" i="6"/>
  <c r="R243" i="6"/>
  <c r="Q243" i="6"/>
  <c r="P243" i="6"/>
  <c r="O243" i="6"/>
  <c r="N243" i="6"/>
  <c r="M243" i="6"/>
  <c r="L243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W241" i="6"/>
  <c r="V241" i="6"/>
  <c r="U241" i="6"/>
  <c r="T241" i="6"/>
  <c r="S241" i="6"/>
  <c r="R241" i="6"/>
  <c r="Q241" i="6"/>
  <c r="P241" i="6"/>
  <c r="O241" i="6"/>
  <c r="N241" i="6"/>
  <c r="M241" i="6"/>
  <c r="L241" i="6"/>
  <c r="W240" i="6"/>
  <c r="V240" i="6"/>
  <c r="U240" i="6"/>
  <c r="T240" i="6"/>
  <c r="S240" i="6"/>
  <c r="R240" i="6"/>
  <c r="Q240" i="6"/>
  <c r="P240" i="6"/>
  <c r="O240" i="6"/>
  <c r="N240" i="6"/>
  <c r="M240" i="6"/>
  <c r="L240" i="6"/>
  <c r="W239" i="6"/>
  <c r="V239" i="6"/>
  <c r="U239" i="6"/>
  <c r="T239" i="6"/>
  <c r="S239" i="6"/>
  <c r="R239" i="6"/>
  <c r="Q239" i="6"/>
  <c r="P239" i="6"/>
  <c r="O239" i="6"/>
  <c r="N239" i="6"/>
  <c r="M239" i="6"/>
  <c r="L239" i="6"/>
  <c r="W238" i="6"/>
  <c r="V238" i="6"/>
  <c r="U238" i="6"/>
  <c r="T238" i="6"/>
  <c r="S238" i="6"/>
  <c r="R238" i="6"/>
  <c r="Q238" i="6"/>
  <c r="P238" i="6"/>
  <c r="O238" i="6"/>
  <c r="N238" i="6"/>
  <c r="M238" i="6"/>
  <c r="L238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W234" i="6"/>
  <c r="V234" i="6"/>
  <c r="U234" i="6"/>
  <c r="T234" i="6"/>
  <c r="S234" i="6"/>
  <c r="R234" i="6"/>
  <c r="Q234" i="6"/>
  <c r="P234" i="6"/>
  <c r="O234" i="6"/>
  <c r="N234" i="6"/>
  <c r="M234" i="6"/>
  <c r="L234" i="6"/>
  <c r="W233" i="6"/>
  <c r="V233" i="6"/>
  <c r="U233" i="6"/>
  <c r="T233" i="6"/>
  <c r="S233" i="6"/>
  <c r="R233" i="6"/>
  <c r="Q233" i="6"/>
  <c r="P233" i="6"/>
  <c r="O233" i="6"/>
  <c r="N233" i="6"/>
  <c r="M233" i="6"/>
  <c r="L233" i="6"/>
  <c r="W232" i="6"/>
  <c r="V232" i="6"/>
  <c r="U232" i="6"/>
  <c r="T232" i="6"/>
  <c r="S232" i="6"/>
  <c r="R232" i="6"/>
  <c r="Q232" i="6"/>
  <c r="P232" i="6"/>
  <c r="O232" i="6"/>
  <c r="N232" i="6"/>
  <c r="M232" i="6"/>
  <c r="L232" i="6"/>
  <c r="W231" i="6"/>
  <c r="V231" i="6"/>
  <c r="U231" i="6"/>
  <c r="T231" i="6"/>
  <c r="S231" i="6"/>
  <c r="R231" i="6"/>
  <c r="Q231" i="6"/>
  <c r="P231" i="6"/>
  <c r="O231" i="6"/>
  <c r="N231" i="6"/>
  <c r="M231" i="6"/>
  <c r="L231" i="6"/>
  <c r="W230" i="6"/>
  <c r="V230" i="6"/>
  <c r="U230" i="6"/>
  <c r="T230" i="6"/>
  <c r="S230" i="6"/>
  <c r="R230" i="6"/>
  <c r="Q230" i="6"/>
  <c r="P230" i="6"/>
  <c r="O230" i="6"/>
  <c r="N230" i="6"/>
  <c r="M230" i="6"/>
  <c r="L230" i="6"/>
  <c r="W229" i="6"/>
  <c r="V229" i="6"/>
  <c r="U229" i="6"/>
  <c r="T229" i="6"/>
  <c r="S229" i="6"/>
  <c r="R229" i="6"/>
  <c r="Q229" i="6"/>
  <c r="P229" i="6"/>
  <c r="O229" i="6"/>
  <c r="N229" i="6"/>
  <c r="M229" i="6"/>
  <c r="L229" i="6"/>
  <c r="W228" i="6"/>
  <c r="V228" i="6"/>
  <c r="U228" i="6"/>
  <c r="T228" i="6"/>
  <c r="S228" i="6"/>
  <c r="R228" i="6"/>
  <c r="Q228" i="6"/>
  <c r="P228" i="6"/>
  <c r="O228" i="6"/>
  <c r="N228" i="6"/>
  <c r="M228" i="6"/>
  <c r="L228" i="6"/>
  <c r="W227" i="6"/>
  <c r="V227" i="6"/>
  <c r="U227" i="6"/>
  <c r="T227" i="6"/>
  <c r="S227" i="6"/>
  <c r="R227" i="6"/>
  <c r="Q227" i="6"/>
  <c r="P227" i="6"/>
  <c r="O227" i="6"/>
  <c r="N227" i="6"/>
  <c r="M227" i="6"/>
  <c r="L227" i="6"/>
  <c r="W226" i="6"/>
  <c r="V226" i="6"/>
  <c r="U226" i="6"/>
  <c r="T226" i="6"/>
  <c r="S226" i="6"/>
  <c r="R226" i="6"/>
  <c r="Q226" i="6"/>
  <c r="P226" i="6"/>
  <c r="O226" i="6"/>
  <c r="N226" i="6"/>
  <c r="M226" i="6"/>
  <c r="L226" i="6"/>
  <c r="W225" i="6"/>
  <c r="V225" i="6"/>
  <c r="U225" i="6"/>
  <c r="T225" i="6"/>
  <c r="S225" i="6"/>
  <c r="R225" i="6"/>
  <c r="Q225" i="6"/>
  <c r="P225" i="6"/>
  <c r="O225" i="6"/>
  <c r="N225" i="6"/>
  <c r="M225" i="6"/>
  <c r="L225" i="6"/>
  <c r="W224" i="6"/>
  <c r="C46" i="2" s="1"/>
  <c r="V224" i="6"/>
  <c r="U224" i="6"/>
  <c r="T224" i="6"/>
  <c r="S224" i="6"/>
  <c r="R224" i="6"/>
  <c r="Q224" i="6"/>
  <c r="P224" i="6"/>
  <c r="O224" i="6"/>
  <c r="N224" i="6"/>
  <c r="M224" i="6"/>
  <c r="L224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W222" i="6"/>
  <c r="V222" i="6"/>
  <c r="U222" i="6"/>
  <c r="T222" i="6"/>
  <c r="S222" i="6"/>
  <c r="R222" i="6"/>
  <c r="Q222" i="6"/>
  <c r="P222" i="6"/>
  <c r="O222" i="6"/>
  <c r="N222" i="6"/>
  <c r="M222" i="6"/>
  <c r="L222" i="6"/>
  <c r="W221" i="6"/>
  <c r="V221" i="6"/>
  <c r="U221" i="6"/>
  <c r="T221" i="6"/>
  <c r="S221" i="6"/>
  <c r="R221" i="6"/>
  <c r="Q221" i="6"/>
  <c r="P221" i="6"/>
  <c r="O221" i="6"/>
  <c r="N221" i="6"/>
  <c r="M221" i="6"/>
  <c r="L221" i="6"/>
  <c r="W220" i="6"/>
  <c r="V220" i="6"/>
  <c r="U220" i="6"/>
  <c r="T220" i="6"/>
  <c r="S220" i="6"/>
  <c r="R220" i="6"/>
  <c r="Q220" i="6"/>
  <c r="P220" i="6"/>
  <c r="O220" i="6"/>
  <c r="N220" i="6"/>
  <c r="M220" i="6"/>
  <c r="L220" i="6"/>
  <c r="W219" i="6"/>
  <c r="V219" i="6"/>
  <c r="U219" i="6"/>
  <c r="T219" i="6"/>
  <c r="S219" i="6"/>
  <c r="R219" i="6"/>
  <c r="Q219" i="6"/>
  <c r="P219" i="6"/>
  <c r="O219" i="6"/>
  <c r="N219" i="6"/>
  <c r="M219" i="6"/>
  <c r="L219" i="6"/>
  <c r="W218" i="6"/>
  <c r="V218" i="6"/>
  <c r="U218" i="6"/>
  <c r="T218" i="6"/>
  <c r="S218" i="6"/>
  <c r="R218" i="6"/>
  <c r="Q218" i="6"/>
  <c r="P218" i="6"/>
  <c r="O218" i="6"/>
  <c r="N218" i="6"/>
  <c r="M218" i="6"/>
  <c r="L218" i="6"/>
  <c r="W217" i="6"/>
  <c r="V217" i="6"/>
  <c r="U217" i="6"/>
  <c r="T217" i="6"/>
  <c r="S217" i="6"/>
  <c r="R217" i="6"/>
  <c r="Q217" i="6"/>
  <c r="P217" i="6"/>
  <c r="O217" i="6"/>
  <c r="N217" i="6"/>
  <c r="M217" i="6"/>
  <c r="L217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W215" i="6"/>
  <c r="V215" i="6"/>
  <c r="U215" i="6"/>
  <c r="T215" i="6"/>
  <c r="S215" i="6"/>
  <c r="R215" i="6"/>
  <c r="Q215" i="6"/>
  <c r="P215" i="6"/>
  <c r="O215" i="6"/>
  <c r="N215" i="6"/>
  <c r="M215" i="6"/>
  <c r="L215" i="6"/>
  <c r="W214" i="6"/>
  <c r="V214" i="6"/>
  <c r="U214" i="6"/>
  <c r="T214" i="6"/>
  <c r="S214" i="6"/>
  <c r="R214" i="6"/>
  <c r="Q214" i="6"/>
  <c r="P214" i="6"/>
  <c r="O214" i="6"/>
  <c r="N214" i="6"/>
  <c r="M214" i="6"/>
  <c r="L214" i="6"/>
  <c r="W213" i="6"/>
  <c r="V213" i="6"/>
  <c r="U213" i="6"/>
  <c r="T213" i="6"/>
  <c r="S213" i="6"/>
  <c r="R213" i="6"/>
  <c r="Q213" i="6"/>
  <c r="P213" i="6"/>
  <c r="O213" i="6"/>
  <c r="N213" i="6"/>
  <c r="M213" i="6"/>
  <c r="L213" i="6"/>
  <c r="W212" i="6"/>
  <c r="V212" i="6"/>
  <c r="U212" i="6"/>
  <c r="T212" i="6"/>
  <c r="S212" i="6"/>
  <c r="R212" i="6"/>
  <c r="Q212" i="6"/>
  <c r="P212" i="6"/>
  <c r="O212" i="6"/>
  <c r="N212" i="6"/>
  <c r="M212" i="6"/>
  <c r="L212" i="6"/>
  <c r="W211" i="6"/>
  <c r="V211" i="6"/>
  <c r="U211" i="6"/>
  <c r="T211" i="6"/>
  <c r="S211" i="6"/>
  <c r="R211" i="6"/>
  <c r="Q211" i="6"/>
  <c r="P211" i="6"/>
  <c r="O211" i="6"/>
  <c r="N211" i="6"/>
  <c r="M211" i="6"/>
  <c r="L211" i="6"/>
  <c r="W210" i="6"/>
  <c r="V210" i="6"/>
  <c r="U210" i="6"/>
  <c r="T210" i="6"/>
  <c r="S210" i="6"/>
  <c r="R210" i="6"/>
  <c r="Q210" i="6"/>
  <c r="P210" i="6"/>
  <c r="O210" i="6"/>
  <c r="N210" i="6"/>
  <c r="M210" i="6"/>
  <c r="L210" i="6"/>
  <c r="W209" i="6"/>
  <c r="V209" i="6"/>
  <c r="U209" i="6"/>
  <c r="T209" i="6"/>
  <c r="S209" i="6"/>
  <c r="R209" i="6"/>
  <c r="Q209" i="6"/>
  <c r="P209" i="6"/>
  <c r="O209" i="6"/>
  <c r="N209" i="6"/>
  <c r="M209" i="6"/>
  <c r="L209" i="6"/>
  <c r="W208" i="6"/>
  <c r="V208" i="6"/>
  <c r="U208" i="6"/>
  <c r="T208" i="6"/>
  <c r="S208" i="6"/>
  <c r="R208" i="6"/>
  <c r="Q208" i="6"/>
  <c r="P208" i="6"/>
  <c r="O208" i="6"/>
  <c r="N208" i="6"/>
  <c r="M208" i="6"/>
  <c r="L208" i="6"/>
  <c r="W207" i="6"/>
  <c r="V207" i="6"/>
  <c r="U207" i="6"/>
  <c r="T207" i="6"/>
  <c r="S207" i="6"/>
  <c r="R207" i="6"/>
  <c r="Q207" i="6"/>
  <c r="P207" i="6"/>
  <c r="O207" i="6"/>
  <c r="N207" i="6"/>
  <c r="M207" i="6"/>
  <c r="L207" i="6"/>
  <c r="W206" i="6"/>
  <c r="V206" i="6"/>
  <c r="U206" i="6"/>
  <c r="T206" i="6"/>
  <c r="S206" i="6"/>
  <c r="R206" i="6"/>
  <c r="Q206" i="6"/>
  <c r="P206" i="6"/>
  <c r="O206" i="6"/>
  <c r="N206" i="6"/>
  <c r="M206" i="6"/>
  <c r="L206" i="6"/>
  <c r="W205" i="6"/>
  <c r="V205" i="6"/>
  <c r="U205" i="6"/>
  <c r="T205" i="6"/>
  <c r="S205" i="6"/>
  <c r="R205" i="6"/>
  <c r="Q205" i="6"/>
  <c r="P205" i="6"/>
  <c r="O205" i="6"/>
  <c r="N205" i="6"/>
  <c r="M205" i="6"/>
  <c r="L205" i="6"/>
  <c r="W204" i="6"/>
  <c r="V204" i="6"/>
  <c r="U204" i="6"/>
  <c r="T204" i="6"/>
  <c r="S204" i="6"/>
  <c r="R204" i="6"/>
  <c r="Q204" i="6"/>
  <c r="P204" i="6"/>
  <c r="O204" i="6"/>
  <c r="N204" i="6"/>
  <c r="M204" i="6"/>
  <c r="L204" i="6"/>
  <c r="W203" i="6"/>
  <c r="V203" i="6"/>
  <c r="U203" i="6"/>
  <c r="T203" i="6"/>
  <c r="S203" i="6"/>
  <c r="R203" i="6"/>
  <c r="Q203" i="6"/>
  <c r="P203" i="6"/>
  <c r="O203" i="6"/>
  <c r="N203" i="6"/>
  <c r="M203" i="6"/>
  <c r="L203" i="6"/>
  <c r="W202" i="6"/>
  <c r="V202" i="6"/>
  <c r="U202" i="6"/>
  <c r="T202" i="6"/>
  <c r="S202" i="6"/>
  <c r="R202" i="6"/>
  <c r="Q202" i="6"/>
  <c r="P202" i="6"/>
  <c r="O202" i="6"/>
  <c r="N202" i="6"/>
  <c r="M202" i="6"/>
  <c r="L202" i="6"/>
  <c r="W201" i="6"/>
  <c r="V201" i="6"/>
  <c r="U201" i="6"/>
  <c r="T201" i="6"/>
  <c r="S201" i="6"/>
  <c r="R201" i="6"/>
  <c r="Q201" i="6"/>
  <c r="P201" i="6"/>
  <c r="O201" i="6"/>
  <c r="N201" i="6"/>
  <c r="M201" i="6"/>
  <c r="L201" i="6"/>
  <c r="W200" i="6"/>
  <c r="V200" i="6"/>
  <c r="U200" i="6"/>
  <c r="T200" i="6"/>
  <c r="S200" i="6"/>
  <c r="R200" i="6"/>
  <c r="Q200" i="6"/>
  <c r="P200" i="6"/>
  <c r="O200" i="6"/>
  <c r="N200" i="6"/>
  <c r="M200" i="6"/>
  <c r="L200" i="6"/>
  <c r="W199" i="6"/>
  <c r="V199" i="6"/>
  <c r="U199" i="6"/>
  <c r="T199" i="6"/>
  <c r="S199" i="6"/>
  <c r="R199" i="6"/>
  <c r="Q199" i="6"/>
  <c r="P199" i="6"/>
  <c r="O199" i="6"/>
  <c r="N199" i="6"/>
  <c r="M199" i="6"/>
  <c r="L199" i="6"/>
  <c r="W198" i="6"/>
  <c r="V198" i="6"/>
  <c r="U198" i="6"/>
  <c r="T198" i="6"/>
  <c r="S198" i="6"/>
  <c r="R198" i="6"/>
  <c r="Q198" i="6"/>
  <c r="P198" i="6"/>
  <c r="O198" i="6"/>
  <c r="N198" i="6"/>
  <c r="M198" i="6"/>
  <c r="L198" i="6"/>
  <c r="W197" i="6"/>
  <c r="V197" i="6"/>
  <c r="U197" i="6"/>
  <c r="T197" i="6"/>
  <c r="S197" i="6"/>
  <c r="R197" i="6"/>
  <c r="Q197" i="6"/>
  <c r="P197" i="6"/>
  <c r="O197" i="6"/>
  <c r="N197" i="6"/>
  <c r="M197" i="6"/>
  <c r="L197" i="6"/>
  <c r="W196" i="6"/>
  <c r="C39" i="2" s="1"/>
  <c r="V196" i="6"/>
  <c r="U196" i="6"/>
  <c r="T196" i="6"/>
  <c r="S196" i="6"/>
  <c r="R196" i="6"/>
  <c r="Q196" i="6"/>
  <c r="P196" i="6"/>
  <c r="O196" i="6"/>
  <c r="N196" i="6"/>
  <c r="M196" i="6"/>
  <c r="L196" i="6"/>
  <c r="W195" i="6"/>
  <c r="V195" i="6"/>
  <c r="U195" i="6"/>
  <c r="T195" i="6"/>
  <c r="S195" i="6"/>
  <c r="R195" i="6"/>
  <c r="Q195" i="6"/>
  <c r="P195" i="6"/>
  <c r="O195" i="6"/>
  <c r="N195" i="6"/>
  <c r="M195" i="6"/>
  <c r="L195" i="6"/>
  <c r="W194" i="6"/>
  <c r="V194" i="6"/>
  <c r="U194" i="6"/>
  <c r="T194" i="6"/>
  <c r="S194" i="6"/>
  <c r="R194" i="6"/>
  <c r="Q194" i="6"/>
  <c r="P194" i="6"/>
  <c r="O194" i="6"/>
  <c r="N194" i="6"/>
  <c r="M194" i="6"/>
  <c r="L194" i="6"/>
  <c r="W193" i="6"/>
  <c r="V193" i="6"/>
  <c r="U193" i="6"/>
  <c r="T193" i="6"/>
  <c r="S193" i="6"/>
  <c r="R193" i="6"/>
  <c r="Q193" i="6"/>
  <c r="P193" i="6"/>
  <c r="O193" i="6"/>
  <c r="N193" i="6"/>
  <c r="M193" i="6"/>
  <c r="L193" i="6"/>
  <c r="W192" i="6"/>
  <c r="V192" i="6"/>
  <c r="U192" i="6"/>
  <c r="T192" i="6"/>
  <c r="S192" i="6"/>
  <c r="R192" i="6"/>
  <c r="Q192" i="6"/>
  <c r="P192" i="6"/>
  <c r="O192" i="6"/>
  <c r="N192" i="6"/>
  <c r="M192" i="6"/>
  <c r="L192" i="6"/>
  <c r="W191" i="6"/>
  <c r="V191" i="6"/>
  <c r="U191" i="6"/>
  <c r="T191" i="6"/>
  <c r="S191" i="6"/>
  <c r="R191" i="6"/>
  <c r="Q191" i="6"/>
  <c r="P191" i="6"/>
  <c r="O191" i="6"/>
  <c r="N191" i="6"/>
  <c r="M191" i="6"/>
  <c r="L191" i="6"/>
  <c r="W190" i="6"/>
  <c r="V190" i="6"/>
  <c r="U190" i="6"/>
  <c r="T190" i="6"/>
  <c r="S190" i="6"/>
  <c r="R190" i="6"/>
  <c r="Q190" i="6"/>
  <c r="P190" i="6"/>
  <c r="O190" i="6"/>
  <c r="N190" i="6"/>
  <c r="M190" i="6"/>
  <c r="L190" i="6"/>
  <c r="W189" i="6"/>
  <c r="V189" i="6"/>
  <c r="U189" i="6"/>
  <c r="T189" i="6"/>
  <c r="S189" i="6"/>
  <c r="R189" i="6"/>
  <c r="Q189" i="6"/>
  <c r="P189" i="6"/>
  <c r="O189" i="6"/>
  <c r="N189" i="6"/>
  <c r="M189" i="6"/>
  <c r="L189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W186" i="6"/>
  <c r="V186" i="6"/>
  <c r="U186" i="6"/>
  <c r="T186" i="6"/>
  <c r="S186" i="6"/>
  <c r="R186" i="6"/>
  <c r="Q186" i="6"/>
  <c r="P186" i="6"/>
  <c r="O186" i="6"/>
  <c r="N186" i="6"/>
  <c r="M186" i="6"/>
  <c r="L186" i="6"/>
  <c r="W185" i="6"/>
  <c r="V185" i="6"/>
  <c r="U185" i="6"/>
  <c r="T185" i="6"/>
  <c r="S185" i="6"/>
  <c r="R185" i="6"/>
  <c r="Q185" i="6"/>
  <c r="P185" i="6"/>
  <c r="O185" i="6"/>
  <c r="N185" i="6"/>
  <c r="M185" i="6"/>
  <c r="L185" i="6"/>
  <c r="W184" i="6"/>
  <c r="V184" i="6"/>
  <c r="U184" i="6"/>
  <c r="T184" i="6"/>
  <c r="S184" i="6"/>
  <c r="R184" i="6"/>
  <c r="Q184" i="6"/>
  <c r="P184" i="6"/>
  <c r="O184" i="6"/>
  <c r="N184" i="6"/>
  <c r="M184" i="6"/>
  <c r="L184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W181" i="6"/>
  <c r="V181" i="6"/>
  <c r="U181" i="6"/>
  <c r="T181" i="6"/>
  <c r="S181" i="6"/>
  <c r="R181" i="6"/>
  <c r="Q181" i="6"/>
  <c r="P181" i="6"/>
  <c r="O181" i="6"/>
  <c r="N181" i="6"/>
  <c r="M181" i="6"/>
  <c r="L181" i="6"/>
  <c r="W180" i="6"/>
  <c r="V180" i="6"/>
  <c r="U180" i="6"/>
  <c r="T180" i="6"/>
  <c r="S180" i="6"/>
  <c r="R180" i="6"/>
  <c r="Q180" i="6"/>
  <c r="P180" i="6"/>
  <c r="O180" i="6"/>
  <c r="N180" i="6"/>
  <c r="M180" i="6"/>
  <c r="L180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W178" i="6"/>
  <c r="V178" i="6"/>
  <c r="U178" i="6"/>
  <c r="T178" i="6"/>
  <c r="S178" i="6"/>
  <c r="R178" i="6"/>
  <c r="Q178" i="6"/>
  <c r="P178" i="6"/>
  <c r="O178" i="6"/>
  <c r="N178" i="6"/>
  <c r="M178" i="6"/>
  <c r="L178" i="6"/>
  <c r="W177" i="6"/>
  <c r="V177" i="6"/>
  <c r="U177" i="6"/>
  <c r="T177" i="6"/>
  <c r="S177" i="6"/>
  <c r="R177" i="6"/>
  <c r="Q177" i="6"/>
  <c r="P177" i="6"/>
  <c r="O177" i="6"/>
  <c r="N177" i="6"/>
  <c r="M177" i="6"/>
  <c r="L177" i="6"/>
  <c r="W176" i="6"/>
  <c r="V176" i="6"/>
  <c r="U176" i="6"/>
  <c r="T176" i="6"/>
  <c r="S176" i="6"/>
  <c r="R176" i="6"/>
  <c r="Q176" i="6"/>
  <c r="P176" i="6"/>
  <c r="O176" i="6"/>
  <c r="N176" i="6"/>
  <c r="M176" i="6"/>
  <c r="L176" i="6"/>
  <c r="W175" i="6"/>
  <c r="V175" i="6"/>
  <c r="U175" i="6"/>
  <c r="T175" i="6"/>
  <c r="S175" i="6"/>
  <c r="R175" i="6"/>
  <c r="Q175" i="6"/>
  <c r="P175" i="6"/>
  <c r="O175" i="6"/>
  <c r="N175" i="6"/>
  <c r="M175" i="6"/>
  <c r="L175" i="6"/>
  <c r="W174" i="6"/>
  <c r="V174" i="6"/>
  <c r="U174" i="6"/>
  <c r="T174" i="6"/>
  <c r="S174" i="6"/>
  <c r="R174" i="6"/>
  <c r="Q174" i="6"/>
  <c r="P174" i="6"/>
  <c r="O174" i="6"/>
  <c r="N174" i="6"/>
  <c r="M174" i="6"/>
  <c r="L174" i="6"/>
  <c r="W173" i="6"/>
  <c r="V173" i="6"/>
  <c r="U173" i="6"/>
  <c r="T173" i="6"/>
  <c r="S173" i="6"/>
  <c r="R173" i="6"/>
  <c r="Q173" i="6"/>
  <c r="P173" i="6"/>
  <c r="O173" i="6"/>
  <c r="N173" i="6"/>
  <c r="M173" i="6"/>
  <c r="L173" i="6"/>
  <c r="W172" i="6"/>
  <c r="V172" i="6"/>
  <c r="U172" i="6"/>
  <c r="T172" i="6"/>
  <c r="S172" i="6"/>
  <c r="R172" i="6"/>
  <c r="Q172" i="6"/>
  <c r="P172" i="6"/>
  <c r="O172" i="6"/>
  <c r="N172" i="6"/>
  <c r="M172" i="6"/>
  <c r="L172" i="6"/>
  <c r="W171" i="6"/>
  <c r="C25" i="2" s="1"/>
  <c r="V171" i="6"/>
  <c r="U171" i="6"/>
  <c r="T171" i="6"/>
  <c r="S171" i="6"/>
  <c r="R171" i="6"/>
  <c r="Q171" i="6"/>
  <c r="P171" i="6"/>
  <c r="O171" i="6"/>
  <c r="N171" i="6"/>
  <c r="M171" i="6"/>
  <c r="L171" i="6"/>
  <c r="W170" i="6"/>
  <c r="C24" i="2" s="1"/>
  <c r="V170" i="6"/>
  <c r="U170" i="6"/>
  <c r="T170" i="6"/>
  <c r="S170" i="6"/>
  <c r="R170" i="6"/>
  <c r="Q170" i="6"/>
  <c r="P170" i="6"/>
  <c r="O170" i="6"/>
  <c r="N170" i="6"/>
  <c r="M170" i="6"/>
  <c r="L170" i="6"/>
  <c r="W169" i="6"/>
  <c r="V169" i="6"/>
  <c r="U169" i="6"/>
  <c r="T169" i="6"/>
  <c r="S169" i="6"/>
  <c r="R169" i="6"/>
  <c r="Q169" i="6"/>
  <c r="P169" i="6"/>
  <c r="O169" i="6"/>
  <c r="N169" i="6"/>
  <c r="M169" i="6"/>
  <c r="L169" i="6"/>
  <c r="W168" i="6"/>
  <c r="V168" i="6"/>
  <c r="U168" i="6"/>
  <c r="T168" i="6"/>
  <c r="S168" i="6"/>
  <c r="R168" i="6"/>
  <c r="Q168" i="6"/>
  <c r="P168" i="6"/>
  <c r="O168" i="6"/>
  <c r="N168" i="6"/>
  <c r="M168" i="6"/>
  <c r="L168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W166" i="6"/>
  <c r="C22" i="2" s="1"/>
  <c r="V166" i="6"/>
  <c r="U166" i="6"/>
  <c r="T166" i="6"/>
  <c r="S166" i="6"/>
  <c r="R166" i="6"/>
  <c r="Q166" i="6"/>
  <c r="P166" i="6"/>
  <c r="O166" i="6"/>
  <c r="N166" i="6"/>
  <c r="M166" i="6"/>
  <c r="L166" i="6"/>
  <c r="W165" i="6"/>
  <c r="V165" i="6"/>
  <c r="U165" i="6"/>
  <c r="T165" i="6"/>
  <c r="S165" i="6"/>
  <c r="R165" i="6"/>
  <c r="Q165" i="6"/>
  <c r="P165" i="6"/>
  <c r="O165" i="6"/>
  <c r="N165" i="6"/>
  <c r="M165" i="6"/>
  <c r="L165" i="6"/>
  <c r="W164" i="6"/>
  <c r="C19" i="2" s="1"/>
  <c r="V164" i="6"/>
  <c r="U164" i="6"/>
  <c r="T164" i="6"/>
  <c r="S164" i="6"/>
  <c r="R164" i="6"/>
  <c r="Q164" i="6"/>
  <c r="P164" i="6"/>
  <c r="O164" i="6"/>
  <c r="N164" i="6"/>
  <c r="M164" i="6"/>
  <c r="L164" i="6"/>
  <c r="W163" i="6"/>
  <c r="V163" i="6"/>
  <c r="C18" i="2" s="1"/>
  <c r="U163" i="6"/>
  <c r="T163" i="6"/>
  <c r="S163" i="6"/>
  <c r="R163" i="6"/>
  <c r="Q163" i="6"/>
  <c r="P163" i="6"/>
  <c r="O163" i="6"/>
  <c r="N163" i="6"/>
  <c r="M163" i="6"/>
  <c r="L163" i="6"/>
  <c r="W162" i="6"/>
  <c r="V162" i="6"/>
  <c r="U162" i="6"/>
  <c r="T162" i="6"/>
  <c r="S162" i="6"/>
  <c r="R162" i="6"/>
  <c r="Q162" i="6"/>
  <c r="P162" i="6"/>
  <c r="O162" i="6"/>
  <c r="N162" i="6"/>
  <c r="M162" i="6"/>
  <c r="L162" i="6"/>
  <c r="W161" i="6"/>
  <c r="V161" i="6"/>
  <c r="U161" i="6"/>
  <c r="T161" i="6"/>
  <c r="S161" i="6"/>
  <c r="R161" i="6"/>
  <c r="Q161" i="6"/>
  <c r="P161" i="6"/>
  <c r="O161" i="6"/>
  <c r="N161" i="6"/>
  <c r="M161" i="6"/>
  <c r="L161" i="6"/>
  <c r="W160" i="6"/>
  <c r="V160" i="6"/>
  <c r="U160" i="6"/>
  <c r="T160" i="6"/>
  <c r="S160" i="6"/>
  <c r="R160" i="6"/>
  <c r="Q160" i="6"/>
  <c r="P160" i="6"/>
  <c r="O160" i="6"/>
  <c r="N160" i="6"/>
  <c r="M160" i="6"/>
  <c r="L160" i="6"/>
  <c r="W159" i="6"/>
  <c r="V159" i="6"/>
  <c r="U159" i="6"/>
  <c r="T159" i="6"/>
  <c r="S159" i="6"/>
  <c r="R159" i="6"/>
  <c r="Q159" i="6"/>
  <c r="P159" i="6"/>
  <c r="O159" i="6"/>
  <c r="N159" i="6"/>
  <c r="M159" i="6"/>
  <c r="L159" i="6"/>
  <c r="W158" i="6"/>
  <c r="V158" i="6"/>
  <c r="U158" i="6"/>
  <c r="T158" i="6"/>
  <c r="S158" i="6"/>
  <c r="R158" i="6"/>
  <c r="Q158" i="6"/>
  <c r="P158" i="6"/>
  <c r="O158" i="6"/>
  <c r="N158" i="6"/>
  <c r="M158" i="6"/>
  <c r="L158" i="6"/>
  <c r="W157" i="6"/>
  <c r="V157" i="6"/>
  <c r="U157" i="6"/>
  <c r="T157" i="6"/>
  <c r="S157" i="6"/>
  <c r="R157" i="6"/>
  <c r="Q157" i="6"/>
  <c r="P157" i="6"/>
  <c r="O157" i="6"/>
  <c r="N157" i="6"/>
  <c r="M157" i="6"/>
  <c r="L157" i="6"/>
  <c r="W156" i="6"/>
  <c r="V156" i="6"/>
  <c r="U156" i="6"/>
  <c r="T156" i="6"/>
  <c r="S156" i="6"/>
  <c r="R156" i="6"/>
  <c r="Q156" i="6"/>
  <c r="P156" i="6"/>
  <c r="O156" i="6"/>
  <c r="N156" i="6"/>
  <c r="M156" i="6"/>
  <c r="L156" i="6"/>
  <c r="W155" i="6"/>
  <c r="V155" i="6"/>
  <c r="U155" i="6"/>
  <c r="T155" i="6"/>
  <c r="S155" i="6"/>
  <c r="R155" i="6"/>
  <c r="Q155" i="6"/>
  <c r="P155" i="6"/>
  <c r="O155" i="6"/>
  <c r="N155" i="6"/>
  <c r="M155" i="6"/>
  <c r="L155" i="6"/>
  <c r="W154" i="6"/>
  <c r="V154" i="6"/>
  <c r="U154" i="6"/>
  <c r="T154" i="6"/>
  <c r="S154" i="6"/>
  <c r="R154" i="6"/>
  <c r="Q154" i="6"/>
  <c r="P154" i="6"/>
  <c r="O154" i="6"/>
  <c r="N154" i="6"/>
  <c r="M154" i="6"/>
  <c r="L154" i="6"/>
  <c r="W153" i="6"/>
  <c r="V153" i="6"/>
  <c r="U153" i="6"/>
  <c r="T153" i="6"/>
  <c r="S153" i="6"/>
  <c r="R153" i="6"/>
  <c r="Q153" i="6"/>
  <c r="P153" i="6"/>
  <c r="O153" i="6"/>
  <c r="N153" i="6"/>
  <c r="M153" i="6"/>
  <c r="L153" i="6"/>
  <c r="W152" i="6"/>
  <c r="V152" i="6"/>
  <c r="U152" i="6"/>
  <c r="T152" i="6"/>
  <c r="S152" i="6"/>
  <c r="R152" i="6"/>
  <c r="Q152" i="6"/>
  <c r="P152" i="6"/>
  <c r="O152" i="6"/>
  <c r="N152" i="6"/>
  <c r="M152" i="6"/>
  <c r="L152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W150" i="6"/>
  <c r="V150" i="6"/>
  <c r="U150" i="6"/>
  <c r="T150" i="6"/>
  <c r="S150" i="6"/>
  <c r="R150" i="6"/>
  <c r="Q150" i="6"/>
  <c r="P150" i="6"/>
  <c r="O150" i="6"/>
  <c r="N150" i="6"/>
  <c r="M150" i="6"/>
  <c r="L150" i="6"/>
  <c r="W149" i="6"/>
  <c r="V149" i="6"/>
  <c r="U149" i="6"/>
  <c r="T149" i="6"/>
  <c r="S149" i="6"/>
  <c r="R149" i="6"/>
  <c r="Q149" i="6"/>
  <c r="P149" i="6"/>
  <c r="O149" i="6"/>
  <c r="N149" i="6"/>
  <c r="M149" i="6"/>
  <c r="L149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W142" i="6"/>
  <c r="V142" i="6"/>
  <c r="U142" i="6"/>
  <c r="T142" i="6"/>
  <c r="S142" i="6"/>
  <c r="R142" i="6"/>
  <c r="Q142" i="6"/>
  <c r="P142" i="6"/>
  <c r="O142" i="6"/>
  <c r="N142" i="6"/>
  <c r="M142" i="6"/>
  <c r="L142" i="6"/>
  <c r="W141" i="6"/>
  <c r="V141" i="6"/>
  <c r="U141" i="6"/>
  <c r="T141" i="6"/>
  <c r="S141" i="6"/>
  <c r="R141" i="6"/>
  <c r="Q141" i="6"/>
  <c r="P141" i="6"/>
  <c r="O141" i="6"/>
  <c r="N141" i="6"/>
  <c r="M141" i="6"/>
  <c r="L141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W137" i="6"/>
  <c r="V137" i="6"/>
  <c r="U137" i="6"/>
  <c r="T137" i="6"/>
  <c r="S137" i="6"/>
  <c r="R137" i="6"/>
  <c r="Q137" i="6"/>
  <c r="P137" i="6"/>
  <c r="O137" i="6"/>
  <c r="N137" i="6"/>
  <c r="M137" i="6"/>
  <c r="L137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W134" i="6"/>
  <c r="V134" i="6"/>
  <c r="U134" i="6"/>
  <c r="T134" i="6"/>
  <c r="S134" i="6"/>
  <c r="R134" i="6"/>
  <c r="Q134" i="6"/>
  <c r="P134" i="6"/>
  <c r="O134" i="6"/>
  <c r="N134" i="6"/>
  <c r="M134" i="6"/>
  <c r="L134" i="6"/>
  <c r="W133" i="6"/>
  <c r="V133" i="6"/>
  <c r="U133" i="6"/>
  <c r="T133" i="6"/>
  <c r="S133" i="6"/>
  <c r="R133" i="6"/>
  <c r="Q133" i="6"/>
  <c r="P133" i="6"/>
  <c r="O133" i="6"/>
  <c r="N133" i="6"/>
  <c r="M133" i="6"/>
  <c r="L133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W130" i="6"/>
  <c r="V130" i="6"/>
  <c r="U130" i="6"/>
  <c r="T130" i="6"/>
  <c r="S130" i="6"/>
  <c r="R130" i="6"/>
  <c r="Q130" i="6"/>
  <c r="P130" i="6"/>
  <c r="O130" i="6"/>
  <c r="N130" i="6"/>
  <c r="M130" i="6"/>
  <c r="L130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W126" i="6"/>
  <c r="V126" i="6"/>
  <c r="U126" i="6"/>
  <c r="T126" i="6"/>
  <c r="S126" i="6"/>
  <c r="R126" i="6"/>
  <c r="Q126" i="6"/>
  <c r="P126" i="6"/>
  <c r="O126" i="6"/>
  <c r="N126" i="6"/>
  <c r="M126" i="6"/>
  <c r="L126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W99" i="6"/>
  <c r="V99" i="6"/>
  <c r="U99" i="6"/>
  <c r="T99" i="6"/>
  <c r="S99" i="6"/>
  <c r="R99" i="6"/>
  <c r="Q99" i="6"/>
  <c r="P99" i="6"/>
  <c r="O99" i="6"/>
  <c r="N99" i="6"/>
  <c r="M99" i="6"/>
  <c r="L99" i="6"/>
  <c r="W98" i="6"/>
  <c r="V98" i="6"/>
  <c r="U98" i="6"/>
  <c r="T98" i="6"/>
  <c r="S98" i="6"/>
  <c r="R98" i="6"/>
  <c r="Q98" i="6"/>
  <c r="P98" i="6"/>
  <c r="O98" i="6"/>
  <c r="N98" i="6"/>
  <c r="M98" i="6"/>
  <c r="L98" i="6"/>
  <c r="W97" i="6"/>
  <c r="V97" i="6"/>
  <c r="U97" i="6"/>
  <c r="T97" i="6"/>
  <c r="S97" i="6"/>
  <c r="R97" i="6"/>
  <c r="Q97" i="6"/>
  <c r="P97" i="6"/>
  <c r="O97" i="6"/>
  <c r="N97" i="6"/>
  <c r="M97" i="6"/>
  <c r="L97" i="6"/>
  <c r="W96" i="6"/>
  <c r="V96" i="6"/>
  <c r="U96" i="6"/>
  <c r="T96" i="6"/>
  <c r="S96" i="6"/>
  <c r="R96" i="6"/>
  <c r="Q96" i="6"/>
  <c r="P96" i="6"/>
  <c r="O96" i="6"/>
  <c r="N96" i="6"/>
  <c r="M96" i="6"/>
  <c r="L96" i="6"/>
  <c r="W95" i="6"/>
  <c r="V95" i="6"/>
  <c r="U95" i="6"/>
  <c r="T95" i="6"/>
  <c r="S95" i="6"/>
  <c r="R95" i="6"/>
  <c r="Q95" i="6"/>
  <c r="P95" i="6"/>
  <c r="O95" i="6"/>
  <c r="N95" i="6"/>
  <c r="M95" i="6"/>
  <c r="L95" i="6"/>
  <c r="W94" i="6"/>
  <c r="V94" i="6"/>
  <c r="U94" i="6"/>
  <c r="T94" i="6"/>
  <c r="S94" i="6"/>
  <c r="R94" i="6"/>
  <c r="Q94" i="6"/>
  <c r="P94" i="6"/>
  <c r="O94" i="6"/>
  <c r="N94" i="6"/>
  <c r="M94" i="6"/>
  <c r="L94" i="6"/>
  <c r="W93" i="6"/>
  <c r="V93" i="6"/>
  <c r="U93" i="6"/>
  <c r="T93" i="6"/>
  <c r="S93" i="6"/>
  <c r="R93" i="6"/>
  <c r="Q93" i="6"/>
  <c r="P93" i="6"/>
  <c r="O93" i="6"/>
  <c r="N93" i="6"/>
  <c r="M93" i="6"/>
  <c r="L93" i="6"/>
  <c r="W92" i="6"/>
  <c r="V92" i="6"/>
  <c r="U92" i="6"/>
  <c r="T92" i="6"/>
  <c r="S92" i="6"/>
  <c r="R92" i="6"/>
  <c r="Q92" i="6"/>
  <c r="P92" i="6"/>
  <c r="O92" i="6"/>
  <c r="N92" i="6"/>
  <c r="M92" i="6"/>
  <c r="L92" i="6"/>
  <c r="W91" i="6"/>
  <c r="V91" i="6"/>
  <c r="U91" i="6"/>
  <c r="T91" i="6"/>
  <c r="S91" i="6"/>
  <c r="R91" i="6"/>
  <c r="Q91" i="6"/>
  <c r="P91" i="6"/>
  <c r="O91" i="6"/>
  <c r="N91" i="6"/>
  <c r="M91" i="6"/>
  <c r="L91" i="6"/>
  <c r="W90" i="6"/>
  <c r="V90" i="6"/>
  <c r="U90" i="6"/>
  <c r="T90" i="6"/>
  <c r="S90" i="6"/>
  <c r="R90" i="6"/>
  <c r="Q90" i="6"/>
  <c r="P90" i="6"/>
  <c r="O90" i="6"/>
  <c r="N90" i="6"/>
  <c r="M90" i="6"/>
  <c r="L90" i="6"/>
  <c r="W89" i="6"/>
  <c r="V89" i="6"/>
  <c r="U89" i="6"/>
  <c r="T89" i="6"/>
  <c r="S89" i="6"/>
  <c r="R89" i="6"/>
  <c r="Q89" i="6"/>
  <c r="P89" i="6"/>
  <c r="O89" i="6"/>
  <c r="N89" i="6"/>
  <c r="M89" i="6"/>
  <c r="L89" i="6"/>
  <c r="W88" i="6"/>
  <c r="V88" i="6"/>
  <c r="U88" i="6"/>
  <c r="T88" i="6"/>
  <c r="S88" i="6"/>
  <c r="R88" i="6"/>
  <c r="Q88" i="6"/>
  <c r="P88" i="6"/>
  <c r="O88" i="6"/>
  <c r="N88" i="6"/>
  <c r="M88" i="6"/>
  <c r="L88" i="6"/>
  <c r="W87" i="6"/>
  <c r="V87" i="6"/>
  <c r="U87" i="6"/>
  <c r="T87" i="6"/>
  <c r="S87" i="6"/>
  <c r="R87" i="6"/>
  <c r="Q87" i="6"/>
  <c r="P87" i="6"/>
  <c r="O87" i="6"/>
  <c r="N87" i="6"/>
  <c r="M87" i="6"/>
  <c r="L87" i="6"/>
  <c r="W86" i="6"/>
  <c r="V86" i="6"/>
  <c r="U86" i="6"/>
  <c r="T86" i="6"/>
  <c r="S86" i="6"/>
  <c r="R86" i="6"/>
  <c r="Q86" i="6"/>
  <c r="P86" i="6"/>
  <c r="O86" i="6"/>
  <c r="N86" i="6"/>
  <c r="M86" i="6"/>
  <c r="L86" i="6"/>
  <c r="W85" i="6"/>
  <c r="V85" i="6"/>
  <c r="U85" i="6"/>
  <c r="T85" i="6"/>
  <c r="S85" i="6"/>
  <c r="R85" i="6"/>
  <c r="Q85" i="6"/>
  <c r="P85" i="6"/>
  <c r="O85" i="6"/>
  <c r="N85" i="6"/>
  <c r="M85" i="6"/>
  <c r="L85" i="6"/>
  <c r="W84" i="6"/>
  <c r="V84" i="6"/>
  <c r="U84" i="6"/>
  <c r="T84" i="6"/>
  <c r="S84" i="6"/>
  <c r="R84" i="6"/>
  <c r="Q84" i="6"/>
  <c r="P84" i="6"/>
  <c r="O84" i="6"/>
  <c r="N84" i="6"/>
  <c r="M84" i="6"/>
  <c r="L84" i="6"/>
  <c r="W83" i="6"/>
  <c r="V83" i="6"/>
  <c r="U83" i="6"/>
  <c r="T83" i="6"/>
  <c r="S83" i="6"/>
  <c r="R83" i="6"/>
  <c r="Q83" i="6"/>
  <c r="P83" i="6"/>
  <c r="O83" i="6"/>
  <c r="N83" i="6"/>
  <c r="M83" i="6"/>
  <c r="L83" i="6"/>
  <c r="W82" i="6"/>
  <c r="V82" i="6"/>
  <c r="U82" i="6"/>
  <c r="T82" i="6"/>
  <c r="S82" i="6"/>
  <c r="R82" i="6"/>
  <c r="Q82" i="6"/>
  <c r="P82" i="6"/>
  <c r="O82" i="6"/>
  <c r="N82" i="6"/>
  <c r="M82" i="6"/>
  <c r="L82" i="6"/>
  <c r="W81" i="6"/>
  <c r="V81" i="6"/>
  <c r="U81" i="6"/>
  <c r="T81" i="6"/>
  <c r="S81" i="6"/>
  <c r="R81" i="6"/>
  <c r="Q81" i="6"/>
  <c r="P81" i="6"/>
  <c r="O81" i="6"/>
  <c r="N81" i="6"/>
  <c r="M81" i="6"/>
  <c r="L81" i="6"/>
  <c r="W80" i="6"/>
  <c r="V80" i="6"/>
  <c r="U80" i="6"/>
  <c r="T80" i="6"/>
  <c r="S80" i="6"/>
  <c r="R80" i="6"/>
  <c r="Q80" i="6"/>
  <c r="P80" i="6"/>
  <c r="O80" i="6"/>
  <c r="N80" i="6"/>
  <c r="M80" i="6"/>
  <c r="L80" i="6"/>
  <c r="W79" i="6"/>
  <c r="V79" i="6"/>
  <c r="U79" i="6"/>
  <c r="T79" i="6"/>
  <c r="S79" i="6"/>
  <c r="R79" i="6"/>
  <c r="Q79" i="6"/>
  <c r="P79" i="6"/>
  <c r="O79" i="6"/>
  <c r="N79" i="6"/>
  <c r="M79" i="6"/>
  <c r="L79" i="6"/>
  <c r="W78" i="6"/>
  <c r="V78" i="6"/>
  <c r="U78" i="6"/>
  <c r="T78" i="6"/>
  <c r="S78" i="6"/>
  <c r="R78" i="6"/>
  <c r="Q78" i="6"/>
  <c r="P78" i="6"/>
  <c r="O78" i="6"/>
  <c r="N78" i="6"/>
  <c r="M78" i="6"/>
  <c r="L78" i="6"/>
  <c r="W77" i="6"/>
  <c r="V77" i="6"/>
  <c r="U77" i="6"/>
  <c r="T77" i="6"/>
  <c r="S77" i="6"/>
  <c r="R77" i="6"/>
  <c r="Q77" i="6"/>
  <c r="P77" i="6"/>
  <c r="O77" i="6"/>
  <c r="N77" i="6"/>
  <c r="M77" i="6"/>
  <c r="L77" i="6"/>
  <c r="W76" i="6"/>
  <c r="V76" i="6"/>
  <c r="U76" i="6"/>
  <c r="T76" i="6"/>
  <c r="S76" i="6"/>
  <c r="R76" i="6"/>
  <c r="Q76" i="6"/>
  <c r="P76" i="6"/>
  <c r="O76" i="6"/>
  <c r="N76" i="6"/>
  <c r="M76" i="6"/>
  <c r="L76" i="6"/>
  <c r="W75" i="6"/>
  <c r="V75" i="6"/>
  <c r="U75" i="6"/>
  <c r="T75" i="6"/>
  <c r="S75" i="6"/>
  <c r="R75" i="6"/>
  <c r="Q75" i="6"/>
  <c r="P75" i="6"/>
  <c r="O75" i="6"/>
  <c r="N75" i="6"/>
  <c r="M75" i="6"/>
  <c r="L75" i="6"/>
  <c r="W74" i="6"/>
  <c r="V74" i="6"/>
  <c r="U74" i="6"/>
  <c r="T74" i="6"/>
  <c r="S74" i="6"/>
  <c r="R74" i="6"/>
  <c r="Q74" i="6"/>
  <c r="P74" i="6"/>
  <c r="O74" i="6"/>
  <c r="N74" i="6"/>
  <c r="M74" i="6"/>
  <c r="L74" i="6"/>
  <c r="W73" i="6"/>
  <c r="V73" i="6"/>
  <c r="U73" i="6"/>
  <c r="T73" i="6"/>
  <c r="S73" i="6"/>
  <c r="R73" i="6"/>
  <c r="Q73" i="6"/>
  <c r="P73" i="6"/>
  <c r="O73" i="6"/>
  <c r="N73" i="6"/>
  <c r="M73" i="6"/>
  <c r="L73" i="6"/>
  <c r="W72" i="6"/>
  <c r="V72" i="6"/>
  <c r="U72" i="6"/>
  <c r="T72" i="6"/>
  <c r="S72" i="6"/>
  <c r="R72" i="6"/>
  <c r="Q72" i="6"/>
  <c r="P72" i="6"/>
  <c r="O72" i="6"/>
  <c r="N72" i="6"/>
  <c r="M72" i="6"/>
  <c r="L72" i="6"/>
  <c r="W71" i="6"/>
  <c r="V71" i="6"/>
  <c r="U71" i="6"/>
  <c r="T71" i="6"/>
  <c r="S71" i="6"/>
  <c r="R71" i="6"/>
  <c r="Q71" i="6"/>
  <c r="P71" i="6"/>
  <c r="O71" i="6"/>
  <c r="N71" i="6"/>
  <c r="M71" i="6"/>
  <c r="L71" i="6"/>
  <c r="W70" i="6"/>
  <c r="V70" i="6"/>
  <c r="U70" i="6"/>
  <c r="T70" i="6"/>
  <c r="S70" i="6"/>
  <c r="R70" i="6"/>
  <c r="Q70" i="6"/>
  <c r="P70" i="6"/>
  <c r="O70" i="6"/>
  <c r="N70" i="6"/>
  <c r="M70" i="6"/>
  <c r="L70" i="6"/>
  <c r="W69" i="6"/>
  <c r="V69" i="6"/>
  <c r="U69" i="6"/>
  <c r="T69" i="6"/>
  <c r="S69" i="6"/>
  <c r="R69" i="6"/>
  <c r="Q69" i="6"/>
  <c r="P69" i="6"/>
  <c r="O69" i="6"/>
  <c r="N69" i="6"/>
  <c r="M69" i="6"/>
  <c r="L69" i="6"/>
  <c r="W68" i="6"/>
  <c r="V68" i="6"/>
  <c r="U68" i="6"/>
  <c r="T68" i="6"/>
  <c r="S68" i="6"/>
  <c r="R68" i="6"/>
  <c r="Q68" i="6"/>
  <c r="P68" i="6"/>
  <c r="O68" i="6"/>
  <c r="N68" i="6"/>
  <c r="M68" i="6"/>
  <c r="L68" i="6"/>
  <c r="W67" i="6"/>
  <c r="V67" i="6"/>
  <c r="U67" i="6"/>
  <c r="T67" i="6"/>
  <c r="S67" i="6"/>
  <c r="R67" i="6"/>
  <c r="Q67" i="6"/>
  <c r="P67" i="6"/>
  <c r="O67" i="6"/>
  <c r="N67" i="6"/>
  <c r="M67" i="6"/>
  <c r="L67" i="6"/>
  <c r="W66" i="6"/>
  <c r="V66" i="6"/>
  <c r="U66" i="6"/>
  <c r="T66" i="6"/>
  <c r="S66" i="6"/>
  <c r="R66" i="6"/>
  <c r="Q66" i="6"/>
  <c r="P66" i="6"/>
  <c r="O66" i="6"/>
  <c r="N66" i="6"/>
  <c r="M66" i="6"/>
  <c r="L66" i="6"/>
  <c r="W65" i="6"/>
  <c r="V65" i="6"/>
  <c r="U65" i="6"/>
  <c r="T65" i="6"/>
  <c r="S65" i="6"/>
  <c r="R65" i="6"/>
  <c r="Q65" i="6"/>
  <c r="P65" i="6"/>
  <c r="O65" i="6"/>
  <c r="N65" i="6"/>
  <c r="M65" i="6"/>
  <c r="L65" i="6"/>
  <c r="W64" i="6"/>
  <c r="V64" i="6"/>
  <c r="U64" i="6"/>
  <c r="T64" i="6"/>
  <c r="S64" i="6"/>
  <c r="R64" i="6"/>
  <c r="Q64" i="6"/>
  <c r="P64" i="6"/>
  <c r="O64" i="6"/>
  <c r="N64" i="6"/>
  <c r="M64" i="6"/>
  <c r="L64" i="6"/>
  <c r="W63" i="6"/>
  <c r="V63" i="6"/>
  <c r="U63" i="6"/>
  <c r="T63" i="6"/>
  <c r="S63" i="6"/>
  <c r="R63" i="6"/>
  <c r="Q63" i="6"/>
  <c r="P63" i="6"/>
  <c r="O63" i="6"/>
  <c r="N63" i="6"/>
  <c r="M63" i="6"/>
  <c r="L63" i="6"/>
  <c r="W62" i="6"/>
  <c r="V62" i="6"/>
  <c r="U62" i="6"/>
  <c r="T62" i="6"/>
  <c r="S62" i="6"/>
  <c r="R62" i="6"/>
  <c r="Q62" i="6"/>
  <c r="P62" i="6"/>
  <c r="O62" i="6"/>
  <c r="N62" i="6"/>
  <c r="M62" i="6"/>
  <c r="L62" i="6"/>
  <c r="W61" i="6"/>
  <c r="V61" i="6"/>
  <c r="U61" i="6"/>
  <c r="T61" i="6"/>
  <c r="S61" i="6"/>
  <c r="R61" i="6"/>
  <c r="Q61" i="6"/>
  <c r="P61" i="6"/>
  <c r="O61" i="6"/>
  <c r="N61" i="6"/>
  <c r="M61" i="6"/>
  <c r="L61" i="6"/>
  <c r="W60" i="6"/>
  <c r="V60" i="6"/>
  <c r="U60" i="6"/>
  <c r="T60" i="6"/>
  <c r="S60" i="6"/>
  <c r="R60" i="6"/>
  <c r="Q60" i="6"/>
  <c r="P60" i="6"/>
  <c r="O60" i="6"/>
  <c r="N60" i="6"/>
  <c r="M60" i="6"/>
  <c r="L60" i="6"/>
  <c r="W59" i="6"/>
  <c r="V59" i="6"/>
  <c r="U59" i="6"/>
  <c r="T59" i="6"/>
  <c r="S59" i="6"/>
  <c r="R59" i="6"/>
  <c r="Q59" i="6"/>
  <c r="P59" i="6"/>
  <c r="O59" i="6"/>
  <c r="N59" i="6"/>
  <c r="M59" i="6"/>
  <c r="L59" i="6"/>
  <c r="U58" i="6"/>
  <c r="S58" i="6"/>
  <c r="R58" i="6"/>
  <c r="Q58" i="6"/>
  <c r="P58" i="6"/>
  <c r="O58" i="6"/>
  <c r="N58" i="6"/>
  <c r="M58" i="6"/>
  <c r="L58" i="6"/>
  <c r="W57" i="6"/>
  <c r="V57" i="6"/>
  <c r="U57" i="6"/>
  <c r="T57" i="6"/>
  <c r="S57" i="6"/>
  <c r="R57" i="6"/>
  <c r="Q57" i="6"/>
  <c r="P57" i="6"/>
  <c r="O57" i="6"/>
  <c r="N57" i="6"/>
  <c r="M57" i="6"/>
  <c r="L57" i="6"/>
  <c r="W56" i="6"/>
  <c r="V56" i="6"/>
  <c r="U56" i="6"/>
  <c r="T56" i="6"/>
  <c r="S56" i="6"/>
  <c r="R56" i="6"/>
  <c r="Q56" i="6"/>
  <c r="P56" i="6"/>
  <c r="O56" i="6"/>
  <c r="N56" i="6"/>
  <c r="M56" i="6"/>
  <c r="L56" i="6"/>
  <c r="W55" i="6"/>
  <c r="V55" i="6"/>
  <c r="U55" i="6"/>
  <c r="T55" i="6"/>
  <c r="S55" i="6"/>
  <c r="R55" i="6"/>
  <c r="Q55" i="6"/>
  <c r="P55" i="6"/>
  <c r="O55" i="6"/>
  <c r="N55" i="6"/>
  <c r="M55" i="6"/>
  <c r="L55" i="6"/>
  <c r="W54" i="6"/>
  <c r="V54" i="6"/>
  <c r="U54" i="6"/>
  <c r="T54" i="6"/>
  <c r="S54" i="6"/>
  <c r="R54" i="6"/>
  <c r="Q54" i="6"/>
  <c r="P54" i="6"/>
  <c r="O54" i="6"/>
  <c r="N54" i="6"/>
  <c r="M54" i="6"/>
  <c r="L54" i="6"/>
  <c r="W53" i="6"/>
  <c r="V53" i="6"/>
  <c r="U53" i="6"/>
  <c r="T53" i="6"/>
  <c r="S53" i="6"/>
  <c r="R53" i="6"/>
  <c r="Q53" i="6"/>
  <c r="P53" i="6"/>
  <c r="O53" i="6"/>
  <c r="N53" i="6"/>
  <c r="M53" i="6"/>
  <c r="L53" i="6"/>
  <c r="W52" i="6"/>
  <c r="V52" i="6"/>
  <c r="U52" i="6"/>
  <c r="T52" i="6"/>
  <c r="S52" i="6"/>
  <c r="R52" i="6"/>
  <c r="Q52" i="6"/>
  <c r="P52" i="6"/>
  <c r="O52" i="6"/>
  <c r="N52" i="6"/>
  <c r="M52" i="6"/>
  <c r="L52" i="6"/>
  <c r="W51" i="6"/>
  <c r="V51" i="6"/>
  <c r="U51" i="6"/>
  <c r="T51" i="6"/>
  <c r="S51" i="6"/>
  <c r="R51" i="6"/>
  <c r="Q51" i="6"/>
  <c r="P51" i="6"/>
  <c r="O51" i="6"/>
  <c r="N51" i="6"/>
  <c r="M51" i="6"/>
  <c r="L51" i="6"/>
  <c r="W50" i="6"/>
  <c r="V50" i="6"/>
  <c r="U50" i="6"/>
  <c r="T50" i="6"/>
  <c r="S50" i="6"/>
  <c r="R50" i="6"/>
  <c r="Q50" i="6"/>
  <c r="P50" i="6"/>
  <c r="O50" i="6"/>
  <c r="N50" i="6"/>
  <c r="M50" i="6"/>
  <c r="L50" i="6"/>
  <c r="W49" i="6"/>
  <c r="V49" i="6"/>
  <c r="U49" i="6"/>
  <c r="T49" i="6"/>
  <c r="S49" i="6"/>
  <c r="R49" i="6"/>
  <c r="Q49" i="6"/>
  <c r="P49" i="6"/>
  <c r="O49" i="6"/>
  <c r="N49" i="6"/>
  <c r="M49" i="6"/>
  <c r="L49" i="6"/>
  <c r="W48" i="6"/>
  <c r="V48" i="6"/>
  <c r="U48" i="6"/>
  <c r="T48" i="6"/>
  <c r="S48" i="6"/>
  <c r="R48" i="6"/>
  <c r="Q48" i="6"/>
  <c r="P48" i="6"/>
  <c r="O48" i="6"/>
  <c r="N48" i="6"/>
  <c r="M48" i="6"/>
  <c r="L48" i="6"/>
  <c r="W47" i="6"/>
  <c r="C13" i="2" s="1"/>
  <c r="T47" i="6"/>
  <c r="S47" i="6"/>
  <c r="R47" i="6"/>
  <c r="Q47" i="6"/>
  <c r="P47" i="6"/>
  <c r="O47" i="6"/>
  <c r="N47" i="6"/>
  <c r="M47" i="6"/>
  <c r="W46" i="6"/>
  <c r="V46" i="6"/>
  <c r="U46" i="6"/>
  <c r="T46" i="6"/>
  <c r="S46" i="6"/>
  <c r="R46" i="6"/>
  <c r="Q46" i="6"/>
  <c r="P46" i="6"/>
  <c r="O46" i="6"/>
  <c r="N46" i="6"/>
  <c r="M46" i="6"/>
  <c r="L46" i="6"/>
  <c r="W45" i="6"/>
  <c r="V45" i="6"/>
  <c r="U45" i="6"/>
  <c r="T45" i="6"/>
  <c r="S45" i="6"/>
  <c r="R45" i="6"/>
  <c r="Q45" i="6"/>
  <c r="P45" i="6"/>
  <c r="O45" i="6"/>
  <c r="N45" i="6"/>
  <c r="M45" i="6"/>
  <c r="L45" i="6"/>
  <c r="W44" i="6"/>
  <c r="V44" i="6"/>
  <c r="U44" i="6"/>
  <c r="T44" i="6"/>
  <c r="S44" i="6"/>
  <c r="R44" i="6"/>
  <c r="Q44" i="6"/>
  <c r="P44" i="6"/>
  <c r="O44" i="6"/>
  <c r="N44" i="6"/>
  <c r="M44" i="6"/>
  <c r="L44" i="6"/>
  <c r="W43" i="6"/>
  <c r="V43" i="6"/>
  <c r="U43" i="6"/>
  <c r="T43" i="6"/>
  <c r="S43" i="6"/>
  <c r="R43" i="6"/>
  <c r="Q43" i="6"/>
  <c r="P43" i="6"/>
  <c r="O43" i="6"/>
  <c r="N43" i="6"/>
  <c r="M43" i="6"/>
  <c r="L43" i="6"/>
  <c r="W42" i="6"/>
  <c r="V42" i="6"/>
  <c r="U42" i="6"/>
  <c r="T42" i="6"/>
  <c r="S42" i="6"/>
  <c r="R42" i="6"/>
  <c r="Q42" i="6"/>
  <c r="P42" i="6"/>
  <c r="O42" i="6"/>
  <c r="N42" i="6"/>
  <c r="M42" i="6"/>
  <c r="L42" i="6"/>
  <c r="W41" i="6"/>
  <c r="V41" i="6"/>
  <c r="U41" i="6"/>
  <c r="T41" i="6"/>
  <c r="S41" i="6"/>
  <c r="R41" i="6"/>
  <c r="Q41" i="6"/>
  <c r="P41" i="6"/>
  <c r="O41" i="6"/>
  <c r="N41" i="6"/>
  <c r="M41" i="6"/>
  <c r="L41" i="6"/>
  <c r="W40" i="6"/>
  <c r="V40" i="6"/>
  <c r="U40" i="6"/>
  <c r="T40" i="6"/>
  <c r="S40" i="6"/>
  <c r="R40" i="6"/>
  <c r="Q40" i="6"/>
  <c r="P40" i="6"/>
  <c r="O40" i="6"/>
  <c r="N40" i="6"/>
  <c r="M40" i="6"/>
  <c r="L40" i="6"/>
  <c r="W39" i="6"/>
  <c r="V39" i="6"/>
  <c r="U39" i="6"/>
  <c r="T39" i="6"/>
  <c r="S39" i="6"/>
  <c r="R39" i="6"/>
  <c r="Q39" i="6"/>
  <c r="P39" i="6"/>
  <c r="O39" i="6"/>
  <c r="N39" i="6"/>
  <c r="M39" i="6"/>
  <c r="L39" i="6"/>
  <c r="W38" i="6"/>
  <c r="V38" i="6"/>
  <c r="U38" i="6"/>
  <c r="T38" i="6"/>
  <c r="S38" i="6"/>
  <c r="R38" i="6"/>
  <c r="Q38" i="6"/>
  <c r="P38" i="6"/>
  <c r="O38" i="6"/>
  <c r="N38" i="6"/>
  <c r="M38" i="6"/>
  <c r="L38" i="6"/>
  <c r="W37" i="6"/>
  <c r="V37" i="6"/>
  <c r="U37" i="6"/>
  <c r="T37" i="6"/>
  <c r="S37" i="6"/>
  <c r="R37" i="6"/>
  <c r="Q37" i="6"/>
  <c r="P37" i="6"/>
  <c r="O37" i="6"/>
  <c r="N37" i="6"/>
  <c r="M37" i="6"/>
  <c r="L37" i="6"/>
  <c r="W36" i="6"/>
  <c r="V36" i="6"/>
  <c r="U36" i="6"/>
  <c r="T36" i="6"/>
  <c r="S36" i="6"/>
  <c r="R36" i="6"/>
  <c r="Q36" i="6"/>
  <c r="P36" i="6"/>
  <c r="O36" i="6"/>
  <c r="N36" i="6"/>
  <c r="M36" i="6"/>
  <c r="L36" i="6"/>
  <c r="W35" i="6"/>
  <c r="V35" i="6"/>
  <c r="U35" i="6"/>
  <c r="T35" i="6"/>
  <c r="S35" i="6"/>
  <c r="R35" i="6"/>
  <c r="Q35" i="6"/>
  <c r="P35" i="6"/>
  <c r="O35" i="6"/>
  <c r="N35" i="6"/>
  <c r="M35" i="6"/>
  <c r="L35" i="6"/>
  <c r="W34" i="6"/>
  <c r="V34" i="6"/>
  <c r="U34" i="6"/>
  <c r="T34" i="6"/>
  <c r="S34" i="6"/>
  <c r="R34" i="6"/>
  <c r="Q34" i="6"/>
  <c r="P34" i="6"/>
  <c r="O34" i="6"/>
  <c r="N34" i="6"/>
  <c r="M34" i="6"/>
  <c r="L34" i="6"/>
  <c r="W33" i="6"/>
  <c r="V33" i="6"/>
  <c r="U33" i="6"/>
  <c r="T33" i="6"/>
  <c r="S33" i="6"/>
  <c r="R33" i="6"/>
  <c r="Q33" i="6"/>
  <c r="P33" i="6"/>
  <c r="O33" i="6"/>
  <c r="N33" i="6"/>
  <c r="M33" i="6"/>
  <c r="L33" i="6"/>
  <c r="W32" i="6"/>
  <c r="V32" i="6"/>
  <c r="U32" i="6"/>
  <c r="T32" i="6"/>
  <c r="S32" i="6"/>
  <c r="R32" i="6"/>
  <c r="Q32" i="6"/>
  <c r="P32" i="6"/>
  <c r="O32" i="6"/>
  <c r="N32" i="6"/>
  <c r="M32" i="6"/>
  <c r="L32" i="6"/>
  <c r="W31" i="6"/>
  <c r="V31" i="6"/>
  <c r="U31" i="6"/>
  <c r="T31" i="6"/>
  <c r="S31" i="6"/>
  <c r="R31" i="6"/>
  <c r="Q31" i="6"/>
  <c r="P31" i="6"/>
  <c r="O31" i="6"/>
  <c r="N31" i="6"/>
  <c r="M31" i="6"/>
  <c r="L31" i="6"/>
  <c r="W30" i="6"/>
  <c r="V30" i="6"/>
  <c r="U30" i="6"/>
  <c r="T30" i="6"/>
  <c r="S30" i="6"/>
  <c r="R30" i="6"/>
  <c r="Q30" i="6"/>
  <c r="P30" i="6"/>
  <c r="O30" i="6"/>
  <c r="N30" i="6"/>
  <c r="M30" i="6"/>
  <c r="L30" i="6"/>
  <c r="W29" i="6"/>
  <c r="V29" i="6"/>
  <c r="U29" i="6"/>
  <c r="T29" i="6"/>
  <c r="S29" i="6"/>
  <c r="R29" i="6"/>
  <c r="Q29" i="6"/>
  <c r="P29" i="6"/>
  <c r="O29" i="6"/>
  <c r="N29" i="6"/>
  <c r="M29" i="6"/>
  <c r="L29" i="6"/>
  <c r="W28" i="6"/>
  <c r="V28" i="6"/>
  <c r="U28" i="6"/>
  <c r="T28" i="6"/>
  <c r="S28" i="6"/>
  <c r="R28" i="6"/>
  <c r="Q28" i="6"/>
  <c r="P28" i="6"/>
  <c r="O28" i="6"/>
  <c r="N28" i="6"/>
  <c r="M28" i="6"/>
  <c r="L28" i="6"/>
  <c r="W27" i="6"/>
  <c r="V27" i="6"/>
  <c r="U27" i="6"/>
  <c r="T27" i="6"/>
  <c r="S27" i="6"/>
  <c r="R27" i="6"/>
  <c r="Q27" i="6"/>
  <c r="P27" i="6"/>
  <c r="O27" i="6"/>
  <c r="N27" i="6"/>
  <c r="M27" i="6"/>
  <c r="L27" i="6"/>
  <c r="W26" i="6"/>
  <c r="V26" i="6"/>
  <c r="U26" i="6"/>
  <c r="T26" i="6"/>
  <c r="S26" i="6"/>
  <c r="R26" i="6"/>
  <c r="Q26" i="6"/>
  <c r="P26" i="6"/>
  <c r="O26" i="6"/>
  <c r="N26" i="6"/>
  <c r="M26" i="6"/>
  <c r="L26" i="6"/>
  <c r="W25" i="6"/>
  <c r="V25" i="6"/>
  <c r="U25" i="6"/>
  <c r="T25" i="6"/>
  <c r="S25" i="6"/>
  <c r="R25" i="6"/>
  <c r="Q25" i="6"/>
  <c r="P25" i="6"/>
  <c r="O25" i="6"/>
  <c r="N25" i="6"/>
  <c r="M25" i="6"/>
  <c r="L25" i="6"/>
  <c r="W24" i="6"/>
  <c r="V24" i="6"/>
  <c r="U24" i="6"/>
  <c r="T24" i="6"/>
  <c r="S24" i="6"/>
  <c r="R24" i="6"/>
  <c r="Q24" i="6"/>
  <c r="P24" i="6"/>
  <c r="O24" i="6"/>
  <c r="N24" i="6"/>
  <c r="M24" i="6"/>
  <c r="L24" i="6"/>
  <c r="W23" i="6"/>
  <c r="V23" i="6"/>
  <c r="U23" i="6"/>
  <c r="T23" i="6"/>
  <c r="S23" i="6"/>
  <c r="R23" i="6"/>
  <c r="Q23" i="6"/>
  <c r="P23" i="6"/>
  <c r="O23" i="6"/>
  <c r="N23" i="6"/>
  <c r="M23" i="6"/>
  <c r="L23" i="6"/>
  <c r="W22" i="6"/>
  <c r="V22" i="6"/>
  <c r="U22" i="6"/>
  <c r="T22" i="6"/>
  <c r="S22" i="6"/>
  <c r="R22" i="6"/>
  <c r="Q22" i="6"/>
  <c r="P22" i="6"/>
  <c r="O22" i="6"/>
  <c r="N22" i="6"/>
  <c r="M22" i="6"/>
  <c r="L22" i="6"/>
  <c r="W21" i="6"/>
  <c r="V21" i="6"/>
  <c r="U21" i="6"/>
  <c r="T21" i="6"/>
  <c r="S21" i="6"/>
  <c r="R21" i="6"/>
  <c r="Q21" i="6"/>
  <c r="P21" i="6"/>
  <c r="O21" i="6"/>
  <c r="N21" i="6"/>
  <c r="M21" i="6"/>
  <c r="L21" i="6"/>
  <c r="W20" i="6"/>
  <c r="V20" i="6"/>
  <c r="U20" i="6"/>
  <c r="T20" i="6"/>
  <c r="S20" i="6"/>
  <c r="R20" i="6"/>
  <c r="Q20" i="6"/>
  <c r="P20" i="6"/>
  <c r="O20" i="6"/>
  <c r="N20" i="6"/>
  <c r="M20" i="6"/>
  <c r="L20" i="6"/>
  <c r="W19" i="6"/>
  <c r="V19" i="6"/>
  <c r="U19" i="6"/>
  <c r="T19" i="6"/>
  <c r="S19" i="6"/>
  <c r="R19" i="6"/>
  <c r="Q19" i="6"/>
  <c r="P19" i="6"/>
  <c r="O19" i="6"/>
  <c r="N19" i="6"/>
  <c r="M19" i="6"/>
  <c r="L19" i="6"/>
  <c r="W18" i="6"/>
  <c r="V18" i="6"/>
  <c r="U18" i="6"/>
  <c r="T18" i="6"/>
  <c r="S18" i="6"/>
  <c r="R18" i="6"/>
  <c r="Q18" i="6"/>
  <c r="P18" i="6"/>
  <c r="O18" i="6"/>
  <c r="N18" i="6"/>
  <c r="M18" i="6"/>
  <c r="L18" i="6"/>
  <c r="W17" i="6"/>
  <c r="V17" i="6"/>
  <c r="U17" i="6"/>
  <c r="T17" i="6"/>
  <c r="S17" i="6"/>
  <c r="R17" i="6"/>
  <c r="Q17" i="6"/>
  <c r="P17" i="6"/>
  <c r="O17" i="6"/>
  <c r="N17" i="6"/>
  <c r="M17" i="6"/>
  <c r="L17" i="6"/>
  <c r="W16" i="6"/>
  <c r="V16" i="6"/>
  <c r="U16" i="6"/>
  <c r="T16" i="6"/>
  <c r="S16" i="6"/>
  <c r="R16" i="6"/>
  <c r="Q16" i="6"/>
  <c r="P16" i="6"/>
  <c r="O16" i="6"/>
  <c r="N16" i="6"/>
  <c r="M16" i="6"/>
  <c r="L16" i="6"/>
  <c r="W15" i="6"/>
  <c r="V15" i="6"/>
  <c r="U15" i="6"/>
  <c r="T15" i="6"/>
  <c r="S15" i="6"/>
  <c r="R15" i="6"/>
  <c r="Q15" i="6"/>
  <c r="P15" i="6"/>
  <c r="O15" i="6"/>
  <c r="N15" i="6"/>
  <c r="M15" i="6"/>
  <c r="L15" i="6"/>
  <c r="W14" i="6"/>
  <c r="V14" i="6"/>
  <c r="U14" i="6"/>
  <c r="T14" i="6"/>
  <c r="S14" i="6"/>
  <c r="R14" i="6"/>
  <c r="Q14" i="6"/>
  <c r="P14" i="6"/>
  <c r="O14" i="6"/>
  <c r="N14" i="6"/>
  <c r="M14" i="6"/>
  <c r="L14" i="6"/>
  <c r="W13" i="6"/>
  <c r="V13" i="6"/>
  <c r="U13" i="6"/>
  <c r="T13" i="6"/>
  <c r="S13" i="6"/>
  <c r="R13" i="6"/>
  <c r="Q13" i="6"/>
  <c r="P13" i="6"/>
  <c r="O13" i="6"/>
  <c r="N13" i="6"/>
  <c r="M13" i="6"/>
  <c r="L13" i="6"/>
  <c r="W12" i="6"/>
  <c r="V12" i="6"/>
  <c r="U12" i="6"/>
  <c r="T12" i="6"/>
  <c r="S12" i="6"/>
  <c r="R12" i="6"/>
  <c r="Q12" i="6"/>
  <c r="P12" i="6"/>
  <c r="O12" i="6"/>
  <c r="N12" i="6"/>
  <c r="M12" i="6"/>
  <c r="L12" i="6"/>
  <c r="W11" i="6"/>
  <c r="V11" i="6"/>
  <c r="U11" i="6"/>
  <c r="T11" i="6"/>
  <c r="S11" i="6"/>
  <c r="R11" i="6"/>
  <c r="Q11" i="6"/>
  <c r="P11" i="6"/>
  <c r="O11" i="6"/>
  <c r="N11" i="6"/>
  <c r="M11" i="6"/>
  <c r="L11" i="6"/>
  <c r="W10" i="6"/>
  <c r="V10" i="6"/>
  <c r="U10" i="6"/>
  <c r="T10" i="6"/>
  <c r="S10" i="6"/>
  <c r="R10" i="6"/>
  <c r="Q10" i="6"/>
  <c r="P10" i="6"/>
  <c r="O10" i="6"/>
  <c r="N10" i="6"/>
  <c r="M10" i="6"/>
  <c r="L10" i="6"/>
  <c r="W9" i="6"/>
  <c r="V9" i="6"/>
  <c r="U9" i="6"/>
  <c r="T9" i="6"/>
  <c r="S9" i="6"/>
  <c r="R9" i="6"/>
  <c r="Q9" i="6"/>
  <c r="P9" i="6"/>
  <c r="O9" i="6"/>
  <c r="N9" i="6"/>
  <c r="M9" i="6"/>
  <c r="L9" i="6"/>
  <c r="W8" i="6"/>
  <c r="V8" i="6"/>
  <c r="U8" i="6"/>
  <c r="T8" i="6"/>
  <c r="S8" i="6"/>
  <c r="R8" i="6"/>
  <c r="Q8" i="6"/>
  <c r="P8" i="6"/>
  <c r="O8" i="6"/>
  <c r="N8" i="6"/>
  <c r="M8" i="6"/>
  <c r="L8" i="6"/>
  <c r="W7" i="6"/>
  <c r="V7" i="6"/>
  <c r="U7" i="6"/>
  <c r="T7" i="6"/>
  <c r="S7" i="6"/>
  <c r="R7" i="6"/>
  <c r="Q7" i="6"/>
  <c r="P7" i="6"/>
  <c r="O7" i="6"/>
  <c r="N7" i="6"/>
  <c r="M7" i="6"/>
  <c r="L7" i="6"/>
  <c r="W6" i="6"/>
  <c r="V6" i="6"/>
  <c r="U6" i="6"/>
  <c r="T6" i="6"/>
  <c r="S6" i="6"/>
  <c r="R6" i="6"/>
  <c r="Q6" i="6"/>
  <c r="P6" i="6"/>
  <c r="O6" i="6"/>
  <c r="N6" i="6"/>
  <c r="M6" i="6"/>
  <c r="L6" i="6"/>
  <c r="B2" i="6"/>
  <c r="D24" i="5"/>
  <c r="C24" i="5"/>
  <c r="A3" i="5"/>
  <c r="D38" i="4"/>
  <c r="C38" i="4"/>
  <c r="C39" i="4" s="1"/>
  <c r="D36" i="4"/>
  <c r="D35" i="4"/>
  <c r="C34" i="4"/>
  <c r="D32" i="4"/>
  <c r="D34" i="4" s="1"/>
  <c r="D39" i="4" s="1"/>
  <c r="D28" i="4"/>
  <c r="C28" i="4"/>
  <c r="D24" i="4"/>
  <c r="D23" i="4"/>
  <c r="D29" i="4" s="1"/>
  <c r="C23" i="4"/>
  <c r="C29" i="4" s="1"/>
  <c r="D14" i="4"/>
  <c r="C14" i="4"/>
  <c r="D13" i="4"/>
  <c r="D12" i="4"/>
  <c r="D11" i="4"/>
  <c r="D15" i="4" s="1"/>
  <c r="C11" i="4"/>
  <c r="C15" i="4" s="1"/>
  <c r="D10" i="4"/>
  <c r="D16" i="4" s="1"/>
  <c r="C10" i="4"/>
  <c r="D9" i="4"/>
  <c r="D7" i="4"/>
  <c r="C7" i="4"/>
  <c r="A3" i="4"/>
  <c r="D25" i="3"/>
  <c r="C25" i="3"/>
  <c r="J22" i="3"/>
  <c r="I22" i="3"/>
  <c r="H22" i="3"/>
  <c r="J12" i="3"/>
  <c r="I12" i="3"/>
  <c r="H12" i="3"/>
  <c r="E8" i="3"/>
  <c r="J6" i="3"/>
  <c r="I6" i="3"/>
  <c r="H6" i="3"/>
  <c r="E5" i="3"/>
  <c r="E26" i="3" s="1"/>
  <c r="E29" i="3" s="1"/>
  <c r="E31" i="3" s="1"/>
  <c r="E3" i="3"/>
  <c r="B3" i="4" s="1"/>
  <c r="A3" i="3"/>
  <c r="H55" i="2"/>
  <c r="H53" i="2"/>
  <c r="D43" i="2"/>
  <c r="D45" i="2" s="1"/>
  <c r="D55" i="2" s="1"/>
  <c r="D56" i="2" s="1"/>
  <c r="D41" i="2"/>
  <c r="H29" i="2"/>
  <c r="H30" i="2" s="1"/>
  <c r="H56" i="2" s="1"/>
  <c r="H19" i="2"/>
  <c r="D17" i="2"/>
  <c r="D6" i="2"/>
  <c r="D30" i="2" s="1"/>
  <c r="E3" i="2"/>
  <c r="A3" i="2"/>
  <c r="B3" i="5" l="1"/>
  <c r="D644" i="6"/>
  <c r="G6" i="2"/>
  <c r="C6" i="3"/>
  <c r="G13" i="2"/>
  <c r="C40" i="2"/>
  <c r="C41" i="2" s="1"/>
  <c r="C43" i="2" s="1"/>
  <c r="C45" i="2" s="1"/>
  <c r="C15" i="2"/>
  <c r="G15" i="2"/>
  <c r="C8" i="2"/>
  <c r="C6" i="2" s="1"/>
  <c r="C16" i="2"/>
  <c r="C8" i="3"/>
  <c r="D501" i="6"/>
  <c r="F501" i="6" s="1"/>
  <c r="D472" i="6"/>
  <c r="F472" i="6" s="1"/>
  <c r="D538" i="6"/>
  <c r="F538" i="6" s="1"/>
  <c r="D525" i="6"/>
  <c r="F525" i="6" s="1"/>
  <c r="D526" i="6"/>
  <c r="F526" i="6" s="1"/>
  <c r="D502" i="6"/>
  <c r="F502" i="6" s="1"/>
  <c r="C17" i="2"/>
  <c r="D466" i="6"/>
  <c r="F466" i="6" s="1"/>
  <c r="D467" i="6"/>
  <c r="F467" i="6" s="1"/>
  <c r="C13" i="3"/>
  <c r="U271" i="6"/>
  <c r="D486" i="6"/>
  <c r="F486" i="6" s="1"/>
  <c r="D494" i="6"/>
  <c r="F494" i="6" s="1"/>
  <c r="G10" i="2"/>
  <c r="D632" i="6"/>
  <c r="F632" i="6" s="1"/>
  <c r="D625" i="6"/>
  <c r="F625" i="6" s="1"/>
  <c r="C29" i="2"/>
  <c r="D616" i="6"/>
  <c r="F616" i="6" s="1"/>
  <c r="D544" i="6"/>
  <c r="D611" i="6"/>
  <c r="F611" i="6" s="1"/>
  <c r="C5" i="3"/>
  <c r="X482" i="6"/>
  <c r="X492" i="6"/>
  <c r="X500" i="6"/>
  <c r="D540" i="6"/>
  <c r="F540" i="6" s="1"/>
  <c r="D520" i="6"/>
  <c r="F520" i="6" s="1"/>
  <c r="D523" i="6"/>
  <c r="F523" i="6" s="1"/>
  <c r="D557" i="6"/>
  <c r="F557" i="6" s="1"/>
  <c r="D572" i="6"/>
  <c r="F572" i="6" s="1"/>
  <c r="D579" i="6"/>
  <c r="F579" i="6" s="1"/>
  <c r="X589" i="6"/>
  <c r="D643" i="6"/>
  <c r="D473" i="6"/>
  <c r="F473" i="6" s="1"/>
  <c r="D564" i="6"/>
  <c r="F564" i="6" s="1"/>
  <c r="D536" i="6"/>
  <c r="F536" i="6" s="1"/>
  <c r="D614" i="6"/>
  <c r="F614" i="6" s="1"/>
  <c r="D503" i="6"/>
  <c r="F503" i="6" s="1"/>
  <c r="X481" i="6"/>
  <c r="X501" i="6"/>
  <c r="D493" i="6"/>
  <c r="F493" i="6" s="1"/>
  <c r="X507" i="6"/>
  <c r="X519" i="6"/>
  <c r="X521" i="6"/>
  <c r="D415" i="6"/>
  <c r="F415" i="6" s="1"/>
  <c r="D427" i="6"/>
  <c r="F427" i="6" s="1"/>
  <c r="D439" i="6"/>
  <c r="F439" i="6" s="1"/>
  <c r="D451" i="6"/>
  <c r="F451" i="6" s="1"/>
  <c r="D530" i="6"/>
  <c r="F530" i="6" s="1"/>
  <c r="X568" i="6"/>
  <c r="D577" i="6"/>
  <c r="F577" i="6" s="1"/>
  <c r="D584" i="6"/>
  <c r="F584" i="6" s="1"/>
  <c r="X608" i="6"/>
  <c r="D553" i="6"/>
  <c r="F553" i="6" s="1"/>
  <c r="D552" i="6"/>
  <c r="F552" i="6" s="1"/>
  <c r="D593" i="6"/>
  <c r="F593" i="6" s="1"/>
  <c r="D516" i="6"/>
  <c r="F516" i="6" s="1"/>
  <c r="D521" i="6"/>
  <c r="F521" i="6" s="1"/>
  <c r="D604" i="6"/>
  <c r="F604" i="6" s="1"/>
  <c r="D619" i="6"/>
  <c r="F619" i="6" s="1"/>
  <c r="D647" i="6"/>
  <c r="F647" i="6" s="1"/>
  <c r="D482" i="6"/>
  <c r="F482" i="6" s="1"/>
  <c r="D550" i="6"/>
  <c r="F550" i="6" s="1"/>
  <c r="D617" i="6"/>
  <c r="F617" i="6" s="1"/>
  <c r="D635" i="6"/>
  <c r="F635" i="6" s="1"/>
  <c r="D640" i="6"/>
  <c r="F640" i="6" s="1"/>
  <c r="X491" i="6"/>
  <c r="D491" i="6"/>
  <c r="D555" i="6"/>
  <c r="F555" i="6" s="1"/>
  <c r="D510" i="6"/>
  <c r="F510" i="6" s="1"/>
  <c r="X522" i="6"/>
  <c r="X525" i="6"/>
  <c r="D478" i="6"/>
  <c r="F478" i="6" s="1"/>
  <c r="D490" i="6"/>
  <c r="F490" i="6" s="1"/>
  <c r="D505" i="6"/>
  <c r="F505" i="6" s="1"/>
  <c r="D527" i="6"/>
  <c r="F527" i="6" s="1"/>
  <c r="D539" i="6"/>
  <c r="F539" i="6" s="1"/>
  <c r="X561" i="6"/>
  <c r="D600" i="6"/>
  <c r="X604" i="6"/>
  <c r="D534" i="6"/>
  <c r="F534" i="6" s="1"/>
  <c r="D589" i="6"/>
  <c r="F589" i="6" s="1"/>
  <c r="X619" i="6"/>
  <c r="X625" i="6"/>
  <c r="D565" i="6"/>
  <c r="F565" i="6" s="1"/>
  <c r="X415" i="6"/>
  <c r="X427" i="6"/>
  <c r="X439" i="6"/>
  <c r="X451" i="6"/>
  <c r="D507" i="6"/>
  <c r="F507" i="6" s="1"/>
  <c r="D511" i="6"/>
  <c r="F511" i="6" s="1"/>
  <c r="D545" i="6"/>
  <c r="F545" i="6" s="1"/>
  <c r="D590" i="6"/>
  <c r="F590" i="6" s="1"/>
  <c r="H57" i="2"/>
  <c r="J5" i="3"/>
  <c r="J7" i="3" s="1"/>
  <c r="E33" i="3"/>
  <c r="D41" i="4"/>
  <c r="C16" i="4"/>
  <c r="C41" i="4" s="1"/>
  <c r="D464" i="6"/>
  <c r="X620" i="6"/>
  <c r="F29" i="6"/>
  <c r="F41" i="6"/>
  <c r="F77" i="6"/>
  <c r="F89" i="6"/>
  <c r="F125" i="6"/>
  <c r="F137" i="6"/>
  <c r="F173" i="6"/>
  <c r="F9" i="6"/>
  <c r="D580" i="6"/>
  <c r="F411" i="6"/>
  <c r="F367" i="6"/>
  <c r="F354" i="6"/>
  <c r="F406" i="6"/>
  <c r="F379" i="6"/>
  <c r="F404" i="6"/>
  <c r="F398" i="6"/>
  <c r="F408" i="6"/>
  <c r="F402" i="6"/>
  <c r="F407" i="6"/>
  <c r="F392" i="6"/>
  <c r="F491" i="6"/>
  <c r="F371" i="6"/>
  <c r="F350" i="6"/>
  <c r="F333" i="6"/>
  <c r="F329" i="6"/>
  <c r="F325" i="6"/>
  <c r="F317" i="6"/>
  <c r="F285" i="6"/>
  <c r="F281" i="6"/>
  <c r="F277" i="6"/>
  <c r="F269" i="6"/>
  <c r="F245" i="6"/>
  <c r="F544" i="6"/>
  <c r="F395" i="6"/>
  <c r="F370" i="6"/>
  <c r="F385" i="6"/>
  <c r="F376" i="6"/>
  <c r="F353" i="6"/>
  <c r="F340" i="6"/>
  <c r="F324" i="6"/>
  <c r="F308" i="6"/>
  <c r="F300" i="6"/>
  <c r="F292" i="6"/>
  <c r="F276" i="6"/>
  <c r="F260" i="6"/>
  <c r="F369" i="6"/>
  <c r="F363" i="6"/>
  <c r="F405" i="6"/>
  <c r="F393" i="6"/>
  <c r="F383" i="6"/>
  <c r="F374" i="6"/>
  <c r="F368" i="6"/>
  <c r="F343" i="6"/>
  <c r="F339" i="6"/>
  <c r="F335" i="6"/>
  <c r="F295" i="6"/>
  <c r="F291" i="6"/>
  <c r="F287" i="6"/>
  <c r="F347" i="6"/>
  <c r="F373" i="6"/>
  <c r="F351" i="6"/>
  <c r="F366" i="6"/>
  <c r="F361" i="6"/>
  <c r="F338" i="6"/>
  <c r="F334" i="6"/>
  <c r="F326" i="6"/>
  <c r="F310" i="6"/>
  <c r="F306" i="6"/>
  <c r="F298" i="6"/>
  <c r="F290" i="6"/>
  <c r="F286" i="6"/>
  <c r="F278" i="6"/>
  <c r="F262" i="6"/>
  <c r="F250" i="6"/>
  <c r="F238" i="6"/>
  <c r="F222" i="6"/>
  <c r="F218" i="6"/>
  <c r="F400" i="6"/>
  <c r="F372" i="6"/>
  <c r="X530" i="6"/>
  <c r="F6" i="6"/>
  <c r="F10" i="6"/>
  <c r="F14" i="6"/>
  <c r="F22" i="6"/>
  <c r="F26" i="6"/>
  <c r="F30" i="6"/>
  <c r="F58" i="6"/>
  <c r="F70" i="6"/>
  <c r="F74" i="6"/>
  <c r="F78" i="6"/>
  <c r="F106" i="6"/>
  <c r="F118" i="6"/>
  <c r="F122" i="6"/>
  <c r="F126" i="6"/>
  <c r="F154" i="6"/>
  <c r="F166" i="6"/>
  <c r="F170" i="6"/>
  <c r="F174" i="6"/>
  <c r="F202" i="6"/>
  <c r="F214" i="6"/>
  <c r="F229" i="6"/>
  <c r="F349" i="6"/>
  <c r="D543" i="6"/>
  <c r="F543" i="6" s="1"/>
  <c r="F15" i="6"/>
  <c r="F19" i="6"/>
  <c r="F47" i="6"/>
  <c r="F63" i="6"/>
  <c r="F95" i="6"/>
  <c r="F111" i="6"/>
  <c r="F143" i="6"/>
  <c r="F159" i="6"/>
  <c r="F191" i="6"/>
  <c r="F207" i="6"/>
  <c r="X577" i="6"/>
  <c r="F7" i="6"/>
  <c r="F220" i="6"/>
  <c r="F225" i="6"/>
  <c r="F231" i="6"/>
  <c r="F243" i="6"/>
  <c r="X580" i="6"/>
  <c r="D471" i="6"/>
  <c r="F471" i="6" s="1"/>
  <c r="D412" i="6"/>
  <c r="D413" i="6"/>
  <c r="F413" i="6" s="1"/>
  <c r="X414" i="6"/>
  <c r="D423" i="6"/>
  <c r="D424" i="6"/>
  <c r="F424" i="6" s="1"/>
  <c r="D425" i="6"/>
  <c r="X426" i="6"/>
  <c r="D435" i="6"/>
  <c r="F435" i="6" s="1"/>
  <c r="D436" i="6"/>
  <c r="F436" i="6" s="1"/>
  <c r="D437" i="6"/>
  <c r="X438" i="6"/>
  <c r="D447" i="6"/>
  <c r="D448" i="6"/>
  <c r="D449" i="6"/>
  <c r="F449" i="6" s="1"/>
  <c r="X450" i="6"/>
  <c r="D459" i="6"/>
  <c r="D477" i="6"/>
  <c r="F477" i="6" s="1"/>
  <c r="X477" i="6"/>
  <c r="D492" i="6"/>
  <c r="F492" i="6" s="1"/>
  <c r="X520" i="6"/>
  <c r="D533" i="6"/>
  <c r="F533" i="6" s="1"/>
  <c r="X534" i="6"/>
  <c r="D549" i="6"/>
  <c r="F549" i="6" s="1"/>
  <c r="X549" i="6"/>
  <c r="X564" i="6"/>
  <c r="D608" i="6"/>
  <c r="F608" i="6" s="1"/>
  <c r="X611" i="6"/>
  <c r="D627" i="6"/>
  <c r="F627" i="6" s="1"/>
  <c r="X627" i="6"/>
  <c r="D414" i="6"/>
  <c r="F414" i="6" s="1"/>
  <c r="D426" i="6"/>
  <c r="F426" i="6" s="1"/>
  <c r="D438" i="6"/>
  <c r="F438" i="6" s="1"/>
  <c r="D450" i="6"/>
  <c r="D475" i="6"/>
  <c r="F475" i="6" s="1"/>
  <c r="D497" i="6"/>
  <c r="F497" i="6" s="1"/>
  <c r="D504" i="6"/>
  <c r="F504" i="6" s="1"/>
  <c r="X535" i="6"/>
  <c r="D547" i="6"/>
  <c r="F547" i="6" s="1"/>
  <c r="X552" i="6"/>
  <c r="X566" i="6"/>
  <c r="D568" i="6"/>
  <c r="X598" i="6"/>
  <c r="D601" i="6"/>
  <c r="X613" i="6"/>
  <c r="X614" i="6"/>
  <c r="D630" i="6"/>
  <c r="F630" i="6" s="1"/>
  <c r="X630" i="6"/>
  <c r="X643" i="6"/>
  <c r="X464" i="6"/>
  <c r="X465" i="6"/>
  <c r="X494" i="6"/>
  <c r="X536" i="6"/>
  <c r="X537" i="6"/>
  <c r="D631" i="6"/>
  <c r="F631" i="6" s="1"/>
  <c r="X631" i="6"/>
  <c r="D416" i="6"/>
  <c r="F416" i="6" s="1"/>
  <c r="D428" i="6"/>
  <c r="F428" i="6" s="1"/>
  <c r="D440" i="6"/>
  <c r="F440" i="6" s="1"/>
  <c r="D452" i="6"/>
  <c r="D479" i="6"/>
  <c r="D508" i="6"/>
  <c r="F508" i="6" s="1"/>
  <c r="X510" i="6"/>
  <c r="D581" i="6"/>
  <c r="F581" i="6" s="1"/>
  <c r="X584" i="6"/>
  <c r="D598" i="6"/>
  <c r="F598" i="6" s="1"/>
  <c r="X600" i="6"/>
  <c r="F644" i="6"/>
  <c r="X647" i="6"/>
  <c r="D417" i="6"/>
  <c r="F417" i="6" s="1"/>
  <c r="D418" i="6"/>
  <c r="X418" i="6"/>
  <c r="D429" i="6"/>
  <c r="F429" i="6" s="1"/>
  <c r="D430" i="6"/>
  <c r="F430" i="6" s="1"/>
  <c r="X430" i="6"/>
  <c r="D441" i="6"/>
  <c r="F441" i="6" s="1"/>
  <c r="D442" i="6"/>
  <c r="F442" i="6" s="1"/>
  <c r="X442" i="6"/>
  <c r="D453" i="6"/>
  <c r="D454" i="6"/>
  <c r="X454" i="6"/>
  <c r="X467" i="6"/>
  <c r="D481" i="6"/>
  <c r="F481" i="6" s="1"/>
  <c r="D509" i="6"/>
  <c r="F509" i="6" s="1"/>
  <c r="D522" i="6"/>
  <c r="F522" i="6" s="1"/>
  <c r="X539" i="6"/>
  <c r="X554" i="6"/>
  <c r="D569" i="6"/>
  <c r="F569" i="6" s="1"/>
  <c r="X569" i="6"/>
  <c r="D585" i="6"/>
  <c r="X585" i="6"/>
  <c r="X616" i="6"/>
  <c r="D480" i="6"/>
  <c r="F480" i="6" s="1"/>
  <c r="X555" i="6"/>
  <c r="X557" i="6"/>
  <c r="D571" i="6"/>
  <c r="F571" i="6" s="1"/>
  <c r="X572" i="6"/>
  <c r="D596" i="6"/>
  <c r="F596" i="6" s="1"/>
  <c r="X617" i="6"/>
  <c r="D620" i="6"/>
  <c r="X468" i="6"/>
  <c r="X483" i="6"/>
  <c r="D496" i="6"/>
  <c r="X499" i="6"/>
  <c r="D500" i="6"/>
  <c r="F500" i="6" s="1"/>
  <c r="D512" i="6"/>
  <c r="F512" i="6" s="1"/>
  <c r="D528" i="6"/>
  <c r="F528" i="6" s="1"/>
  <c r="X528" i="6"/>
  <c r="X540" i="6"/>
  <c r="D558" i="6"/>
  <c r="F558" i="6" s="1"/>
  <c r="X558" i="6"/>
  <c r="D573" i="6"/>
  <c r="X573" i="6"/>
  <c r="X635" i="6"/>
  <c r="D636" i="6"/>
  <c r="F636" i="6" s="1"/>
  <c r="X636" i="6"/>
  <c r="D419" i="6"/>
  <c r="F419" i="6" s="1"/>
  <c r="D420" i="6"/>
  <c r="F420" i="6" s="1"/>
  <c r="X421" i="6"/>
  <c r="D431" i="6"/>
  <c r="F431" i="6" s="1"/>
  <c r="D432" i="6"/>
  <c r="F432" i="6" s="1"/>
  <c r="X433" i="6"/>
  <c r="D443" i="6"/>
  <c r="D444" i="6"/>
  <c r="X445" i="6"/>
  <c r="D455" i="6"/>
  <c r="F455" i="6" s="1"/>
  <c r="D456" i="6"/>
  <c r="F456" i="6" s="1"/>
  <c r="X457" i="6"/>
  <c r="X471" i="6"/>
  <c r="D483" i="6"/>
  <c r="F483" i="6" s="1"/>
  <c r="X485" i="6"/>
  <c r="X543" i="6"/>
  <c r="D556" i="6"/>
  <c r="F556" i="6" s="1"/>
  <c r="D605" i="6"/>
  <c r="X605" i="6"/>
  <c r="D613" i="6"/>
  <c r="F613" i="6" s="1"/>
  <c r="D621" i="6"/>
  <c r="F621" i="6" s="1"/>
  <c r="X621" i="6"/>
  <c r="D468" i="6"/>
  <c r="F468" i="6" s="1"/>
  <c r="D469" i="6"/>
  <c r="F469" i="6" s="1"/>
  <c r="D484" i="6"/>
  <c r="F484" i="6" s="1"/>
  <c r="X486" i="6"/>
  <c r="D498" i="6"/>
  <c r="F498" i="6" s="1"/>
  <c r="D514" i="6"/>
  <c r="X529" i="6"/>
  <c r="D541" i="6"/>
  <c r="F541" i="6" s="1"/>
  <c r="D575" i="6"/>
  <c r="F575" i="6" s="1"/>
  <c r="X575" i="6"/>
  <c r="X590" i="6"/>
  <c r="D602" i="6"/>
  <c r="F602" i="6" s="1"/>
  <c r="D622" i="6"/>
  <c r="F622" i="6" s="1"/>
  <c r="X622" i="6"/>
  <c r="X412" i="6"/>
  <c r="D422" i="6"/>
  <c r="X424" i="6"/>
  <c r="D434" i="6"/>
  <c r="X436" i="6"/>
  <c r="D446" i="6"/>
  <c r="F446" i="6" s="1"/>
  <c r="X448" i="6"/>
  <c r="D458" i="6"/>
  <c r="F458" i="6" s="1"/>
  <c r="D474" i="6"/>
  <c r="F474" i="6" s="1"/>
  <c r="X489" i="6"/>
  <c r="X503" i="6"/>
  <c r="D515" i="6"/>
  <c r="F515" i="6" s="1"/>
  <c r="D518" i="6"/>
  <c r="F518" i="6" s="1"/>
  <c r="X518" i="6"/>
  <c r="D529" i="6"/>
  <c r="D546" i="6"/>
  <c r="F546" i="6" s="1"/>
  <c r="D561" i="6"/>
  <c r="F561" i="6" s="1"/>
  <c r="X563" i="6"/>
  <c r="X579" i="6"/>
  <c r="D626" i="6"/>
  <c r="F626" i="6" s="1"/>
  <c r="X626" i="6"/>
  <c r="X461" i="6"/>
  <c r="D462" i="6"/>
  <c r="F462" i="6" s="1"/>
  <c r="X462" i="6"/>
  <c r="D476" i="6"/>
  <c r="X476" i="6"/>
  <c r="D489" i="6"/>
  <c r="F489" i="6" s="1"/>
  <c r="X504" i="6"/>
  <c r="D532" i="6"/>
  <c r="F532" i="6" s="1"/>
  <c r="D548" i="6"/>
  <c r="F548" i="6" s="1"/>
  <c r="X548" i="6"/>
  <c r="D562" i="6"/>
  <c r="F562" i="6" s="1"/>
  <c r="D563" i="6"/>
  <c r="F563" i="6" s="1"/>
  <c r="D595" i="6"/>
  <c r="F595" i="6" s="1"/>
  <c r="X595" i="6"/>
  <c r="D460" i="6"/>
  <c r="X460" i="6"/>
  <c r="X474" i="6"/>
  <c r="D487" i="6"/>
  <c r="X512" i="6"/>
  <c r="X517" i="6"/>
  <c r="X546" i="6"/>
  <c r="X556" i="6"/>
  <c r="X565" i="6"/>
  <c r="D566" i="6"/>
  <c r="F566" i="6" s="1"/>
  <c r="X571" i="6"/>
  <c r="D576" i="6"/>
  <c r="F576" i="6" s="1"/>
  <c r="X576" i="6"/>
  <c r="X586" i="6"/>
  <c r="X602" i="6"/>
  <c r="D623" i="6"/>
  <c r="F623" i="6" s="1"/>
  <c r="X623" i="6"/>
  <c r="D628" i="6"/>
  <c r="F628" i="6" s="1"/>
  <c r="X628" i="6"/>
  <c r="D634" i="6"/>
  <c r="F634" i="6" s="1"/>
  <c r="X634" i="6"/>
  <c r="D639" i="6"/>
  <c r="F639" i="6" s="1"/>
  <c r="X639" i="6"/>
  <c r="X420" i="6"/>
  <c r="D421" i="6"/>
  <c r="X432" i="6"/>
  <c r="D433" i="6"/>
  <c r="X444" i="6"/>
  <c r="D445" i="6"/>
  <c r="F445" i="6" s="1"/>
  <c r="X456" i="6"/>
  <c r="D457" i="6"/>
  <c r="F457" i="6" s="1"/>
  <c r="D461" i="6"/>
  <c r="F461" i="6" s="1"/>
  <c r="D465" i="6"/>
  <c r="F465" i="6" s="1"/>
  <c r="X484" i="6"/>
  <c r="D485" i="6"/>
  <c r="F485" i="6" s="1"/>
  <c r="X493" i="6"/>
  <c r="X498" i="6"/>
  <c r="D513" i="6"/>
  <c r="F513" i="6" s="1"/>
  <c r="X513" i="6"/>
  <c r="D517" i="6"/>
  <c r="X527" i="6"/>
  <c r="D537" i="6"/>
  <c r="F537" i="6" s="1"/>
  <c r="X581" i="6"/>
  <c r="D587" i="6"/>
  <c r="F587" i="6" s="1"/>
  <c r="X587" i="6"/>
  <c r="D592" i="6"/>
  <c r="F592" i="6" s="1"/>
  <c r="X592" i="6"/>
  <c r="D603" i="6"/>
  <c r="F603" i="6" s="1"/>
  <c r="X603" i="6"/>
  <c r="X644" i="6"/>
  <c r="X416" i="6"/>
  <c r="X428" i="6"/>
  <c r="X440" i="6"/>
  <c r="X452" i="6"/>
  <c r="D470" i="6"/>
  <c r="F470" i="6" s="1"/>
  <c r="X470" i="6"/>
  <c r="X479" i="6"/>
  <c r="X508" i="6"/>
  <c r="X532" i="6"/>
  <c r="D542" i="6"/>
  <c r="F542" i="6" s="1"/>
  <c r="X542" i="6"/>
  <c r="D582" i="6"/>
  <c r="X582" i="6"/>
  <c r="D586" i="6"/>
  <c r="D629" i="6"/>
  <c r="F629" i="6" s="1"/>
  <c r="X629" i="6"/>
  <c r="X417" i="6"/>
  <c r="X429" i="6"/>
  <c r="X441" i="6"/>
  <c r="X453" i="6"/>
  <c r="X466" i="6"/>
  <c r="X475" i="6"/>
  <c r="X480" i="6"/>
  <c r="D495" i="6"/>
  <c r="F495" i="6" s="1"/>
  <c r="X495" i="6"/>
  <c r="D499" i="6"/>
  <c r="F499" i="6" s="1"/>
  <c r="X509" i="6"/>
  <c r="D519" i="6"/>
  <c r="F519" i="6" s="1"/>
  <c r="X538" i="6"/>
  <c r="X547" i="6"/>
  <c r="X562" i="6"/>
  <c r="X583" i="6"/>
  <c r="X593" i="6"/>
  <c r="D609" i="6"/>
  <c r="X609" i="6"/>
  <c r="X640" i="6"/>
  <c r="D646" i="6"/>
  <c r="X646" i="6"/>
  <c r="X413" i="6"/>
  <c r="X425" i="6"/>
  <c r="X437" i="6"/>
  <c r="X449" i="6"/>
  <c r="X490" i="6"/>
  <c r="X514" i="6"/>
  <c r="D524" i="6"/>
  <c r="F524" i="6" s="1"/>
  <c r="X524" i="6"/>
  <c r="X533" i="6"/>
  <c r="X553" i="6"/>
  <c r="D554" i="6"/>
  <c r="D583" i="6"/>
  <c r="F583" i="6" s="1"/>
  <c r="D599" i="6"/>
  <c r="F599" i="6" s="1"/>
  <c r="X599" i="6"/>
  <c r="D19" i="3" s="1"/>
  <c r="D615" i="6"/>
  <c r="F615" i="6" s="1"/>
  <c r="X615" i="6"/>
  <c r="X422" i="6"/>
  <c r="X434" i="6"/>
  <c r="X446" i="6"/>
  <c r="X458" i="6"/>
  <c r="D463" i="6"/>
  <c r="X463" i="6"/>
  <c r="X472" i="6"/>
  <c r="X496" i="6"/>
  <c r="D506" i="6"/>
  <c r="F506" i="6" s="1"/>
  <c r="X506" i="6"/>
  <c r="X515" i="6"/>
  <c r="X544" i="6"/>
  <c r="D574" i="6"/>
  <c r="F574" i="6" s="1"/>
  <c r="X574" i="6"/>
  <c r="D578" i="6"/>
  <c r="X423" i="6"/>
  <c r="X435" i="6"/>
  <c r="X447" i="6"/>
  <c r="X459" i="6"/>
  <c r="X473" i="6"/>
  <c r="X502" i="6"/>
  <c r="X511" i="6"/>
  <c r="X516" i="6"/>
  <c r="D531" i="6"/>
  <c r="F531" i="6" s="1"/>
  <c r="X531" i="6"/>
  <c r="D535" i="6"/>
  <c r="F535" i="6" s="1"/>
  <c r="X545" i="6"/>
  <c r="D560" i="6"/>
  <c r="X560" i="6"/>
  <c r="D591" i="6"/>
  <c r="F591" i="6" s="1"/>
  <c r="X591" i="6"/>
  <c r="X601" i="6"/>
  <c r="D638" i="6"/>
  <c r="F638" i="6" s="1"/>
  <c r="X638" i="6"/>
  <c r="X419" i="6"/>
  <c r="X431" i="6"/>
  <c r="X443" i="6"/>
  <c r="X455" i="6"/>
  <c r="X478" i="6"/>
  <c r="D488" i="6"/>
  <c r="F488" i="6" s="1"/>
  <c r="X488" i="6"/>
  <c r="X497" i="6"/>
  <c r="X526" i="6"/>
  <c r="X550" i="6"/>
  <c r="D559" i="6"/>
  <c r="F559" i="6" s="1"/>
  <c r="X596" i="6"/>
  <c r="D24" i="3" s="1"/>
  <c r="D607" i="6"/>
  <c r="F607" i="6" s="1"/>
  <c r="X607" i="6"/>
  <c r="D612" i="6"/>
  <c r="F612" i="6" s="1"/>
  <c r="X612" i="6"/>
  <c r="D633" i="6"/>
  <c r="X633" i="6"/>
  <c r="D637" i="6"/>
  <c r="F637" i="6" s="1"/>
  <c r="P468" i="7"/>
  <c r="T249" i="6" s="1"/>
  <c r="Q446" i="7"/>
  <c r="X469" i="6"/>
  <c r="X487" i="6"/>
  <c r="X505" i="6"/>
  <c r="X523" i="6"/>
  <c r="X541" i="6"/>
  <c r="X559" i="6"/>
  <c r="X578" i="6"/>
  <c r="D594" i="6"/>
  <c r="X594" i="6"/>
  <c r="X637" i="6"/>
  <c r="D641" i="6"/>
  <c r="F641" i="6" s="1"/>
  <c r="X641" i="6"/>
  <c r="D645" i="6"/>
  <c r="F645" i="6" s="1"/>
  <c r="X645" i="6"/>
  <c r="D567" i="6"/>
  <c r="F567" i="6" s="1"/>
  <c r="X567" i="6"/>
  <c r="D610" i="6"/>
  <c r="F610" i="6" s="1"/>
  <c r="X610" i="6"/>
  <c r="D618" i="6"/>
  <c r="F618" i="6" s="1"/>
  <c r="X618" i="6"/>
  <c r="D597" i="6"/>
  <c r="F597" i="6" s="1"/>
  <c r="X597" i="6"/>
  <c r="X632" i="6"/>
  <c r="D570" i="6"/>
  <c r="F570" i="6" s="1"/>
  <c r="X570" i="6"/>
  <c r="D606" i="6"/>
  <c r="F606" i="6" s="1"/>
  <c r="X606" i="6"/>
  <c r="D642" i="6"/>
  <c r="F642" i="6" s="1"/>
  <c r="X642" i="6"/>
  <c r="D588" i="6"/>
  <c r="X588" i="6"/>
  <c r="D16" i="3" s="1"/>
  <c r="D624" i="6"/>
  <c r="F624" i="6" s="1"/>
  <c r="X624" i="6"/>
  <c r="L421" i="7"/>
  <c r="P551" i="6" s="1"/>
  <c r="D551" i="6" s="1"/>
  <c r="T448" i="7"/>
  <c r="H468" i="7"/>
  <c r="L249" i="6" s="1"/>
  <c r="K468" i="7"/>
  <c r="O249" i="6" s="1"/>
  <c r="C30" i="2" l="1"/>
  <c r="G19" i="2"/>
  <c r="G30" i="2" s="1"/>
  <c r="D7" i="3"/>
  <c r="C26" i="3"/>
  <c r="C29" i="3" s="1"/>
  <c r="C31" i="3" s="1"/>
  <c r="D30" i="3"/>
  <c r="D18" i="3"/>
  <c r="D27" i="3"/>
  <c r="F554" i="6"/>
  <c r="F646" i="6"/>
  <c r="F586" i="6"/>
  <c r="F517" i="6"/>
  <c r="F487" i="6"/>
  <c r="F479" i="6"/>
  <c r="F568" i="6"/>
  <c r="F425" i="6"/>
  <c r="F203" i="6"/>
  <c r="F155" i="6"/>
  <c r="F107" i="6"/>
  <c r="F59" i="6"/>
  <c r="F151" i="6"/>
  <c r="F103" i="6"/>
  <c r="F55" i="6"/>
  <c r="F251" i="6"/>
  <c r="F299" i="6"/>
  <c r="F199" i="6"/>
  <c r="F551" i="6"/>
  <c r="F463" i="6"/>
  <c r="F582" i="6"/>
  <c r="F620" i="6"/>
  <c r="F585" i="6"/>
  <c r="F453" i="6"/>
  <c r="F452" i="6"/>
  <c r="F459" i="6"/>
  <c r="F423" i="6"/>
  <c r="F195" i="6"/>
  <c r="F147" i="6"/>
  <c r="F99" i="6"/>
  <c r="F51" i="6"/>
  <c r="F397" i="6"/>
  <c r="F364" i="6"/>
  <c r="F177" i="6"/>
  <c r="F129" i="6"/>
  <c r="F81" i="6"/>
  <c r="F33" i="6"/>
  <c r="F242" i="6"/>
  <c r="F244" i="6"/>
  <c r="F246" i="6"/>
  <c r="F294" i="6"/>
  <c r="F342" i="6"/>
  <c r="F267" i="6"/>
  <c r="F315" i="6"/>
  <c r="F410" i="6"/>
  <c r="F273" i="6"/>
  <c r="F321" i="6"/>
  <c r="F217" i="6"/>
  <c r="F169" i="6"/>
  <c r="F121" i="6"/>
  <c r="F73" i="6"/>
  <c r="F25" i="6"/>
  <c r="D12" i="3"/>
  <c r="F271" i="6"/>
  <c r="F319" i="6"/>
  <c r="F375" i="6"/>
  <c r="F280" i="6"/>
  <c r="F328" i="6"/>
  <c r="F643" i="6"/>
  <c r="F600" i="6"/>
  <c r="F213" i="6"/>
  <c r="F165" i="6"/>
  <c r="F117" i="6"/>
  <c r="F69" i="6"/>
  <c r="F21" i="6"/>
  <c r="F227" i="6"/>
  <c r="F175" i="6"/>
  <c r="F127" i="6"/>
  <c r="F79" i="6"/>
  <c r="F31" i="6"/>
  <c r="F384" i="6"/>
  <c r="F284" i="6"/>
  <c r="F332" i="6"/>
  <c r="F382" i="6"/>
  <c r="F401" i="6"/>
  <c r="F236" i="6"/>
  <c r="F171" i="6"/>
  <c r="F123" i="6"/>
  <c r="F75" i="6"/>
  <c r="F27" i="6"/>
  <c r="F210" i="6"/>
  <c r="F162" i="6"/>
  <c r="F114" i="6"/>
  <c r="F66" i="6"/>
  <c r="F18" i="6"/>
  <c r="F283" i="6"/>
  <c r="F331" i="6"/>
  <c r="F237" i="6"/>
  <c r="F601" i="6"/>
  <c r="F235" i="6"/>
  <c r="F206" i="6"/>
  <c r="F158" i="6"/>
  <c r="F110" i="6"/>
  <c r="F62" i="6"/>
  <c r="F296" i="6"/>
  <c r="F344" i="6"/>
  <c r="F293" i="6"/>
  <c r="F341" i="6"/>
  <c r="F318" i="6"/>
  <c r="F434" i="6"/>
  <c r="F605" i="6"/>
  <c r="F447" i="6"/>
  <c r="F190" i="6"/>
  <c r="F142" i="6"/>
  <c r="F94" i="6"/>
  <c r="F46" i="6"/>
  <c r="F346" i="6"/>
  <c r="F230" i="6"/>
  <c r="F358" i="6"/>
  <c r="F253" i="6"/>
  <c r="F301" i="6"/>
  <c r="F409" i="6"/>
  <c r="F377" i="6"/>
  <c r="F223" i="6"/>
  <c r="F205" i="6"/>
  <c r="F157" i="6"/>
  <c r="F109" i="6"/>
  <c r="F61" i="6"/>
  <c r="F13" i="6"/>
  <c r="F11" i="6"/>
  <c r="F196" i="6"/>
  <c r="F148" i="6"/>
  <c r="F100" i="6"/>
  <c r="F52" i="6"/>
  <c r="D6" i="3"/>
  <c r="D5" i="3" s="1"/>
  <c r="F224" i="6"/>
  <c r="F150" i="6"/>
  <c r="D28" i="3"/>
  <c r="F609" i="6"/>
  <c r="X551" i="6"/>
  <c r="D13" i="3" s="1"/>
  <c r="F529" i="6"/>
  <c r="F444" i="6"/>
  <c r="F573" i="6"/>
  <c r="D10" i="3"/>
  <c r="F187" i="6"/>
  <c r="F139" i="6"/>
  <c r="F91" i="6"/>
  <c r="F43" i="6"/>
  <c r="F186" i="6"/>
  <c r="F138" i="6"/>
  <c r="F90" i="6"/>
  <c r="F42" i="6"/>
  <c r="F234" i="6"/>
  <c r="F282" i="6"/>
  <c r="F330" i="6"/>
  <c r="F255" i="6"/>
  <c r="F303" i="6"/>
  <c r="F352" i="6"/>
  <c r="F264" i="6"/>
  <c r="F312" i="6"/>
  <c r="F257" i="6"/>
  <c r="F305" i="6"/>
  <c r="F387" i="6"/>
  <c r="F389" i="6"/>
  <c r="F201" i="6"/>
  <c r="F153" i="6"/>
  <c r="F105" i="6"/>
  <c r="F57" i="6"/>
  <c r="F192" i="6"/>
  <c r="F144" i="6"/>
  <c r="F96" i="6"/>
  <c r="F48" i="6"/>
  <c r="T421" i="7"/>
  <c r="F433" i="6"/>
  <c r="F514" i="6"/>
  <c r="F560" i="6"/>
  <c r="F588" i="6"/>
  <c r="F594" i="6"/>
  <c r="F633" i="6"/>
  <c r="F578" i="6"/>
  <c r="F421" i="6"/>
  <c r="F460" i="6"/>
  <c r="F476" i="6"/>
  <c r="F422" i="6"/>
  <c r="F443" i="6"/>
  <c r="F454" i="6"/>
  <c r="F450" i="6"/>
  <c r="F437" i="6"/>
  <c r="F359" i="6"/>
  <c r="F183" i="6"/>
  <c r="F135" i="6"/>
  <c r="F87" i="6"/>
  <c r="F39" i="6"/>
  <c r="F182" i="6"/>
  <c r="F134" i="6"/>
  <c r="F86" i="6"/>
  <c r="F38" i="6"/>
  <c r="F259" i="6"/>
  <c r="F307" i="6"/>
  <c r="F357" i="6"/>
  <c r="F348" i="6"/>
  <c r="F268" i="6"/>
  <c r="F316" i="6"/>
  <c r="F261" i="6"/>
  <c r="F309" i="6"/>
  <c r="F360" i="6"/>
  <c r="F355" i="6"/>
  <c r="F391" i="6"/>
  <c r="F197" i="6"/>
  <c r="F149" i="6"/>
  <c r="F101" i="6"/>
  <c r="F53" i="6"/>
  <c r="F188" i="6"/>
  <c r="F140" i="6"/>
  <c r="F92" i="6"/>
  <c r="F44" i="6"/>
  <c r="D9" i="3"/>
  <c r="F179" i="6"/>
  <c r="F131" i="6"/>
  <c r="F83" i="6"/>
  <c r="F35" i="6"/>
  <c r="F178" i="6"/>
  <c r="F130" i="6"/>
  <c r="F82" i="6"/>
  <c r="F34" i="6"/>
  <c r="F380" i="6"/>
  <c r="F263" i="6"/>
  <c r="F311" i="6"/>
  <c r="F362" i="6"/>
  <c r="F272" i="6"/>
  <c r="F320" i="6"/>
  <c r="F265" i="6"/>
  <c r="F313" i="6"/>
  <c r="F365" i="6"/>
  <c r="F193" i="6"/>
  <c r="F145" i="6"/>
  <c r="F97" i="6"/>
  <c r="F49" i="6"/>
  <c r="F464" i="6"/>
  <c r="F184" i="6"/>
  <c r="F136" i="6"/>
  <c r="F88" i="6"/>
  <c r="F40" i="6"/>
  <c r="F189" i="6"/>
  <c r="F141" i="6"/>
  <c r="F93" i="6"/>
  <c r="F45" i="6"/>
  <c r="F386" i="6"/>
  <c r="F232" i="6"/>
  <c r="F180" i="6"/>
  <c r="F132" i="6"/>
  <c r="F84" i="6"/>
  <c r="F36" i="6"/>
  <c r="F378" i="6"/>
  <c r="F390" i="6"/>
  <c r="F185" i="6"/>
  <c r="F176" i="6"/>
  <c r="F128" i="6"/>
  <c r="F80" i="6"/>
  <c r="F32" i="6"/>
  <c r="F215" i="6"/>
  <c r="F167" i="6"/>
  <c r="F119" i="6"/>
  <c r="F71" i="6"/>
  <c r="F254" i="6"/>
  <c r="F302" i="6"/>
  <c r="F356" i="6"/>
  <c r="F275" i="6"/>
  <c r="F323" i="6"/>
  <c r="F394" i="6"/>
  <c r="F388" i="6"/>
  <c r="F181" i="6"/>
  <c r="F133" i="6"/>
  <c r="F85" i="6"/>
  <c r="F37" i="6"/>
  <c r="F221" i="6"/>
  <c r="F172" i="6"/>
  <c r="F124" i="6"/>
  <c r="F76" i="6"/>
  <c r="F28" i="6"/>
  <c r="D14" i="3"/>
  <c r="F211" i="6"/>
  <c r="F163" i="6"/>
  <c r="F115" i="6"/>
  <c r="F67" i="6"/>
  <c r="F240" i="6"/>
  <c r="F258" i="6"/>
  <c r="F279" i="6"/>
  <c r="F327" i="6"/>
  <c r="F288" i="6"/>
  <c r="F336" i="6"/>
  <c r="F580" i="6"/>
  <c r="F396" i="6"/>
  <c r="F216" i="6"/>
  <c r="F168" i="6"/>
  <c r="F120" i="6"/>
  <c r="F72" i="6"/>
  <c r="F24" i="6"/>
  <c r="F239" i="6"/>
  <c r="F23" i="6"/>
  <c r="F212" i="6"/>
  <c r="F164" i="6"/>
  <c r="F116" i="6"/>
  <c r="F68" i="6"/>
  <c r="F20" i="6"/>
  <c r="F266" i="6"/>
  <c r="F314" i="6"/>
  <c r="F381" i="6"/>
  <c r="F248" i="6"/>
  <c r="F241" i="6"/>
  <c r="F289" i="6"/>
  <c r="F337" i="6"/>
  <c r="F247" i="6"/>
  <c r="F208" i="6"/>
  <c r="F160" i="6"/>
  <c r="F112" i="6"/>
  <c r="F64" i="6"/>
  <c r="F16" i="6"/>
  <c r="F102" i="6"/>
  <c r="F252" i="6"/>
  <c r="F233" i="6"/>
  <c r="F204" i="6"/>
  <c r="F156" i="6"/>
  <c r="F108" i="6"/>
  <c r="F60" i="6"/>
  <c r="F12" i="6"/>
  <c r="D15" i="3"/>
  <c r="Q468" i="7"/>
  <c r="U249" i="6" s="1"/>
  <c r="R446" i="7"/>
  <c r="F198" i="6"/>
  <c r="F54" i="6"/>
  <c r="F270" i="6"/>
  <c r="D11" i="3"/>
  <c r="F496" i="6"/>
  <c r="F418" i="6"/>
  <c r="F448" i="6"/>
  <c r="F412" i="6"/>
  <c r="F219" i="6"/>
  <c r="F194" i="6"/>
  <c r="F146" i="6"/>
  <c r="F98" i="6"/>
  <c r="F50" i="6"/>
  <c r="F226" i="6"/>
  <c r="F274" i="6"/>
  <c r="F322" i="6"/>
  <c r="F403" i="6"/>
  <c r="F256" i="6"/>
  <c r="F304" i="6"/>
  <c r="F297" i="6"/>
  <c r="F345" i="6"/>
  <c r="F399" i="6"/>
  <c r="F228" i="6"/>
  <c r="F209" i="6"/>
  <c r="F161" i="6"/>
  <c r="F113" i="6"/>
  <c r="F65" i="6"/>
  <c r="F17" i="6"/>
  <c r="F200" i="6"/>
  <c r="F152" i="6"/>
  <c r="F104" i="6"/>
  <c r="F56" i="6"/>
  <c r="F8" i="6"/>
  <c r="C33" i="3" l="1"/>
  <c r="H5" i="3"/>
  <c r="H7" i="3" s="1"/>
  <c r="D8" i="3"/>
  <c r="D26" i="3" s="1"/>
  <c r="D29" i="3" s="1"/>
  <c r="D31" i="3" s="1"/>
  <c r="G52" i="2" s="1"/>
  <c r="R468" i="7"/>
  <c r="V249" i="6" s="1"/>
  <c r="S446" i="7"/>
  <c r="S468" i="7" s="1"/>
  <c r="W249" i="6" s="1"/>
  <c r="T446" i="7" l="1"/>
  <c r="D33" i="3"/>
  <c r="I5" i="3"/>
  <c r="I7" i="3" s="1"/>
  <c r="G53" i="2"/>
  <c r="G55" i="2" s="1"/>
  <c r="G56" i="2" s="1"/>
  <c r="C52" i="2"/>
  <c r="C55" i="2" s="1"/>
  <c r="C56" i="2" s="1"/>
  <c r="F249" i="6"/>
  <c r="G5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8" authorId="0" shapeId="0" xr:uid="{FFECC04E-D9C6-44E3-A9DA-EB65FEB178D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含原材料、辅助材料</t>
        </r>
      </text>
    </comment>
    <comment ref="A22" authorId="0" shapeId="0" xr:uid="{2C5800D6-8533-4735-9150-21A934BA6F1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周转材料包含包装物和低耗。</t>
        </r>
      </text>
    </comment>
    <comment ref="A25" authorId="0" shapeId="0" xr:uid="{152919F4-DB47-464E-8363-26E60DE1E6D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含存货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产成品、外购商品、存货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调整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 xml:space="preserve">人工，制费、发出商品、暂估销售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tc={DA306674-85B5-442E-9695-E85C2B7D334E}</author>
    <author>tc={7F7CD715-B6D1-480A-B7FA-92B7F2CC69B0}</author>
    <author>tc={85A0F107-8BE3-469E-9603-E40EDD377E90}</author>
    <author>tc={ABCF5F07-F3D3-4928-872C-0B62723FC4DD}</author>
  </authors>
  <commentList>
    <comment ref="E24" authorId="0" shapeId="0" xr:uid="{DA306674-85B5-442E-9695-E85C2B7D334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2024年12月调整记账规则，保持供应商模具原值</t>
      </text>
    </comment>
    <comment ref="E50" authorId="1" shapeId="0" xr:uid="{7F7CD715-B6D1-480A-B7FA-92B7F2CC69B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2024年12月更新记账规则调整为其他应付款</t>
      </text>
    </comment>
    <comment ref="C55" authorId="2" shapeId="0" xr:uid="{85A0F107-8BE3-469E-9603-E40EDD377E90}">
      <text>
        <t>[Threaded comment]
Your version of Excel allows you to read this threaded comment; however, any edits to it will get removed if the file is opened in a newer version of Excel. Learn more: https://go.microsoft.com/fwlink/?linkid=870924
Comment:
    C101QS，8月调整表项从待摊调至其他流动资产
Reply:
    358 QS 2024年3月预提1800万元</t>
      </text>
    </comment>
    <comment ref="C112" authorId="3" shapeId="0" xr:uid="{ABCF5F07-F3D3-4928-872C-0B62723FC4DD}">
      <text>
        <t>[Threaded comment]
Your version of Excel allows you to read this threaded comment; however, any edits to it will get removed if the file is opened in a newer version of Excel. Learn more: https://go.microsoft.com/fwlink/?linkid=870924
Comment:
    多开发票及房租折扣</t>
      </text>
    </comment>
  </commentList>
</comments>
</file>

<file path=xl/sharedStrings.xml><?xml version="1.0" encoding="utf-8"?>
<sst xmlns="http://schemas.openxmlformats.org/spreadsheetml/2006/main" count="5516" uniqueCount="2221">
  <si>
    <t>资产负债表</t>
    <phoneticPr fontId="7" type="noConversion"/>
  </si>
  <si>
    <t>表01</t>
    <phoneticPr fontId="7" type="noConversion"/>
  </si>
  <si>
    <t>金额单位:元</t>
    <phoneticPr fontId="7" type="noConversion"/>
  </si>
  <si>
    <t>资          产</t>
  </si>
  <si>
    <t>行次</t>
    <phoneticPr fontId="7" type="noConversion"/>
  </si>
  <si>
    <t>期末余额</t>
    <phoneticPr fontId="7" type="noConversion"/>
  </si>
  <si>
    <t>年初余额</t>
    <phoneticPr fontId="7" type="noConversion"/>
  </si>
  <si>
    <t>负债和所有者权益</t>
    <phoneticPr fontId="7" type="noConversion"/>
  </si>
  <si>
    <t>行次</t>
  </si>
  <si>
    <t>流动资产：</t>
  </si>
  <si>
    <t>流动负债：</t>
    <phoneticPr fontId="7" type="noConversion"/>
  </si>
  <si>
    <t>货币资金</t>
  </si>
  <si>
    <t>短期借款</t>
    <phoneticPr fontId="7" type="noConversion"/>
  </si>
  <si>
    <t>其中：现金</t>
  </si>
  <si>
    <t>交易性金融负债</t>
    <phoneticPr fontId="7" type="noConversion"/>
  </si>
  <si>
    <t>银行存款</t>
    <phoneticPr fontId="12" type="noConversion"/>
  </si>
  <si>
    <t>衍生金融负债</t>
    <phoneticPr fontId="7" type="noConversion"/>
  </si>
  <si>
    <t>其他货币资金</t>
  </si>
  <si>
    <t>应付票据</t>
    <phoneticPr fontId="7" type="noConversion"/>
  </si>
  <si>
    <t>交易性金融资产</t>
    <phoneticPr fontId="12" type="noConversion"/>
  </si>
  <si>
    <t>应付账款</t>
    <phoneticPr fontId="7" type="noConversion"/>
  </si>
  <si>
    <t>衍生金融资产</t>
    <phoneticPr fontId="12" type="noConversion"/>
  </si>
  <si>
    <t>预收款项</t>
    <phoneticPr fontId="12" type="noConversion"/>
  </si>
  <si>
    <t>应收票据</t>
    <phoneticPr fontId="12" type="noConversion"/>
  </si>
  <si>
    <t>合同负债</t>
    <phoneticPr fontId="12" type="noConversion"/>
  </si>
  <si>
    <t>应收账款</t>
    <phoneticPr fontId="12" type="noConversion"/>
  </si>
  <si>
    <t>应付职工薪酬</t>
    <phoneticPr fontId="7" type="noConversion"/>
  </si>
  <si>
    <t>应收款项融资</t>
    <phoneticPr fontId="12" type="noConversion"/>
  </si>
  <si>
    <t>应交税费</t>
    <phoneticPr fontId="12" type="noConversion"/>
  </si>
  <si>
    <t>预付款项</t>
  </si>
  <si>
    <t>其他应付款</t>
    <phoneticPr fontId="12" type="noConversion"/>
  </si>
  <si>
    <t>其他应收款</t>
    <phoneticPr fontId="12" type="noConversion"/>
  </si>
  <si>
    <t>持有待售负债</t>
    <phoneticPr fontId="12" type="noConversion"/>
  </si>
  <si>
    <t>存货</t>
  </si>
  <si>
    <t>一年内到期的非流动负债</t>
  </si>
  <si>
    <t>其中：原材料</t>
    <phoneticPr fontId="12" type="noConversion"/>
  </si>
  <si>
    <t>其他流动负债</t>
  </si>
  <si>
    <t>外购件</t>
  </si>
  <si>
    <t>流动负债合计</t>
  </si>
  <si>
    <t>在途材料</t>
  </si>
  <si>
    <t>非流动负债：</t>
  </si>
  <si>
    <t>自制半成品</t>
  </si>
  <si>
    <t>长期借款</t>
  </si>
  <si>
    <t>周转材料</t>
  </si>
  <si>
    <t>应付债券</t>
  </si>
  <si>
    <t>备件</t>
  </si>
  <si>
    <t>租赁负债</t>
    <phoneticPr fontId="12" type="noConversion"/>
  </si>
  <si>
    <t>在制品</t>
  </si>
  <si>
    <t>长期应付款</t>
    <phoneticPr fontId="12" type="noConversion"/>
  </si>
  <si>
    <t>库存商品</t>
  </si>
  <si>
    <t>预计负债</t>
  </si>
  <si>
    <t>合同资产</t>
    <phoneticPr fontId="12" type="noConversion"/>
  </si>
  <si>
    <t>递延收益</t>
    <phoneticPr fontId="12" type="noConversion"/>
  </si>
  <si>
    <t>持有待售资产</t>
    <phoneticPr fontId="12" type="noConversion"/>
  </si>
  <si>
    <t>递延所得税负债</t>
  </si>
  <si>
    <t>一年内到期的非流动资产</t>
  </si>
  <si>
    <t>其他非流动负债</t>
  </si>
  <si>
    <t>其他流动资产</t>
  </si>
  <si>
    <t>非流动负债合计</t>
  </si>
  <si>
    <t>流动资产合计</t>
  </si>
  <si>
    <t>负债合计</t>
  </si>
  <si>
    <t>非流动资产：</t>
  </si>
  <si>
    <t>债权投资</t>
    <phoneticPr fontId="12" type="noConversion"/>
  </si>
  <si>
    <t>其他债权投资</t>
    <phoneticPr fontId="12" type="noConversion"/>
  </si>
  <si>
    <t>长期应收款</t>
  </si>
  <si>
    <t>长期股权投资</t>
  </si>
  <si>
    <t>其他权益工具投资</t>
    <phoneticPr fontId="12" type="noConversion"/>
  </si>
  <si>
    <t>其他非流动金融资产</t>
    <phoneticPr fontId="12" type="noConversion"/>
  </si>
  <si>
    <t>投资性房地产</t>
  </si>
  <si>
    <t>固定资产原价</t>
  </si>
  <si>
    <t>减：累计折旧</t>
  </si>
  <si>
    <t>固定资产净值</t>
  </si>
  <si>
    <t>减：固定资产减值准备</t>
  </si>
  <si>
    <t>固定资产净额</t>
  </si>
  <si>
    <t>加：固定资产清理</t>
    <phoneticPr fontId="12" type="noConversion"/>
  </si>
  <si>
    <t>固定资产</t>
    <phoneticPr fontId="12" type="noConversion"/>
  </si>
  <si>
    <t>在建工程</t>
    <phoneticPr fontId="12" type="noConversion"/>
  </si>
  <si>
    <t>使用权资产</t>
    <phoneticPr fontId="12" type="noConversion"/>
  </si>
  <si>
    <t>所有者权益（或股东权益）：</t>
    <phoneticPr fontId="7" type="noConversion"/>
  </si>
  <si>
    <t>无形资产</t>
  </si>
  <si>
    <t>实收资本（股本）</t>
  </si>
  <si>
    <t>其中：土地使用权</t>
  </si>
  <si>
    <t>资本公积</t>
  </si>
  <si>
    <t>开发支出</t>
  </si>
  <si>
    <t>其他综合收益</t>
    <phoneticPr fontId="12" type="noConversion"/>
  </si>
  <si>
    <t>商誉</t>
    <phoneticPr fontId="12" type="noConversion"/>
  </si>
  <si>
    <t>盈余公积</t>
  </si>
  <si>
    <t>长期待摊费用</t>
  </si>
  <si>
    <t>未分配利润</t>
  </si>
  <si>
    <t>递延所得税资产</t>
  </si>
  <si>
    <t>归属于母公司所有者权益合计</t>
  </si>
  <si>
    <t>其他非流动资产</t>
  </si>
  <si>
    <t>少数股东权益★</t>
    <phoneticPr fontId="12" type="noConversion"/>
  </si>
  <si>
    <t>非流动资产合计</t>
  </si>
  <si>
    <t>所有者权益合计</t>
  </si>
  <si>
    <t>资产总计</t>
    <phoneticPr fontId="7" type="noConversion"/>
  </si>
  <si>
    <t>负债和所有者权益合计</t>
    <phoneticPr fontId="7" type="noConversion"/>
  </si>
  <si>
    <t>注：标★的项目为合并报表专用项目。</t>
    <phoneticPr fontId="7" type="noConversion"/>
  </si>
  <si>
    <t xml:space="preserve">      单位负责人：</t>
  </si>
  <si>
    <t>财务负责人：</t>
  </si>
  <si>
    <t>制表人：</t>
  </si>
  <si>
    <t>利润表</t>
    <phoneticPr fontId="7" type="noConversion"/>
  </si>
  <si>
    <t>表02</t>
    <phoneticPr fontId="12" type="noConversion"/>
  </si>
  <si>
    <t>项      目</t>
  </si>
  <si>
    <t>本月数</t>
  </si>
  <si>
    <t>本年累计数</t>
  </si>
  <si>
    <t>上年同期累计数</t>
  </si>
  <si>
    <t>本  月  数</t>
  </si>
  <si>
    <t>一、营业收入</t>
  </si>
  <si>
    <t>六、综合收益总额</t>
  </si>
  <si>
    <t>其中：主营业务收入</t>
    <phoneticPr fontId="12" type="noConversion"/>
  </si>
  <si>
    <t>归属于少数股东的综合损益总额★</t>
    <phoneticPr fontId="12" type="noConversion"/>
  </si>
  <si>
    <t xml:space="preserve">          其他业务收入</t>
  </si>
  <si>
    <t>归属于母公司所有者的综合收益总额</t>
    <phoneticPr fontId="12" type="noConversion"/>
  </si>
  <si>
    <t>减：营业成本</t>
    <phoneticPr fontId="12" type="noConversion"/>
  </si>
  <si>
    <t>七、每股收益</t>
  </si>
  <si>
    <t>其中：主营业务成本</t>
    <phoneticPr fontId="12" type="noConversion"/>
  </si>
  <si>
    <t>补充资料</t>
  </si>
  <si>
    <t xml:space="preserve">   其他业务成本　    </t>
    <phoneticPr fontId="12" type="noConversion"/>
  </si>
  <si>
    <t xml:space="preserve">      税金及附加</t>
    <phoneticPr fontId="12" type="noConversion"/>
  </si>
  <si>
    <t xml:space="preserve">      销售费用</t>
    <phoneticPr fontId="12" type="noConversion"/>
  </si>
  <si>
    <t>一、营业外收入小计</t>
  </si>
  <si>
    <t xml:space="preserve">      管理费用</t>
    <phoneticPr fontId="12" type="noConversion"/>
  </si>
  <si>
    <t xml:space="preserve">   罚款收入</t>
  </si>
  <si>
    <t xml:space="preserve">      研发费用</t>
    <phoneticPr fontId="12" type="noConversion"/>
  </si>
  <si>
    <t xml:space="preserve">   债务重组利得</t>
  </si>
  <si>
    <t xml:space="preserve">      财务费用</t>
    <phoneticPr fontId="12" type="noConversion"/>
  </si>
  <si>
    <t xml:space="preserve">   政府补贴</t>
  </si>
  <si>
    <t xml:space="preserve">      其中：利息费用</t>
    <phoneticPr fontId="12" type="noConversion"/>
  </si>
  <si>
    <t xml:space="preserve">   固定资产盘盈</t>
  </si>
  <si>
    <t xml:space="preserve">                利息收入</t>
    <phoneticPr fontId="12" type="noConversion"/>
  </si>
  <si>
    <t xml:space="preserve">   其他</t>
  </si>
  <si>
    <t>加：其他收益（损失以“－”号填）</t>
    <phoneticPr fontId="12" type="noConversion"/>
  </si>
  <si>
    <t>　　投资收益（损失以“－”号填）</t>
  </si>
  <si>
    <t xml:space="preserve">      其中：对联营企业和合营企业的投资收益</t>
    <phoneticPr fontId="12" type="noConversion"/>
  </si>
  <si>
    <t xml:space="preserve">                以摊余成本计量的金融资产终止确认收益</t>
    <phoneticPr fontId="12" type="noConversion"/>
  </si>
  <si>
    <t>　　公允价值变动收益（损失以“－”号填）</t>
  </si>
  <si>
    <t>二、营业外支出小计</t>
  </si>
  <si>
    <t>　　信用减值损失（损失以“－”号填）</t>
  </si>
  <si>
    <t xml:space="preserve">   固定资产盘亏</t>
  </si>
  <si>
    <t>　　资产减值损失（损失以“－”号填）</t>
  </si>
  <si>
    <t xml:space="preserve">   非流动资产毁损报废损失</t>
  </si>
  <si>
    <t xml:space="preserve">       资产处置收益（损失以“－”号填）</t>
    <phoneticPr fontId="12" type="noConversion"/>
  </si>
  <si>
    <t xml:space="preserve">   罚款/赔偿/违约金</t>
  </si>
  <si>
    <t>二、营业利润（亏损以“－”号填列）</t>
  </si>
  <si>
    <t xml:space="preserve">   非常损失</t>
  </si>
  <si>
    <t>　　加：营业外收入</t>
  </si>
  <si>
    <t xml:space="preserve">   债务重组损失</t>
  </si>
  <si>
    <t>　　减：营业外支出</t>
  </si>
  <si>
    <t xml:space="preserve">   公益性捐助</t>
  </si>
  <si>
    <t>三、利润总额（亏损总额以“－”号填列）</t>
  </si>
  <si>
    <t>　其他</t>
    <phoneticPr fontId="12" type="noConversion"/>
  </si>
  <si>
    <t>　　减：所得税费用</t>
  </si>
  <si>
    <t>四、净利润（净亏损以“－”号填）</t>
  </si>
  <si>
    <t>　　少数股东损益★</t>
  </si>
  <si>
    <t xml:space="preserve">       归属于母公司所有者的净利润</t>
    <phoneticPr fontId="12" type="noConversion"/>
  </si>
  <si>
    <t>五、其他综合收益的税后净额</t>
  </si>
  <si>
    <t>现金流量表</t>
    <phoneticPr fontId="7" type="noConversion"/>
  </si>
  <si>
    <t>表03</t>
    <phoneticPr fontId="12" type="noConversion"/>
  </si>
  <si>
    <t>项目</t>
    <phoneticPr fontId="7" type="noConversion"/>
  </si>
  <si>
    <t>合计</t>
    <phoneticPr fontId="7" type="noConversion"/>
  </si>
  <si>
    <t>本月数</t>
    <phoneticPr fontId="7" type="noConversion"/>
  </si>
  <si>
    <t>累计数</t>
    <phoneticPr fontId="7" type="noConversion"/>
  </si>
  <si>
    <t>一、经营活动产生的现金流量</t>
    <phoneticPr fontId="7" type="noConversion"/>
  </si>
  <si>
    <t>销售商品、提供劳务收到的现金</t>
    <phoneticPr fontId="7" type="noConversion"/>
  </si>
  <si>
    <t>收到的税费返还</t>
    <phoneticPr fontId="7" type="noConversion"/>
  </si>
  <si>
    <t>收到的其他与经营活动有关的现金</t>
    <phoneticPr fontId="7" type="noConversion"/>
  </si>
  <si>
    <t>现金流入小计</t>
    <phoneticPr fontId="7" type="noConversion"/>
  </si>
  <si>
    <t>购买商品、接收劳务支付的现金</t>
    <phoneticPr fontId="7" type="noConversion"/>
  </si>
  <si>
    <t>支付给职工以及为职工支付的现金</t>
    <phoneticPr fontId="7" type="noConversion"/>
  </si>
  <si>
    <t>支付的各项税费</t>
    <phoneticPr fontId="7" type="noConversion"/>
  </si>
  <si>
    <t>支付的其他与经营活动有关的现金</t>
    <phoneticPr fontId="7" type="noConversion"/>
  </si>
  <si>
    <t>现金流出小计</t>
    <phoneticPr fontId="7" type="noConversion"/>
  </si>
  <si>
    <t>经营活动产生的现金流量净额</t>
    <phoneticPr fontId="12" type="noConversion"/>
  </si>
  <si>
    <t>二、投资活动产生的现金流量</t>
    <phoneticPr fontId="7" type="noConversion"/>
  </si>
  <si>
    <t>收回投资所收到的现金</t>
    <phoneticPr fontId="7" type="noConversion"/>
  </si>
  <si>
    <t>取得投资收益所收到的现金</t>
    <phoneticPr fontId="7" type="noConversion"/>
  </si>
  <si>
    <t>处置固定资产、无形资产和其他长期资产收回现金净额</t>
    <phoneticPr fontId="7" type="noConversion"/>
  </si>
  <si>
    <t>处置子公司及其他营业单位收到的现金净额</t>
    <phoneticPr fontId="12" type="noConversion"/>
  </si>
  <si>
    <t>收到的其他与投资活动有关的现金</t>
    <phoneticPr fontId="7" type="noConversion"/>
  </si>
  <si>
    <t>购建固定资产、无形资产和其他长期资产所支付的现金</t>
    <phoneticPr fontId="7" type="noConversion"/>
  </si>
  <si>
    <t>投资所支付的现金</t>
    <phoneticPr fontId="7" type="noConversion"/>
  </si>
  <si>
    <t>取得子公司及其他营业单位支付的现金净额</t>
    <phoneticPr fontId="12" type="noConversion"/>
  </si>
  <si>
    <t>支付的其他与投资活动有关的现金</t>
    <phoneticPr fontId="7" type="noConversion"/>
  </si>
  <si>
    <t>投资活动产生的现金流量净额</t>
    <phoneticPr fontId="7" type="noConversion"/>
  </si>
  <si>
    <t>三、筹资活动产生的现金流量</t>
    <phoneticPr fontId="7" type="noConversion"/>
  </si>
  <si>
    <t>吸收投资所收到的现金</t>
    <phoneticPr fontId="7" type="noConversion"/>
  </si>
  <si>
    <t>取得借款所收到的现金</t>
    <phoneticPr fontId="7" type="noConversion"/>
  </si>
  <si>
    <t>收到的其他与筹资活动有关的现金</t>
    <phoneticPr fontId="7" type="noConversion"/>
  </si>
  <si>
    <t>偿还债务所支付的现金</t>
    <phoneticPr fontId="7" type="noConversion"/>
  </si>
  <si>
    <t>分配股利、利润或偿付利息支付的现金</t>
    <phoneticPr fontId="7" type="noConversion"/>
  </si>
  <si>
    <t>支付的其他与筹资活动有关的现金</t>
    <phoneticPr fontId="7" type="noConversion"/>
  </si>
  <si>
    <t>筹资活动产生的现金流量净额</t>
    <phoneticPr fontId="7" type="noConversion"/>
  </si>
  <si>
    <t>四、汇率变动对现金及现金等价物的影响</t>
    <phoneticPr fontId="7" type="noConversion"/>
  </si>
  <si>
    <t>五、现金及现金等价物净增加额</t>
    <phoneticPr fontId="7" type="noConversion"/>
  </si>
  <si>
    <t xml:space="preserve">    单位负责人:</t>
  </si>
  <si>
    <t>财务负责人：</t>
    <phoneticPr fontId="12" type="noConversion"/>
  </si>
  <si>
    <t>制表人:</t>
    <phoneticPr fontId="7" type="noConversion"/>
  </si>
  <si>
    <t>现金流量表附注</t>
    <phoneticPr fontId="7" type="noConversion"/>
  </si>
  <si>
    <t>表05</t>
    <phoneticPr fontId="7" type="noConversion"/>
  </si>
  <si>
    <t>金额单位：元</t>
    <phoneticPr fontId="7" type="noConversion"/>
  </si>
  <si>
    <t>补充资料</t>
    <phoneticPr fontId="7" type="noConversion"/>
  </si>
  <si>
    <t>一、将净利润调节为经营活动的内部现金流量</t>
    <phoneticPr fontId="7" type="noConversion"/>
  </si>
  <si>
    <t>————</t>
    <phoneticPr fontId="7" type="noConversion"/>
  </si>
  <si>
    <t>净利润</t>
  </si>
  <si>
    <t>加:资产减值准备</t>
  </si>
  <si>
    <t>固定资产折旧</t>
  </si>
  <si>
    <t>投资性房地产折旧(摊销)</t>
  </si>
  <si>
    <t>使用权资产折旧</t>
    <phoneticPr fontId="12" type="noConversion"/>
  </si>
  <si>
    <t>无形资产摊销</t>
  </si>
  <si>
    <t>长期待摊费用摊销</t>
  </si>
  <si>
    <t>处置固定资产、无形资产和其他长期资产的损失(收益以“-”号填列)</t>
  </si>
  <si>
    <t>固定资产报废损失(收益以“-”号填列)</t>
  </si>
  <si>
    <t>公允价值变动损失(收益以“-”号填列)</t>
    <phoneticPr fontId="12" type="noConversion"/>
  </si>
  <si>
    <t>财务费用(收益以“-”号填列)</t>
    <phoneticPr fontId="12" type="noConversion"/>
  </si>
  <si>
    <t>投资损失(收益以“-”号填列)</t>
  </si>
  <si>
    <t>递延所得税资产减少(增加以“-”号填列)</t>
  </si>
  <si>
    <t>递延所得税负债增加(减少以“-”号填列)</t>
  </si>
  <si>
    <t>存货的减少(增加以“-”号填列)</t>
  </si>
  <si>
    <t>经营性应收项目的减少(增加以“-”号填列)(含应收票据)</t>
  </si>
  <si>
    <t>经营性应付项目的增加(减少以“-”号填列)</t>
  </si>
  <si>
    <t>其他</t>
  </si>
  <si>
    <t xml:space="preserve"> 单位负责人：                                                   财务负责人：</t>
    <phoneticPr fontId="7" type="noConversion"/>
  </si>
  <si>
    <t>科目余额表</t>
    <phoneticPr fontId="12" type="noConversion"/>
  </si>
  <si>
    <t>表06</t>
    <phoneticPr fontId="7" type="noConversion"/>
  </si>
  <si>
    <t>单位：元</t>
    <phoneticPr fontId="12" type="noConversion"/>
  </si>
  <si>
    <t>账户代码</t>
    <phoneticPr fontId="26" type="noConversion"/>
  </si>
  <si>
    <t>账户名称</t>
    <phoneticPr fontId="12" type="noConversion"/>
  </si>
  <si>
    <t>期初余额</t>
  </si>
  <si>
    <t>期间活动</t>
  </si>
  <si>
    <t>期末余额</t>
  </si>
  <si>
    <t>汇总到</t>
    <phoneticPr fontId="12" type="noConversion"/>
  </si>
  <si>
    <t>类型</t>
    <phoneticPr fontId="12" type="noConversion"/>
  </si>
  <si>
    <t>提示：J列以后未锁定，企业可以编辑</t>
    <phoneticPr fontId="12" type="noConversion"/>
  </si>
  <si>
    <t>Last</t>
    <phoneticPr fontId="12" type="noConversion"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</si>
  <si>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</si>
  <si>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</si>
  <si>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</si>
  <si>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</si>
  <si>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</si>
  <si>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</si>
  <si>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</si>
  <si>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</si>
  <si>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</si>
  <si>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</si>
  <si>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</si>
  <si>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</si>
  <si>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</si>
  <si>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现金-人民币</t>
  </si>
  <si>
    <t>现金</t>
  </si>
  <si>
    <t>B</t>
  </si>
  <si>
    <t>现金-美元</t>
  </si>
  <si>
    <t>现金-日元</t>
  </si>
  <si>
    <t>现金-韩元</t>
    <phoneticPr fontId="12" type="noConversion"/>
  </si>
  <si>
    <t>现金-备用1</t>
    <phoneticPr fontId="12" type="noConversion"/>
  </si>
  <si>
    <t>现金-备用2</t>
  </si>
  <si>
    <t>现金-备用3</t>
  </si>
  <si>
    <t>现金-备用4</t>
  </si>
  <si>
    <t>现金-备用5</t>
  </si>
  <si>
    <t>银行存款-工行</t>
  </si>
  <si>
    <t>银行存款</t>
  </si>
  <si>
    <t>银行存款-建行</t>
  </si>
  <si>
    <t>银行存款-中行</t>
  </si>
  <si>
    <t>银行存款-农行</t>
    <phoneticPr fontId="12" type="noConversion"/>
  </si>
  <si>
    <t>银行存款-交行</t>
  </si>
  <si>
    <t>银行存款-光大</t>
  </si>
  <si>
    <t>银行存款-招商</t>
  </si>
  <si>
    <t>银行存款-兴业</t>
  </si>
  <si>
    <t>银行存款-浦发</t>
  </si>
  <si>
    <t>银行存款-吉林</t>
  </si>
  <si>
    <t>银行存款-中信</t>
  </si>
  <si>
    <t>银行存款-一汽财务公司</t>
    <phoneticPr fontId="12" type="noConversion"/>
  </si>
  <si>
    <t>银行存款-民生</t>
  </si>
  <si>
    <t>银行存款-华夏</t>
  </si>
  <si>
    <t>银行存款-成都银行</t>
    <phoneticPr fontId="12" type="noConversion"/>
  </si>
  <si>
    <t>银行存款-青岛银行</t>
    <phoneticPr fontId="12" type="noConversion"/>
  </si>
  <si>
    <t>银行存款-上汽财务公司</t>
    <phoneticPr fontId="12" type="noConversion"/>
  </si>
  <si>
    <t>银行存款-广发</t>
    <phoneticPr fontId="12" type="noConversion"/>
  </si>
  <si>
    <t>银行存款-其他</t>
  </si>
  <si>
    <t>信用证保证金(人民币)</t>
  </si>
  <si>
    <t>信用证保证金(美元)</t>
  </si>
  <si>
    <t>承兑汇票存款</t>
  </si>
  <si>
    <t>存出投资款</t>
  </si>
  <si>
    <t>其他货币资金-备用1</t>
  </si>
  <si>
    <t>其他货币资金-备用2</t>
  </si>
  <si>
    <t>其他货币资金-备用3</t>
  </si>
  <si>
    <t>其他货币资金-备用4</t>
  </si>
  <si>
    <t>其他货币资金-备用5</t>
  </si>
  <si>
    <t>资金池-控股</t>
    <phoneticPr fontId="12" type="noConversion"/>
  </si>
  <si>
    <t>资金池-参股</t>
    <phoneticPr fontId="12" type="noConversion"/>
  </si>
  <si>
    <t>交易性金融资产</t>
  </si>
  <si>
    <t>应收票据</t>
  </si>
  <si>
    <t>应收账款-人民币</t>
  </si>
  <si>
    <t>应收账款</t>
  </si>
  <si>
    <t>应收账款-美元</t>
  </si>
  <si>
    <t>应收账款-欧元</t>
  </si>
  <si>
    <t>应收账款-日元</t>
  </si>
  <si>
    <t>应收账款-暂估销售</t>
  </si>
  <si>
    <t>模具应收款</t>
  </si>
  <si>
    <t>坏帐准备</t>
    <phoneticPr fontId="12" type="noConversion"/>
  </si>
  <si>
    <t>坏账准备</t>
  </si>
  <si>
    <t>预付账款</t>
  </si>
  <si>
    <t>应付账款</t>
  </si>
  <si>
    <t>应收股利</t>
  </si>
  <si>
    <t>其他应收款</t>
  </si>
  <si>
    <t>应收利息</t>
  </si>
  <si>
    <t>备用金</t>
  </si>
  <si>
    <t>客户模具</t>
  </si>
  <si>
    <t>客户模具-跌价准备</t>
    <phoneticPr fontId="12" type="noConversion"/>
  </si>
  <si>
    <t>内部往来-本部</t>
  </si>
  <si>
    <t>内部往来</t>
  </si>
  <si>
    <t>内部往来-富晟物流</t>
    <phoneticPr fontId="12" type="noConversion"/>
  </si>
  <si>
    <t>内部往来-成都部件</t>
  </si>
  <si>
    <t>内部往来-长春久泰</t>
    <phoneticPr fontId="12" type="noConversion"/>
  </si>
  <si>
    <t>内部往来-车桥</t>
    <phoneticPr fontId="12" type="noConversion"/>
  </si>
  <si>
    <t>内部往来-长春饰件</t>
    <phoneticPr fontId="12" type="noConversion"/>
  </si>
  <si>
    <t>内部往来-长春李尔座椅</t>
  </si>
  <si>
    <t>内部往来-佛山李尔座椅</t>
  </si>
  <si>
    <t>内部往来-成都饰件</t>
    <phoneticPr fontId="12" type="noConversion"/>
  </si>
  <si>
    <t>内部往来-佛山饰件</t>
    <phoneticPr fontId="12" type="noConversion"/>
  </si>
  <si>
    <t>内部往来-成都久泰</t>
    <phoneticPr fontId="12" type="noConversion"/>
  </si>
  <si>
    <t>内部往来-佛山新安</t>
  </si>
  <si>
    <t>内部往来-长春特必克</t>
    <phoneticPr fontId="12" type="noConversion"/>
  </si>
  <si>
    <t>内部往来-特必克汽车零部件</t>
  </si>
  <si>
    <t>内部往来-吉林富晟物流</t>
    <phoneticPr fontId="12" type="noConversion"/>
  </si>
  <si>
    <t>内部往来-青岛复合材料</t>
    <phoneticPr fontId="12" type="noConversion"/>
  </si>
  <si>
    <t>内部往来-青岛李尔座椅</t>
    <phoneticPr fontId="12" type="noConversion"/>
  </si>
  <si>
    <t>内部往来-天津饰件</t>
    <phoneticPr fontId="12" type="noConversion"/>
  </si>
  <si>
    <t>内部往来-富晟生态集团</t>
    <phoneticPr fontId="12" type="noConversion"/>
  </si>
  <si>
    <t>内部往来-北京通达物流</t>
    <phoneticPr fontId="12" type="noConversion"/>
  </si>
  <si>
    <t>内部往来-天津吉众物流</t>
    <phoneticPr fontId="12" type="noConversion"/>
  </si>
  <si>
    <t>内部往来-成都富晟新悦</t>
    <phoneticPr fontId="12" type="noConversion"/>
  </si>
  <si>
    <t>内部往来-广东吉晟物流</t>
    <phoneticPr fontId="12" type="noConversion"/>
  </si>
  <si>
    <t>内部往来-广州吉远仓储</t>
    <phoneticPr fontId="12" type="noConversion"/>
  </si>
  <si>
    <t>内部往来-上海吉锐物流</t>
    <phoneticPr fontId="12" type="noConversion"/>
  </si>
  <si>
    <t>内部往来-领创咨询</t>
    <phoneticPr fontId="12" type="noConversion"/>
  </si>
  <si>
    <t>内部往来-吉晟管理</t>
  </si>
  <si>
    <t>内部往来-青岛吉森</t>
    <phoneticPr fontId="12" type="noConversion"/>
  </si>
  <si>
    <t>内部往来-吉运供应链</t>
    <phoneticPr fontId="12" type="noConversion"/>
  </si>
  <si>
    <t>内部往来-吉通设备</t>
    <phoneticPr fontId="12" type="noConversion"/>
  </si>
  <si>
    <t>内部往来-青岛特必克</t>
    <phoneticPr fontId="12" type="noConversion"/>
  </si>
  <si>
    <t>内部往来-成都特必克</t>
    <phoneticPr fontId="12" type="noConversion"/>
  </si>
  <si>
    <t>内部往来-杭州富强</t>
    <phoneticPr fontId="12" type="noConversion"/>
  </si>
  <si>
    <t>内部往来-富晟中通</t>
    <phoneticPr fontId="12" type="noConversion"/>
  </si>
  <si>
    <t>内部往来-汽车产品科技</t>
    <phoneticPr fontId="9" type="noConversion"/>
  </si>
  <si>
    <t>内部往来-富晟包装科技</t>
    <phoneticPr fontId="12" type="noConversion"/>
  </si>
  <si>
    <t>内部往来-南山铝业</t>
    <phoneticPr fontId="12" type="noConversion"/>
  </si>
  <si>
    <t>内部往来-南山材料</t>
    <phoneticPr fontId="12" type="noConversion"/>
  </si>
  <si>
    <t>内部往来-江苏电子</t>
    <phoneticPr fontId="12" type="noConversion"/>
  </si>
  <si>
    <t>内部往来-江苏电子分公司</t>
    <phoneticPr fontId="12" type="noConversion"/>
  </si>
  <si>
    <t>内部往来-南山油箱</t>
    <phoneticPr fontId="12" type="noConversion"/>
  </si>
  <si>
    <t>内部往来-众享科技</t>
    <phoneticPr fontId="12" type="noConversion"/>
  </si>
  <si>
    <t>内部往来-成都富晟新材料</t>
    <phoneticPr fontId="12" type="noConversion"/>
  </si>
  <si>
    <t>内部往来-海南犀旺</t>
    <phoneticPr fontId="12" type="noConversion"/>
  </si>
  <si>
    <t>内部往来-励达实业</t>
    <phoneticPr fontId="12" type="noConversion"/>
  </si>
  <si>
    <t>内部往来-青岛部件</t>
    <phoneticPr fontId="12" type="noConversion"/>
  </si>
  <si>
    <t>内部往来-富晟汽车电子</t>
    <phoneticPr fontId="12" type="noConversion"/>
  </si>
  <si>
    <t>内部往来-成都富晟新材料长春分公司</t>
  </si>
  <si>
    <t>内部往来-富晟建达贸易</t>
  </si>
  <si>
    <t>内部往来-新疆吉晟</t>
  </si>
  <si>
    <t>内部往来-富钛字节</t>
  </si>
  <si>
    <t>内部往来-旗晟创新实验室</t>
  </si>
  <si>
    <t>内部往来-天津智信</t>
  </si>
  <si>
    <t>内部往来-合肥饰件</t>
    <phoneticPr fontId="12" type="noConversion"/>
  </si>
  <si>
    <t>内部往来-富晟饰界</t>
    <phoneticPr fontId="12" type="noConversion"/>
  </si>
  <si>
    <t>内部往来-爱瑟福</t>
    <phoneticPr fontId="12" type="noConversion"/>
  </si>
  <si>
    <t>内部往来-富晟联运</t>
    <phoneticPr fontId="12" type="noConversion"/>
  </si>
  <si>
    <t>内部往来-杭州文创</t>
    <phoneticPr fontId="12" type="noConversion"/>
  </si>
  <si>
    <t>内部往来-富晟车灯</t>
    <phoneticPr fontId="12" type="noConversion"/>
  </si>
  <si>
    <t>内部往来-富晟永贵</t>
    <phoneticPr fontId="12" type="noConversion"/>
  </si>
  <si>
    <t>内部往来-惠州饰件</t>
    <phoneticPr fontId="12" type="noConversion"/>
  </si>
  <si>
    <t>内部往来-观注畅行</t>
    <phoneticPr fontId="12" type="noConversion"/>
  </si>
  <si>
    <t>内部往来-富晟新能源</t>
    <phoneticPr fontId="12" type="noConversion"/>
  </si>
  <si>
    <t>内部往来-富晟动力</t>
    <phoneticPr fontId="12" type="noConversion"/>
  </si>
  <si>
    <t>内部往来-长春安创</t>
  </si>
  <si>
    <t>内部往来-重庆安创</t>
  </si>
  <si>
    <t>内部往来-成都安创</t>
  </si>
  <si>
    <t>内部往来-佛山安创</t>
  </si>
  <si>
    <t>内部往来-赛诺涂装</t>
  </si>
  <si>
    <t>内部往来-爱瑟福武汉分公司</t>
    <phoneticPr fontId="12" type="noConversion"/>
  </si>
  <si>
    <t>内部往来-成都饰件西安分公司</t>
    <phoneticPr fontId="12" type="noConversion"/>
  </si>
  <si>
    <t>内部往来-合肥饰件抚州分公司</t>
    <phoneticPr fontId="12" type="noConversion"/>
  </si>
  <si>
    <t>内部往来-宁波充电</t>
  </si>
  <si>
    <t>内部往来-富来科技</t>
  </si>
  <si>
    <t>内部往来-一咖科技</t>
  </si>
  <si>
    <t>内部往来-一咖贸易</t>
  </si>
  <si>
    <t>内部往来-成都一咖</t>
  </si>
  <si>
    <t>内部往来-成都一咖青岛分公司</t>
  </si>
  <si>
    <t>内部往来-成都一咖广州分公司</t>
  </si>
  <si>
    <t>内部往来-成都一咖深圳分公司</t>
  </si>
  <si>
    <t>内部往来-备用25</t>
    <phoneticPr fontId="12" type="noConversion"/>
  </si>
  <si>
    <t>内部往来-备用26</t>
    <phoneticPr fontId="12" type="noConversion"/>
  </si>
  <si>
    <t>内部往来-备用27</t>
  </si>
  <si>
    <t>内部往来-备用28</t>
  </si>
  <si>
    <t>内部往来-备用29</t>
  </si>
  <si>
    <t>内部往来-备用30</t>
  </si>
  <si>
    <t>内部往来-备用31</t>
  </si>
  <si>
    <t>内部往来-备用32</t>
  </si>
  <si>
    <t>内部往来-备用33</t>
  </si>
  <si>
    <t>内部往来-备用34</t>
  </si>
  <si>
    <t>内部往来-备用35</t>
  </si>
  <si>
    <t>内部往来-备用36</t>
  </si>
  <si>
    <t>内部往来-备用37</t>
  </si>
  <si>
    <t>内部往来-备用38</t>
  </si>
  <si>
    <t>内部往来-备用39</t>
  </si>
  <si>
    <t>内部往来-备用40</t>
  </si>
  <si>
    <t>内部往来-备用41</t>
  </si>
  <si>
    <t>内部往来-备用42</t>
  </si>
  <si>
    <t>内部往来-备用43</t>
  </si>
  <si>
    <t>内部往来-备用44</t>
  </si>
  <si>
    <t>内部往来-备用45</t>
  </si>
  <si>
    <t>存货-在途材料</t>
  </si>
  <si>
    <t>存货-原材料</t>
  </si>
  <si>
    <t>其中：原材料</t>
  </si>
  <si>
    <t>存货-外购件</t>
  </si>
  <si>
    <t>存货-自制半成品</t>
  </si>
  <si>
    <t>存货-包装物</t>
  </si>
  <si>
    <t>存货-辅助材料</t>
  </si>
  <si>
    <t>存货-备件</t>
  </si>
  <si>
    <t>存货-低值易耗品</t>
  </si>
  <si>
    <t>存货-在制品</t>
  </si>
  <si>
    <t>存货-产成品</t>
  </si>
  <si>
    <t>存货-调整-人工</t>
  </si>
  <si>
    <t>存货-调整-制造费用</t>
  </si>
  <si>
    <t>存货-外购商品</t>
  </si>
  <si>
    <t>存货-发出商品</t>
  </si>
  <si>
    <t>存货-暂估销售</t>
  </si>
  <si>
    <t>存货-跌价准备</t>
  </si>
  <si>
    <t>存货减值准备</t>
  </si>
  <si>
    <t>待摊费用-保险费</t>
  </si>
  <si>
    <t>待摊费用-租赁费</t>
  </si>
  <si>
    <t>待摊费用-采暖费</t>
  </si>
  <si>
    <t>待摊费用-软件服务费</t>
  </si>
  <si>
    <t>待摊费用-其他</t>
  </si>
  <si>
    <t>持有待售资产</t>
  </si>
  <si>
    <t>持有待售资产减值准备</t>
    <phoneticPr fontId="12" type="noConversion"/>
  </si>
  <si>
    <t>债权投资</t>
  </si>
  <si>
    <t>其他权益工具投资</t>
  </si>
  <si>
    <t>其他非流动金融资产</t>
  </si>
  <si>
    <t>长期股权投资减值准备</t>
  </si>
  <si>
    <t>其他权益工具投资减值准备</t>
    <phoneticPr fontId="12" type="noConversion"/>
  </si>
  <si>
    <t>投资性房地产-土地</t>
  </si>
  <si>
    <t>固定资产原值</t>
  </si>
  <si>
    <t>投资性房地产-建筑</t>
  </si>
  <si>
    <t>投资性房地产累计摊销-土地</t>
  </si>
  <si>
    <t>累计折旧</t>
  </si>
  <si>
    <t>投资性房地产累计折旧-建筑</t>
  </si>
  <si>
    <t>投资性房地产减值准备</t>
  </si>
  <si>
    <t>固定资产减值准备</t>
  </si>
  <si>
    <t>固定资产-机械设备</t>
  </si>
  <si>
    <t>固定资产-动力设备</t>
  </si>
  <si>
    <t>固定资产-传导设备</t>
  </si>
  <si>
    <t>固定资产-检测设备</t>
  </si>
  <si>
    <t>固定资产-运输设备</t>
  </si>
  <si>
    <t>固定资产-管理用具</t>
  </si>
  <si>
    <t>固定资产-电算设备</t>
  </si>
  <si>
    <t>固定资产-建筑物</t>
  </si>
  <si>
    <t>固定资产-工装模具</t>
  </si>
  <si>
    <t>固定资产-餐饮设备</t>
  </si>
  <si>
    <t>固定资产-消防设备</t>
  </si>
  <si>
    <t>固定资产-工位器具</t>
  </si>
  <si>
    <t>累计折旧-机械设备</t>
  </si>
  <si>
    <t>累计折旧-动力设备</t>
  </si>
  <si>
    <t>累计折旧-传导设备</t>
  </si>
  <si>
    <t>累计折旧-检测设备</t>
  </si>
  <si>
    <t>累计折旧-运输设备</t>
  </si>
  <si>
    <t>累计折旧-管理用具</t>
  </si>
  <si>
    <t>累计折旧-电算设备</t>
  </si>
  <si>
    <t>累计折旧-建筑物</t>
  </si>
  <si>
    <t>累计折旧-工装模具</t>
  </si>
  <si>
    <t>累计折旧-餐饮设备</t>
  </si>
  <si>
    <t>累计折旧-消防设备</t>
  </si>
  <si>
    <t>累计折旧-工位器具</t>
  </si>
  <si>
    <t>固定资产清理</t>
  </si>
  <si>
    <t>加：固定资产清理</t>
  </si>
  <si>
    <t>工程预付款</t>
  </si>
  <si>
    <t>工程物资</t>
  </si>
  <si>
    <t>在建工程-机械设备</t>
  </si>
  <si>
    <t>在建工程</t>
  </si>
  <si>
    <t>在建工程-动力设备</t>
  </si>
  <si>
    <t>在建工程-传导设备</t>
  </si>
  <si>
    <t>在建工程-检测设备</t>
  </si>
  <si>
    <t>在建工程-运输设备</t>
  </si>
  <si>
    <t>在建工程-管理用具</t>
  </si>
  <si>
    <t>在建工程-电算设备</t>
  </si>
  <si>
    <t>在建工程-建筑物</t>
  </si>
  <si>
    <t>在建工程-工装模具</t>
  </si>
  <si>
    <t>在建工程-餐饮设备</t>
  </si>
  <si>
    <t>在建工程-消防设备</t>
  </si>
  <si>
    <t>在建工程-工位器具</t>
  </si>
  <si>
    <t>在建工程-无形资产</t>
  </si>
  <si>
    <t>在建工程-长期待摊费用</t>
  </si>
  <si>
    <t>在建工程减值准备</t>
  </si>
  <si>
    <t>工程物资减值准备</t>
  </si>
  <si>
    <t>使用权资产-经营租赁</t>
  </si>
  <si>
    <t>使用权资产</t>
  </si>
  <si>
    <t>使用权资产-融资租赁</t>
  </si>
  <si>
    <t>使用权资产累计折旧-经营租赁</t>
  </si>
  <si>
    <t>使用权资产累计折旧-融资租赁</t>
  </si>
  <si>
    <t>长期待摊费用-租赁费</t>
  </si>
  <si>
    <t>长期待摊费用-其他</t>
  </si>
  <si>
    <t>长期待摊费用-厂房维修及改建</t>
    <phoneticPr fontId="12" type="noConversion"/>
  </si>
  <si>
    <t>长期待摊费用-软件实施费</t>
  </si>
  <si>
    <t>长期待摊费用摊销-租赁费</t>
  </si>
  <si>
    <t>长期待摊费用摊销-其他</t>
  </si>
  <si>
    <t>长期待摊费用摊销-厂房维修及改建</t>
    <phoneticPr fontId="12" type="noConversion"/>
  </si>
  <si>
    <t>长期待摊费用摊销-软件实施费</t>
  </si>
  <si>
    <t>长期资产-客户捆绑原值</t>
  </si>
  <si>
    <t>长期资产-客户捆绑已支付</t>
  </si>
  <si>
    <t>无形资产-土地使用权</t>
  </si>
  <si>
    <t>无形资产-专利</t>
  </si>
  <si>
    <t>无形资产-软件</t>
  </si>
  <si>
    <t>无形资产摊销-土地使用权</t>
  </si>
  <si>
    <t>无形资产摊销-专利</t>
  </si>
  <si>
    <t>无形资产摊销-软件</t>
  </si>
  <si>
    <t>无形资产减值准备</t>
  </si>
  <si>
    <t>研发支出</t>
  </si>
  <si>
    <t>待处理财产损溢</t>
  </si>
  <si>
    <t>短期借款-人民币</t>
  </si>
  <si>
    <t>短期借款</t>
  </si>
  <si>
    <t>短期借款-美元</t>
  </si>
  <si>
    <t>短期借款-日元</t>
  </si>
  <si>
    <t>集团内借款</t>
  </si>
  <si>
    <t>应付票据</t>
  </si>
  <si>
    <t>应付账款-在途</t>
  </si>
  <si>
    <t>应付账款-暂估</t>
  </si>
  <si>
    <t>应付账款-人民币</t>
  </si>
  <si>
    <t>应付账款-美元</t>
  </si>
  <si>
    <t>应付账款-欧元</t>
  </si>
  <si>
    <t>应付账款-日元</t>
  </si>
  <si>
    <t>预收账款</t>
  </si>
  <si>
    <t>预收款项</t>
  </si>
  <si>
    <t>应付账款-客户模具</t>
  </si>
  <si>
    <t>应付账款-模具及资本性支出</t>
  </si>
  <si>
    <t>应付账款-客户模具暂估</t>
    <phoneticPr fontId="12" type="noConversion"/>
  </si>
  <si>
    <t>应付账款-资本性支出</t>
  </si>
  <si>
    <t>应付账款-资本性支出暂估</t>
  </si>
  <si>
    <t>应付职工薪酬-预提年终奖</t>
  </si>
  <si>
    <t>应付职工薪酬</t>
  </si>
  <si>
    <t>应付职工薪酬-工资奖金</t>
  </si>
  <si>
    <t>应付职工薪酬-劳务工工资</t>
  </si>
  <si>
    <t>应付职工薪酬-养老保险</t>
  </si>
  <si>
    <t>应付职工薪酬-医疗保险</t>
  </si>
  <si>
    <t>应付职工薪酬-生育保险</t>
  </si>
  <si>
    <t>应付职工薪酬-失业保险</t>
  </si>
  <si>
    <t>应付职工薪酬-工伤保险</t>
  </si>
  <si>
    <t>应付职工薪酬-工会经费</t>
  </si>
  <si>
    <t>应付职工薪酬-住房公积金</t>
  </si>
  <si>
    <t>应付职工薪酬-培训费</t>
  </si>
  <si>
    <t>应付职工薪酬-午餐费</t>
  </si>
  <si>
    <t>应付职工薪酬-员工手机费</t>
  </si>
  <si>
    <t>应付职工薪酬-班车费</t>
  </si>
  <si>
    <t>应付职工薪酬-采暖降温</t>
  </si>
  <si>
    <t>应付职工薪酬-困难补助</t>
  </si>
  <si>
    <t>应付职工薪酬-独生子女费</t>
  </si>
  <si>
    <t>应付职工薪酬-其它福利</t>
  </si>
  <si>
    <t>应付职工薪酬-节日福利</t>
  </si>
  <si>
    <t>应付职工薪酬-员工体检</t>
  </si>
  <si>
    <t>应付职工薪酬-辞退福利</t>
  </si>
  <si>
    <t xml:space="preserve">应付职工薪酬-个人养老险 </t>
  </si>
  <si>
    <t>应付职工薪酬-个人医疗保险</t>
  </si>
  <si>
    <t>应付职工薪酬-个人失业保险</t>
  </si>
  <si>
    <t>应付职工薪酬-个人住房公积</t>
  </si>
  <si>
    <t>应付职工薪酬-个人工会经费</t>
  </si>
  <si>
    <t>应付职工薪酬-个人补充养老</t>
  </si>
  <si>
    <t>应交税费-个人所得税</t>
  </si>
  <si>
    <t>应交税费-其他</t>
  </si>
  <si>
    <t>应交税费</t>
  </si>
  <si>
    <t>应交税费-所得税</t>
  </si>
  <si>
    <t>应交税费-销项税</t>
  </si>
  <si>
    <t>应交税费-销项未开票</t>
  </si>
  <si>
    <t>应交税费-进项税</t>
  </si>
  <si>
    <t>应交税费-进项税转出</t>
  </si>
  <si>
    <t>应交税费-未交增值税</t>
  </si>
  <si>
    <t>应交税费-已交增值税</t>
  </si>
  <si>
    <t>应交税费-转出未交增值税</t>
  </si>
  <si>
    <t>应交税费-检查调整</t>
  </si>
  <si>
    <t>应交税费-出口抵减内销应纳税额</t>
    <phoneticPr fontId="12" type="noConversion"/>
  </si>
  <si>
    <t>应交税费-出口退税</t>
    <phoneticPr fontId="12" type="noConversion"/>
  </si>
  <si>
    <t>应交税费-减免税款</t>
    <phoneticPr fontId="12" type="noConversion"/>
  </si>
  <si>
    <t>应交税费-预交增值税</t>
    <phoneticPr fontId="12" type="noConversion"/>
  </si>
  <si>
    <t>应交税费-待抵扣进项税额</t>
    <phoneticPr fontId="12" type="noConversion"/>
  </si>
  <si>
    <t>应交税费-待认证进项税额</t>
    <phoneticPr fontId="12" type="noConversion"/>
  </si>
  <si>
    <t>应交税费-待转销项税额</t>
    <phoneticPr fontId="12" type="noConversion"/>
  </si>
  <si>
    <t>应交税费-简易计税</t>
    <phoneticPr fontId="12" type="noConversion"/>
  </si>
  <si>
    <t>应交税费-转让金融商品应交增值税</t>
    <phoneticPr fontId="12" type="noConversion"/>
  </si>
  <si>
    <t>应交税费-代扣代交增值税</t>
    <phoneticPr fontId="12" type="noConversion"/>
  </si>
  <si>
    <t>应交税费-增值税留抵税额</t>
    <phoneticPr fontId="12" type="noConversion"/>
  </si>
  <si>
    <t>应交税费-城建税</t>
  </si>
  <si>
    <t>应交税费-教育费附加</t>
  </si>
  <si>
    <t>应交税费-地方教育费附加</t>
  </si>
  <si>
    <t>应交税费-关税</t>
  </si>
  <si>
    <t>应交税费-消费税</t>
  </si>
  <si>
    <t>应交税费-资源税</t>
  </si>
  <si>
    <t>应交税费-土地增值税</t>
  </si>
  <si>
    <t>应交税费-土地使用税</t>
  </si>
  <si>
    <t>应交税费-房产税</t>
  </si>
  <si>
    <t>应交税费-车船使用税</t>
  </si>
  <si>
    <t>应交税费-印花税</t>
  </si>
  <si>
    <t>应交税费-防洪基金</t>
  </si>
  <si>
    <t>应交税费-残疾人保障金</t>
  </si>
  <si>
    <t>应交税费-环保税</t>
    <phoneticPr fontId="12" type="noConversion"/>
  </si>
  <si>
    <t>应交税费-水资源税</t>
  </si>
  <si>
    <t>应付利息</t>
  </si>
  <si>
    <t>其他应付款</t>
  </si>
  <si>
    <t>预提费用-动能费</t>
  </si>
  <si>
    <t>预提费用-电话费</t>
  </si>
  <si>
    <t>预提费用-运费</t>
  </si>
  <si>
    <t>预提费用-固定资产修理费</t>
  </si>
  <si>
    <t>预提费用-税费</t>
  </si>
  <si>
    <t>预提费用-售后服务费</t>
  </si>
  <si>
    <t>预提费用-租金</t>
  </si>
  <si>
    <t>预提费用-其它</t>
  </si>
  <si>
    <t>预提费用-捆绑降价</t>
    <phoneticPr fontId="12" type="noConversion"/>
  </si>
  <si>
    <t>预提费用-仓储费</t>
    <phoneticPr fontId="12" type="noConversion"/>
  </si>
  <si>
    <t>预提费用-研发费</t>
    <phoneticPr fontId="12" type="noConversion"/>
  </si>
  <si>
    <t>预提费用-服务费</t>
    <phoneticPr fontId="12" type="noConversion"/>
  </si>
  <si>
    <t>预提费用-环保费</t>
    <phoneticPr fontId="12" type="noConversion"/>
  </si>
  <si>
    <t>预提费用-工位器具</t>
  </si>
  <si>
    <t>预提费用-劳务费</t>
  </si>
  <si>
    <t>预提费用-工装模具</t>
    <phoneticPr fontId="12" type="noConversion"/>
  </si>
  <si>
    <t>预提费用-物料消耗</t>
    <phoneticPr fontId="12" type="noConversion"/>
  </si>
  <si>
    <t>预提费用-质量检验费</t>
    <phoneticPr fontId="12" type="noConversion"/>
  </si>
  <si>
    <t>预提费用-劳动保护</t>
    <phoneticPr fontId="12" type="noConversion"/>
  </si>
  <si>
    <t>预提费用-技术提成费</t>
    <phoneticPr fontId="12" type="noConversion"/>
  </si>
  <si>
    <t>预提费用-保险费</t>
    <phoneticPr fontId="12" type="noConversion"/>
  </si>
  <si>
    <t>预提费用-认证费</t>
    <phoneticPr fontId="12" type="noConversion"/>
  </si>
  <si>
    <t>预提费用-差旅费</t>
    <phoneticPr fontId="12" type="noConversion"/>
  </si>
  <si>
    <t>预提费用-办公费</t>
    <phoneticPr fontId="12" type="noConversion"/>
  </si>
  <si>
    <t>预提费用-招待费</t>
    <phoneticPr fontId="12" type="noConversion"/>
  </si>
  <si>
    <t>预提费用-包装费</t>
    <phoneticPr fontId="12" type="noConversion"/>
  </si>
  <si>
    <t>预提费用-物业费</t>
    <phoneticPr fontId="12" type="noConversion"/>
  </si>
  <si>
    <t>预提费用-车辆费</t>
    <phoneticPr fontId="12" type="noConversion"/>
  </si>
  <si>
    <t>预提费用-系统通讯费</t>
    <phoneticPr fontId="12" type="noConversion"/>
  </si>
  <si>
    <t>预提费用-软硬件维护</t>
    <phoneticPr fontId="12" type="noConversion"/>
  </si>
  <si>
    <t>预提费用-审计费</t>
    <phoneticPr fontId="12" type="noConversion"/>
  </si>
  <si>
    <t>预提费用-咨询费</t>
    <phoneticPr fontId="12" type="noConversion"/>
  </si>
  <si>
    <t>预提费用-利息支出</t>
    <phoneticPr fontId="12" type="noConversion"/>
  </si>
  <si>
    <t>长期借款-人民币</t>
  </si>
  <si>
    <t>长期借款-美元</t>
  </si>
  <si>
    <t>长期借款-日元</t>
  </si>
  <si>
    <t>其他长期负债</t>
  </si>
  <si>
    <t>长期应付款-客户捆绑</t>
  </si>
  <si>
    <t>长期应付款</t>
  </si>
  <si>
    <t>长期应付款-其他</t>
    <phoneticPr fontId="12" type="noConversion"/>
  </si>
  <si>
    <t>租赁负债-租赁付款额</t>
    <phoneticPr fontId="12" type="noConversion"/>
  </si>
  <si>
    <t>租赁负债</t>
  </si>
  <si>
    <t>租赁负债-未确认融资费用</t>
    <phoneticPr fontId="12" type="noConversion"/>
  </si>
  <si>
    <t>专项应付款</t>
  </si>
  <si>
    <t>递延收益</t>
  </si>
  <si>
    <t>实收资本-少数股权A</t>
  </si>
  <si>
    <t>少数股东权益</t>
  </si>
  <si>
    <t>实收资本-少数股权B</t>
  </si>
  <si>
    <t>实收资本-少数股权C</t>
  </si>
  <si>
    <t>资本公积-少数股权</t>
  </si>
  <si>
    <t>其他综合收益-少数股权</t>
  </si>
  <si>
    <t>其他综合收益</t>
  </si>
  <si>
    <t>盈余公积-少数股权</t>
  </si>
  <si>
    <t>本年利润-少数股权</t>
  </si>
  <si>
    <t>未分配利润-少数股权</t>
  </si>
  <si>
    <t>应付股利-少数股权A</t>
  </si>
  <si>
    <t>应付股利-少数股权B</t>
  </si>
  <si>
    <t>应付股利-少数股权C</t>
  </si>
  <si>
    <t>实收资本</t>
  </si>
  <si>
    <t>期初未分配利润</t>
  </si>
  <si>
    <t>本年利润</t>
  </si>
  <si>
    <t>应付股利</t>
  </si>
  <si>
    <t>已付股利</t>
  </si>
  <si>
    <t>当年股利支付</t>
  </si>
  <si>
    <t>材料成本-标准材料</t>
  </si>
  <si>
    <t>材料成本</t>
  </si>
  <si>
    <t>I</t>
  </si>
  <si>
    <t>其中：主营业务成本</t>
  </si>
  <si>
    <t>材料成本-采购价差</t>
  </si>
  <si>
    <t>材料成本-工程更改</t>
  </si>
  <si>
    <t>材料成本-废品损失</t>
  </si>
  <si>
    <t>材料成本-用量差异</t>
  </si>
  <si>
    <t>材料成本-成本重估</t>
  </si>
  <si>
    <t>材料成本-废料收入</t>
  </si>
  <si>
    <t>材料成本-索赔供应商</t>
    <phoneticPr fontId="12" type="noConversion"/>
  </si>
  <si>
    <t>直接人工-标准</t>
  </si>
  <si>
    <t>FA/DC</t>
  </si>
  <si>
    <t>直接人工-成品吸收</t>
  </si>
  <si>
    <t>直接人工-成本重估</t>
    <phoneticPr fontId="12" type="noConversion"/>
  </si>
  <si>
    <t>直接人工-工资奖金</t>
  </si>
  <si>
    <t>直接人工</t>
  </si>
  <si>
    <t>直接人工-附加人工费</t>
  </si>
  <si>
    <t xml:space="preserve">制造费用-标准 </t>
  </si>
  <si>
    <t>制造费用-成品吸收</t>
  </si>
  <si>
    <t>制造费用-成本重估</t>
    <phoneticPr fontId="12" type="noConversion"/>
  </si>
  <si>
    <t>制造费用-间接工人工资奖金</t>
  </si>
  <si>
    <t>制造费用-间接工人</t>
  </si>
  <si>
    <t>制造费用-间接工人附加人工费</t>
  </si>
  <si>
    <t>制造费用-管理人员工资奖金</t>
  </si>
  <si>
    <t>制造费用-管理人工</t>
  </si>
  <si>
    <t>制造费用-管理人员附加人工费</t>
  </si>
  <si>
    <t>制造费用-养老保险</t>
  </si>
  <si>
    <t>制造费用-医疗保险</t>
  </si>
  <si>
    <t>制造费用-生育保险</t>
  </si>
  <si>
    <t>制造费用-失业保险</t>
  </si>
  <si>
    <t>制造费用-工伤保险</t>
  </si>
  <si>
    <t>制造费用-工会经费</t>
  </si>
  <si>
    <t>制造费用-住房公积金</t>
  </si>
  <si>
    <t>制造费用-培训费</t>
  </si>
  <si>
    <t>制造费用-午餐费</t>
  </si>
  <si>
    <t>制造费用-员工手机费</t>
  </si>
  <si>
    <t>制造费用-班车费</t>
  </si>
  <si>
    <t>制造费用-采暖降温</t>
  </si>
  <si>
    <t>制造费用-困难补助</t>
  </si>
  <si>
    <t>制造费用-独生子女费</t>
  </si>
  <si>
    <t>制造费用-其它福利</t>
    <phoneticPr fontId="12" type="noConversion"/>
  </si>
  <si>
    <t>制造费用-节日福利</t>
    <phoneticPr fontId="12" type="noConversion"/>
  </si>
  <si>
    <t>制造费用-员工体检</t>
    <phoneticPr fontId="12" type="noConversion"/>
  </si>
  <si>
    <t>制造费用-辞退福利</t>
    <phoneticPr fontId="12" type="noConversion"/>
  </si>
  <si>
    <t>制造费用-附加人工费转出</t>
  </si>
  <si>
    <t xml:space="preserve">制造费用-折旧 </t>
  </si>
  <si>
    <t>制造费用-无形资产摊销</t>
  </si>
  <si>
    <t xml:space="preserve">制造费用-无形资产摊销 </t>
  </si>
  <si>
    <t>制造费用-长期待摊费用摊销</t>
  </si>
  <si>
    <t>制造费用-租赁费</t>
  </si>
  <si>
    <t>制造费用-其他费用</t>
  </si>
  <si>
    <t>制造费用-固定资产维护</t>
  </si>
  <si>
    <t>制造费用-工装模具</t>
  </si>
  <si>
    <t>制造费用-物料消耗</t>
  </si>
  <si>
    <t>制造费用-工位器具</t>
  </si>
  <si>
    <t>制造费用-工具消耗</t>
  </si>
  <si>
    <t>制造费用-动能费</t>
  </si>
  <si>
    <t>制造费用-材料运费</t>
  </si>
  <si>
    <t>制造费用-关税及代理费</t>
  </si>
  <si>
    <t>制造费用-运输费</t>
  </si>
  <si>
    <t>制造费用-质量检验费</t>
  </si>
  <si>
    <t>制造费用-图纸资料费</t>
  </si>
  <si>
    <t>制造费用-劳动保护</t>
  </si>
  <si>
    <t>制造费用-安全措施</t>
  </si>
  <si>
    <t>制造费用-劳务费</t>
  </si>
  <si>
    <t>制造费用-试生产</t>
  </si>
  <si>
    <t>制造费用-技术支持费</t>
  </si>
  <si>
    <t>制造费用-环保费</t>
  </si>
  <si>
    <t>制造费用-保险费</t>
  </si>
  <si>
    <t>制造费用-认证费</t>
  </si>
  <si>
    <t>制造费用-差旅费</t>
  </si>
  <si>
    <t>制造费用-办公费</t>
  </si>
  <si>
    <t>制造费用-招待费</t>
  </si>
  <si>
    <t>制造费用-车间宣传费</t>
  </si>
  <si>
    <t>制造费用-会议费</t>
  </si>
  <si>
    <t>制造费用-使用权资产折旧</t>
    <phoneticPr fontId="12" type="noConversion"/>
  </si>
  <si>
    <t>制造费用-包装费</t>
  </si>
  <si>
    <t>制造费用-仓储费</t>
  </si>
  <si>
    <t>制造费用-销售运费及装卸费</t>
  </si>
  <si>
    <t>制造费用-索赔供应商</t>
    <phoneticPr fontId="12" type="noConversion"/>
  </si>
  <si>
    <t>制造费用-售后服务费</t>
    <phoneticPr fontId="12" type="noConversion"/>
  </si>
  <si>
    <t>制造费用-物业费</t>
    <phoneticPr fontId="12" type="noConversion"/>
  </si>
  <si>
    <t>制造费用-其他</t>
  </si>
  <si>
    <t>主营业务收入-一汽解放</t>
  </si>
  <si>
    <t>销售收入</t>
  </si>
  <si>
    <t>其中：主营业务收入</t>
  </si>
  <si>
    <t>主营业务收入-一汽奔腾</t>
    <phoneticPr fontId="12" type="noConversion"/>
  </si>
  <si>
    <t>主营业务收入-一汽大众</t>
  </si>
  <si>
    <t>主营业务收入-一汽丰田</t>
  </si>
  <si>
    <t>主营业务收入-一汽红旗</t>
    <phoneticPr fontId="12" type="noConversion"/>
  </si>
  <si>
    <t>主营业务收入-一汽其他</t>
  </si>
  <si>
    <t>主营业务收入-富晟集团</t>
  </si>
  <si>
    <t>主营业务收入-一汽以外收入</t>
  </si>
  <si>
    <t>主营业务收入-代结算收入</t>
    <phoneticPr fontId="12" type="noConversion"/>
  </si>
  <si>
    <t>主营业务收入-出口收入</t>
  </si>
  <si>
    <t>税金及附加—城建税</t>
    <phoneticPr fontId="12" type="noConversion"/>
  </si>
  <si>
    <t>税金及附加</t>
    <phoneticPr fontId="12" type="noConversion"/>
  </si>
  <si>
    <t xml:space="preserve">      税金及附加</t>
  </si>
  <si>
    <t>税金及附加—教育费附加</t>
  </si>
  <si>
    <t>税金及附加—地方教育费附加</t>
  </si>
  <si>
    <t>税金及附加—房产税</t>
  </si>
  <si>
    <t>税金及附加—印花税</t>
  </si>
  <si>
    <t>税金及附加—土地使用税</t>
  </si>
  <si>
    <t>税金及附加—车船使用税</t>
  </si>
  <si>
    <t>税金及附加—消费税</t>
  </si>
  <si>
    <t>税金及附加—资源税</t>
  </si>
  <si>
    <t>税金及附加—环保税</t>
    <phoneticPr fontId="12" type="noConversion"/>
  </si>
  <si>
    <t>税金及附加—水资源税</t>
  </si>
  <si>
    <t>销售费用-工资奖金</t>
  </si>
  <si>
    <t>销售费用-人工费</t>
  </si>
  <si>
    <t xml:space="preserve">      销售费用</t>
  </si>
  <si>
    <t>销售费用-附加人工费</t>
  </si>
  <si>
    <t>销售费用-折旧</t>
  </si>
  <si>
    <t>销售费用-广告费</t>
  </si>
  <si>
    <t>销售费用-其他费用</t>
  </si>
  <si>
    <t>销售费用-业务宣传费</t>
  </si>
  <si>
    <t>销售费用-招待费</t>
  </si>
  <si>
    <t>销售费用-差旅费</t>
  </si>
  <si>
    <t>销售费用-办公费</t>
  </si>
  <si>
    <t>销售费用-会议费</t>
  </si>
  <si>
    <t>销售费用-物业费</t>
    <phoneticPr fontId="12" type="noConversion"/>
  </si>
  <si>
    <t>销售费用-使用权资产折旧</t>
    <phoneticPr fontId="12" type="noConversion"/>
  </si>
  <si>
    <t>销售费用-其他</t>
  </si>
  <si>
    <t>管理费用-工资奖金</t>
  </si>
  <si>
    <t>管理研发费用-人工费</t>
  </si>
  <si>
    <t xml:space="preserve">      管理费用</t>
  </si>
  <si>
    <t>管理费用-附加人工费</t>
  </si>
  <si>
    <t>管理费用-折旧</t>
  </si>
  <si>
    <t>管理研发费用-折旧</t>
  </si>
  <si>
    <t>管理费用-无形资产摊销</t>
  </si>
  <si>
    <t>管理研发费用-无形资产摊销</t>
  </si>
  <si>
    <t>管理费用-长期待摊费用摊销</t>
  </si>
  <si>
    <t>管理研发费用-长期待摊费用摊销</t>
  </si>
  <si>
    <t>管理费用-租赁费</t>
  </si>
  <si>
    <t>管理研发费用-其他费用</t>
  </si>
  <si>
    <t>管理费用-固定资产维护</t>
  </si>
  <si>
    <t>管理费用-动能费</t>
  </si>
  <si>
    <t>管理费用-车辆费</t>
  </si>
  <si>
    <t>管理费用-系统通讯费</t>
  </si>
  <si>
    <t>管理费用-软硬件维护</t>
  </si>
  <si>
    <t>管理费用-电脑耗材</t>
  </si>
  <si>
    <t>管理费用-电话费</t>
  </si>
  <si>
    <t>管理费用-差旅费</t>
  </si>
  <si>
    <t>管理费用-招待费</t>
  </si>
  <si>
    <t>管理费用-办公费</t>
  </si>
  <si>
    <t>管理费用-审计费</t>
  </si>
  <si>
    <t>管理费用-咨询费</t>
  </si>
  <si>
    <t>管理费用-技术转让费</t>
  </si>
  <si>
    <t>管理费用-技术提成费</t>
  </si>
  <si>
    <t>管理费用-其他税费</t>
  </si>
  <si>
    <t>管理费用-董事会费</t>
  </si>
  <si>
    <t>管理费用-保险费</t>
  </si>
  <si>
    <t>管理费用-招聘费</t>
  </si>
  <si>
    <t>管理费用-服务费</t>
  </si>
  <si>
    <t>管理费用-会议费</t>
  </si>
  <si>
    <t>管理费用-存货损失</t>
  </si>
  <si>
    <t>管理费用-使用权资产折旧</t>
    <phoneticPr fontId="12" type="noConversion"/>
  </si>
  <si>
    <t>管理费用-防洪基金</t>
    <phoneticPr fontId="12" type="noConversion"/>
  </si>
  <si>
    <t>管理费用-残疾人保障金</t>
    <phoneticPr fontId="12" type="noConversion"/>
  </si>
  <si>
    <t>管理费用-物业费</t>
    <phoneticPr fontId="12" type="noConversion"/>
  </si>
  <si>
    <t>管理费用-其他费用</t>
  </si>
  <si>
    <t>研发费用-工资奖金</t>
    <phoneticPr fontId="12" type="noConversion"/>
  </si>
  <si>
    <t xml:space="preserve">      研发费用</t>
  </si>
  <si>
    <t>研发费用-附加人工费</t>
    <phoneticPr fontId="12" type="noConversion"/>
  </si>
  <si>
    <t>研发费用-折旧</t>
  </si>
  <si>
    <t>研发费用-无形资产摊销</t>
  </si>
  <si>
    <t>研发费用-长期待摊费用摊销</t>
  </si>
  <si>
    <t>研发费用-材料费</t>
    <phoneticPr fontId="12" type="noConversion"/>
  </si>
  <si>
    <t>研发费用-动能费</t>
  </si>
  <si>
    <t>研发费用-固定资产维护</t>
    <phoneticPr fontId="12" type="noConversion"/>
  </si>
  <si>
    <t>研发费用-租赁费</t>
    <phoneticPr fontId="12" type="noConversion"/>
  </si>
  <si>
    <t>研发费用-物料消耗</t>
    <phoneticPr fontId="12" type="noConversion"/>
  </si>
  <si>
    <t>研发费用-试验检测费</t>
    <phoneticPr fontId="12" type="noConversion"/>
  </si>
  <si>
    <t>研发费用-设计费</t>
    <phoneticPr fontId="12" type="noConversion"/>
  </si>
  <si>
    <t>研发费用-图纸资料费</t>
    <phoneticPr fontId="12" type="noConversion"/>
  </si>
  <si>
    <t>研发费用-资料翻译费</t>
    <phoneticPr fontId="12" type="noConversion"/>
  </si>
  <si>
    <t>研发费用-车辆费</t>
  </si>
  <si>
    <t>研发费用-系统通讯费</t>
  </si>
  <si>
    <t>研发费用-软硬件维护</t>
  </si>
  <si>
    <t>研发费用-电脑耗材</t>
  </si>
  <si>
    <t>研发费用-电话费</t>
  </si>
  <si>
    <t>研发费用-差旅费</t>
  </si>
  <si>
    <t>研发费用-招待费</t>
  </si>
  <si>
    <t>研发费用-办公费</t>
  </si>
  <si>
    <t>研发费用-审计费</t>
    <phoneticPr fontId="12" type="noConversion"/>
  </si>
  <si>
    <t>研发费用-咨询费</t>
  </si>
  <si>
    <t>研发费用-技术转让费</t>
  </si>
  <si>
    <t>研发费用-技术提成费</t>
  </si>
  <si>
    <t>研发费用-技术服务费</t>
    <phoneticPr fontId="12" type="noConversion"/>
  </si>
  <si>
    <t>研发费用-专利费</t>
    <phoneticPr fontId="12" type="noConversion"/>
  </si>
  <si>
    <t>研发费用-保险费</t>
  </si>
  <si>
    <t>研发费用-招聘费</t>
  </si>
  <si>
    <t>研发费用-会议费</t>
  </si>
  <si>
    <t>研发费用-其他费用</t>
    <phoneticPr fontId="12" type="noConversion"/>
  </si>
  <si>
    <t>研发费用-物业费</t>
    <phoneticPr fontId="12" type="noConversion"/>
  </si>
  <si>
    <t>研发费用-使用权资产折旧</t>
    <phoneticPr fontId="12" type="noConversion"/>
  </si>
  <si>
    <t>研发费用-研发资本化</t>
    <phoneticPr fontId="12" type="noConversion"/>
  </si>
  <si>
    <t>财务费用-利息收入</t>
  </si>
  <si>
    <t xml:space="preserve">      财务费用</t>
  </si>
  <si>
    <t>财务费用-利息支出</t>
  </si>
  <si>
    <t>财务费用-利息资本化</t>
  </si>
  <si>
    <t>财务费用-票据贴现利息</t>
  </si>
  <si>
    <t>财务费用-汇兑损益</t>
  </si>
  <si>
    <t>财务费用-其他</t>
  </si>
  <si>
    <t>财务费用-银行手续费</t>
  </si>
  <si>
    <t>财务费用-现金折扣</t>
  </si>
  <si>
    <t>财务费用-未确认融资费用</t>
    <phoneticPr fontId="12" type="noConversion"/>
  </si>
  <si>
    <t>资产减值损失</t>
  </si>
  <si>
    <t>信用减值损失</t>
    <phoneticPr fontId="12" type="noConversion"/>
  </si>
  <si>
    <t>公允价值变动损益</t>
  </si>
  <si>
    <t>公允价值变动</t>
  </si>
  <si>
    <t>投资收益</t>
  </si>
  <si>
    <t>其他收益-增值税退税</t>
    <phoneticPr fontId="12" type="noConversion"/>
  </si>
  <si>
    <t>营业外收支</t>
  </si>
  <si>
    <t>加：其他收益（损失以“－”号填）</t>
  </si>
  <si>
    <t>其他收益-个税手续费返还</t>
    <phoneticPr fontId="12" type="noConversion"/>
  </si>
  <si>
    <t>其他收益-稳岗补贴</t>
    <phoneticPr fontId="12" type="noConversion"/>
  </si>
  <si>
    <t>其他收益-增值税加计抵减</t>
    <phoneticPr fontId="12" type="noConversion"/>
  </si>
  <si>
    <t>其他收益-递延收益</t>
    <phoneticPr fontId="12" type="noConversion"/>
  </si>
  <si>
    <t>其他收益-其他</t>
    <phoneticPr fontId="12" type="noConversion"/>
  </si>
  <si>
    <t>其他业务收入-模具收入</t>
  </si>
  <si>
    <t>其他业务收支</t>
  </si>
  <si>
    <t>其他业务收入-材料销售</t>
  </si>
  <si>
    <t>其他业务收入-废料销售</t>
  </si>
  <si>
    <t>其他业务收入-投资性房地产</t>
  </si>
  <si>
    <t>其他业务收入-出租固定资产</t>
  </si>
  <si>
    <t>其他业务收入-其他</t>
  </si>
  <si>
    <t>其他业务收入-索赔供应商</t>
    <phoneticPr fontId="12" type="noConversion"/>
  </si>
  <si>
    <t>其他业务收入-管理服务费</t>
    <phoneticPr fontId="12" type="noConversion"/>
  </si>
  <si>
    <t>其他业务收入-动能费</t>
    <phoneticPr fontId="12" type="noConversion"/>
  </si>
  <si>
    <t>其他业务收入-研发收入</t>
    <phoneticPr fontId="12" type="noConversion"/>
  </si>
  <si>
    <t>其他业务成本-模具支出</t>
  </si>
  <si>
    <t xml:space="preserve">   其他业务成本　    </t>
  </si>
  <si>
    <t>其他业务成本-材料销售</t>
  </si>
  <si>
    <t>其他业务成本-废料销售</t>
  </si>
  <si>
    <t>其他业务成本-投资性房地产</t>
  </si>
  <si>
    <t>其他业务成本-出租固定资产</t>
  </si>
  <si>
    <t>其他业务成本-其他</t>
  </si>
  <si>
    <t>其他业务成本-索赔供应商</t>
    <phoneticPr fontId="12" type="noConversion"/>
  </si>
  <si>
    <t>其他业务成本-动能费</t>
    <phoneticPr fontId="12" type="noConversion"/>
  </si>
  <si>
    <t>其他业务成本-研发支出</t>
    <phoneticPr fontId="12" type="noConversion"/>
  </si>
  <si>
    <t>营业外收入-处理固定资产净收益</t>
  </si>
  <si>
    <t>营业外收入-罚款收入</t>
  </si>
  <si>
    <t>营业外收入-债务重组利得</t>
  </si>
  <si>
    <t>营业外收入-政府补贴</t>
  </si>
  <si>
    <t>营业外收入-固定资产盘盈</t>
  </si>
  <si>
    <t>营业外收入-处理无形资产净收益</t>
    <phoneticPr fontId="12" type="noConversion"/>
  </si>
  <si>
    <t>营业外收入-处理其他长期资产净收益</t>
    <phoneticPr fontId="12" type="noConversion"/>
  </si>
  <si>
    <t>营业外收入-其他</t>
  </si>
  <si>
    <t>营业外支出-固定资产盘亏</t>
  </si>
  <si>
    <t>营业外支出-处理固定资产净损失</t>
  </si>
  <si>
    <t>营业外支出-罚款/赔偿/违约金</t>
  </si>
  <si>
    <t>营业外支出-非常损失</t>
  </si>
  <si>
    <t>营业外支出-债务重组损失</t>
  </si>
  <si>
    <t>营业外支出-公益性捐助</t>
  </si>
  <si>
    <t>营业外支出-其他</t>
  </si>
  <si>
    <t>营业外支出-处理无形资产净损失</t>
    <phoneticPr fontId="12" type="noConversion"/>
  </si>
  <si>
    <t>营业外支出-处理其他长期资产净损失</t>
    <phoneticPr fontId="12" type="noConversion"/>
  </si>
  <si>
    <t>营业外支出-非流动资产毁损报废损失</t>
    <phoneticPr fontId="12" type="noConversion"/>
  </si>
  <si>
    <t>所得税-当期</t>
  </si>
  <si>
    <t>所得税费用</t>
  </si>
  <si>
    <t>所得税-递延</t>
  </si>
  <si>
    <t>少数股东损益</t>
  </si>
  <si>
    <t>以前年度损益调整</t>
  </si>
  <si>
    <t>调整帐户</t>
    <phoneticPr fontId="12" type="noConversion"/>
  </si>
  <si>
    <t>Inalfa
报表代码</t>
    <phoneticPr fontId="12" type="noConversion"/>
  </si>
  <si>
    <t>Inalfa
报表描述</t>
    <phoneticPr fontId="12" type="noConversion"/>
  </si>
  <si>
    <t>Inalfa
科目代码</t>
    <phoneticPr fontId="12" type="noConversion"/>
  </si>
  <si>
    <t>Inalfa
科目描述</t>
    <phoneticPr fontId="12" type="noConversion"/>
  </si>
  <si>
    <t>富晟
科目代码</t>
    <phoneticPr fontId="12" type="noConversion"/>
  </si>
  <si>
    <t>富晟
科目描述</t>
    <phoneticPr fontId="12" type="noConversion"/>
  </si>
  <si>
    <t>富晟报表
-汇总到</t>
    <phoneticPr fontId="12" type="noConversion"/>
  </si>
  <si>
    <t>Capitalized R&amp;D-At cost</t>
  </si>
  <si>
    <t>1100-1311</t>
  </si>
  <si>
    <t xml:space="preserve"> 长期待摊费用                   </t>
  </si>
  <si>
    <t>长期待摊</t>
  </si>
  <si>
    <t>1100-1312</t>
  </si>
  <si>
    <t xml:space="preserve"> ProjectManagemtOutofRegion     </t>
  </si>
  <si>
    <t>1100-1354</t>
  </si>
  <si>
    <t xml:space="preserve"> Outsourced testing costs       </t>
  </si>
  <si>
    <t>1100-1356</t>
  </si>
  <si>
    <t xml:space="preserve"> Test electro equipment costs   </t>
  </si>
  <si>
    <t>1100-1358</t>
  </si>
  <si>
    <t xml:space="preserve"> 长期待摊费用-原材料            </t>
  </si>
  <si>
    <t>1100-1360</t>
  </si>
  <si>
    <t xml:space="preserve"> 长期待摊费用-运费              </t>
  </si>
  <si>
    <t>1100-1362</t>
  </si>
  <si>
    <t xml:space="preserve"> 长期待摊费用-运营成本          </t>
  </si>
  <si>
    <t>1100-1363</t>
  </si>
  <si>
    <t xml:space="preserve">长期待摊费用-Travel &amp;  entertainm projects  </t>
  </si>
  <si>
    <t>Capitalized R&amp;D-Accumulated amortization</t>
  </si>
  <si>
    <t>1110-1310</t>
  </si>
  <si>
    <t xml:space="preserve"> 长期待摊费用-摊销              </t>
  </si>
  <si>
    <t>Buildings-At cost</t>
  </si>
  <si>
    <t>1200-1110</t>
  </si>
  <si>
    <t xml:space="preserve"> 固定资产-厂房                  </t>
  </si>
  <si>
    <t>Land-At cost</t>
  </si>
  <si>
    <t>1200-1120</t>
  </si>
  <si>
    <t xml:space="preserve"> Land                           </t>
  </si>
  <si>
    <t>Machinery &amp; installations generic-At cost</t>
  </si>
  <si>
    <t>1200-1210</t>
  </si>
  <si>
    <t xml:space="preserve"> 固定资产-生产设备（公用）      </t>
  </si>
  <si>
    <t>1200-1211</t>
  </si>
  <si>
    <t xml:space="preserve"> 固定资产中转科目               </t>
  </si>
  <si>
    <t>Machinery &amp; installations program-At cost</t>
  </si>
  <si>
    <t>1200-1310</t>
  </si>
  <si>
    <t xml:space="preserve"> 固定资产-生产设备（分项目）    </t>
  </si>
  <si>
    <t>1200-1330</t>
    <phoneticPr fontId="12" type="noConversion"/>
  </si>
  <si>
    <t>固定资产-发运料架</t>
    <phoneticPr fontId="12" type="noConversion"/>
  </si>
  <si>
    <t>1200-1340</t>
  </si>
  <si>
    <t>固定资产-料架</t>
  </si>
  <si>
    <t>1200-1350</t>
  </si>
  <si>
    <t>固定资产 - Program Capex 检具</t>
  </si>
  <si>
    <t>IT &amp; office equipment-At cost</t>
  </si>
  <si>
    <t>1200-1420</t>
  </si>
  <si>
    <t xml:space="preserve"> 固定资产-办公设备              </t>
  </si>
  <si>
    <t>1200-1440</t>
  </si>
  <si>
    <t xml:space="preserve"> 固定资产-办公设备(软件)        </t>
  </si>
  <si>
    <t>1200-1460</t>
  </si>
  <si>
    <t xml:space="preserve"> 固定资产-办公设备（电脑）      </t>
  </si>
  <si>
    <t>Other tangible fixed assets-At cost</t>
  </si>
  <si>
    <t>1200-1510</t>
  </si>
  <si>
    <t xml:space="preserve"> 固定资产-其它                  </t>
  </si>
  <si>
    <t>1200-1520</t>
  </si>
  <si>
    <t>Hard tools-At cost</t>
  </si>
  <si>
    <t>1200-1610</t>
  </si>
  <si>
    <t xml:space="preserve"> 固定资产-模具                  </t>
  </si>
  <si>
    <t>模具</t>
  </si>
  <si>
    <t>Tangible fixed assets under construction &amp; prepayments</t>
  </si>
  <si>
    <t>1200-1710</t>
  </si>
  <si>
    <t xml:space="preserve"> 在建工程-生产线                </t>
  </si>
  <si>
    <t>1200-1715</t>
  </si>
  <si>
    <t xml:space="preserve"> 在建工程-模具                  </t>
  </si>
  <si>
    <t>1200-1720</t>
  </si>
  <si>
    <t xml:space="preserve"> 在建工程-检具                  </t>
  </si>
  <si>
    <t>1200-1725</t>
  </si>
  <si>
    <t xml:space="preserve"> 在建工程-内部和半成品料架      </t>
  </si>
  <si>
    <t>1200-1735</t>
  </si>
  <si>
    <t xml:space="preserve"> 在建工程-成品料架              </t>
  </si>
  <si>
    <t>1200-1740</t>
  </si>
  <si>
    <t xml:space="preserve"> C.I.P.-Reclasstocompleted      </t>
  </si>
  <si>
    <t>1200-1750</t>
  </si>
  <si>
    <t xml:space="preserve"> Construction Land-Buildings in </t>
  </si>
  <si>
    <t>Vehicles-At cost</t>
  </si>
  <si>
    <t>1200-1810</t>
  </si>
  <si>
    <t xml:space="preserve"> 固定资产-车辆                  </t>
  </si>
  <si>
    <t>Buildings-Accumulated depreciation</t>
  </si>
  <si>
    <t>1210-1110</t>
  </si>
  <si>
    <t xml:space="preserve"> 累计折旧-厂房                  </t>
  </si>
  <si>
    <t>Land-Accumulated depreciation</t>
  </si>
  <si>
    <t>1210-1120</t>
  </si>
  <si>
    <t xml:space="preserve"> Dep. Land                      </t>
  </si>
  <si>
    <t>Machinery &amp; installations generic-Accumulated depreciation</t>
  </si>
  <si>
    <t>1210-1210</t>
  </si>
  <si>
    <t xml:space="preserve"> 累计折旧-生产设备（公用）      </t>
  </si>
  <si>
    <t>Machinery &amp; installations program-Accumulated depreciation</t>
  </si>
  <si>
    <t>1210-1310</t>
  </si>
  <si>
    <t xml:space="preserve"> 累计折旧-生产设备（分项目）    </t>
  </si>
  <si>
    <t>1210-1340</t>
  </si>
  <si>
    <t xml:space="preserve"> 累计折旧-物流器具</t>
  </si>
  <si>
    <t>1210-1350</t>
  </si>
  <si>
    <t>累计折旧 - Program Capex 检具</t>
  </si>
  <si>
    <t>IT &amp; office equipment-Accumulated depreciation</t>
  </si>
  <si>
    <t>1210-1420</t>
  </si>
  <si>
    <t xml:space="preserve"> 累计折旧-办公设备              </t>
  </si>
  <si>
    <t>1210-1440</t>
  </si>
  <si>
    <t xml:space="preserve"> 累计折旧-办公设备(软件)        </t>
  </si>
  <si>
    <t>1210-1460</t>
  </si>
  <si>
    <t xml:space="preserve"> 累计折旧-办公设备（电脑）      </t>
  </si>
  <si>
    <t>Other tangible fixed assets-Accumulated depreciation</t>
  </si>
  <si>
    <t>1210-1510</t>
  </si>
  <si>
    <t xml:space="preserve"> 累计折旧-其它                  </t>
  </si>
  <si>
    <t>1210-1520</t>
  </si>
  <si>
    <t>Forklift</t>
  </si>
  <si>
    <t>Hard tools-Accumulated depreciation</t>
  </si>
  <si>
    <t>1210-1610</t>
  </si>
  <si>
    <t xml:space="preserve"> 累计折旧-模具                  </t>
  </si>
  <si>
    <t>Vehicles-Accumulated depreciation</t>
  </si>
  <si>
    <t>1210-1810</t>
  </si>
  <si>
    <t xml:space="preserve"> 累计折旧-车辆                  </t>
  </si>
  <si>
    <t>1210-1910</t>
  </si>
  <si>
    <t xml:space="preserve"> 固定资产清理                   </t>
  </si>
  <si>
    <t>1210-1960</t>
  </si>
  <si>
    <t xml:space="preserve"> 固定资产减值准备               </t>
  </si>
  <si>
    <t>Customer tools to be reimbursed</t>
  </si>
  <si>
    <t>1220-1110</t>
  </si>
  <si>
    <t xml:space="preserve"> 库存商品-客户模具              </t>
  </si>
  <si>
    <t>1220-1115</t>
  </si>
  <si>
    <t xml:space="preserve"> 结转库存商品-客户模具          </t>
  </si>
  <si>
    <t>1220-1120</t>
  </si>
  <si>
    <t xml:space="preserve"> Roof panel prep.prod. tooling  </t>
  </si>
  <si>
    <t>1220-1140</t>
  </si>
  <si>
    <t xml:space="preserve"> Cust Contribution-Tooling      </t>
  </si>
  <si>
    <t>Loans receivable intercompany</t>
  </si>
  <si>
    <t>1330-1050</t>
  </si>
  <si>
    <t xml:space="preserve"> ICA - Group                    </t>
  </si>
  <si>
    <t>1330-1850</t>
  </si>
  <si>
    <t xml:space="preserve"> ICA - China - Shanghai CMC     </t>
  </si>
  <si>
    <t>Net deferred tax liabilities (assets)</t>
  </si>
  <si>
    <t>1340-1110</t>
  </si>
  <si>
    <t xml:space="preserve"> Deferred  taxes assets         </t>
  </si>
  <si>
    <t>递延</t>
  </si>
  <si>
    <t>Deposits and other non-current assets</t>
  </si>
  <si>
    <t>1360-1210</t>
  </si>
  <si>
    <t xml:space="preserve"> Other financial fixed assets   </t>
  </si>
  <si>
    <t>Raw materials and consumables</t>
  </si>
  <si>
    <t>1500-1100</t>
  </si>
  <si>
    <t xml:space="preserve"> 原材料-物流仓库(Y100)          </t>
  </si>
  <si>
    <t>1500-1101</t>
  </si>
  <si>
    <t xml:space="preserve"> 原材料-工程仓库(Y601)          </t>
  </si>
  <si>
    <t>1500-1102</t>
  </si>
  <si>
    <t xml:space="preserve"> 原材料-物流售后件（Y109）      </t>
  </si>
  <si>
    <t>1500-1103</t>
  </si>
  <si>
    <t xml:space="preserve"> 原材料-品质仓库(Y501)          </t>
  </si>
  <si>
    <t>1500-1104</t>
  </si>
  <si>
    <t xml:space="preserve"> 原材料-外部仓库(Y101)          </t>
  </si>
  <si>
    <t>1500-1105</t>
  </si>
  <si>
    <t xml:space="preserve"> 原材料-生产车间(Y200)          </t>
  </si>
  <si>
    <t>1500-1106</t>
  </si>
  <si>
    <t xml:space="preserve"> 原材料-外部精益物流仓库(Y102)  </t>
  </si>
  <si>
    <t>1500-1107</t>
  </si>
  <si>
    <t xml:space="preserve"> 原材料-外部精益物流中转库Y103  </t>
  </si>
  <si>
    <t>1500-1110</t>
  </si>
  <si>
    <t xml:space="preserve"> 原材料-三方专用仓库（Y505)     </t>
  </si>
  <si>
    <t>1500-1300</t>
  </si>
  <si>
    <t xml:space="preserve"> Stock raw material manual Adj. </t>
  </si>
  <si>
    <t>Work in progress</t>
  </si>
  <si>
    <t>1510-1105</t>
  </si>
  <si>
    <t xml:space="preserve"> 半成品-玻璃(Y300)              </t>
  </si>
  <si>
    <t>1510-1107</t>
  </si>
  <si>
    <t>在产品 - 过渡科目</t>
  </si>
  <si>
    <t>Finished products</t>
  </si>
  <si>
    <t>1520-1100</t>
  </si>
  <si>
    <t xml:space="preserve"> 产成品-待检验库(Y400)          </t>
  </si>
  <si>
    <t>1520-1101</t>
  </si>
  <si>
    <t xml:space="preserve"> 产成品-烟台仓库（Y401）        </t>
  </si>
  <si>
    <t>1520-1102</t>
  </si>
  <si>
    <t>产成品 - 成品外库</t>
  </si>
  <si>
    <t>1520-1104</t>
  </si>
  <si>
    <t xml:space="preserve"> 产成品-沈阳仓库(Y700)          </t>
  </si>
  <si>
    <t>1520-1105</t>
  </si>
  <si>
    <t xml:space="preserve"> 产成品-广州仓库(Y701)          </t>
  </si>
  <si>
    <t>1520-1106</t>
  </si>
  <si>
    <t xml:space="preserve"> 产成品-宁波仓库(Y702)          </t>
  </si>
  <si>
    <t>1520-1107</t>
  </si>
  <si>
    <t xml:space="preserve"> 产成品-不良成品待修库(Y504)    </t>
  </si>
  <si>
    <t>1520-1108</t>
  </si>
  <si>
    <t xml:space="preserve"> 产成品-无锡仓库（Y705）        </t>
  </si>
  <si>
    <t>1520-1109</t>
  </si>
  <si>
    <t xml:space="preserve"> 产成品-成都仓库(Y703)          </t>
  </si>
  <si>
    <t>1520-1110</t>
  </si>
  <si>
    <t xml:space="preserve"> 产成品-常熟仓库(Y704)          </t>
  </si>
  <si>
    <t>1520-1111</t>
  </si>
  <si>
    <t xml:space="preserve"> 产成品-沈阳仓库-chevrolet(Y706 </t>
  </si>
  <si>
    <t>1520-1113</t>
  </si>
  <si>
    <t xml:space="preserve"> 产成品-北京仓库（Y708）        </t>
  </si>
  <si>
    <t>1520-1114</t>
  </si>
  <si>
    <t xml:space="preserve"> 产成品-外部精益物流仓库(Y709)  </t>
  </si>
  <si>
    <t>1520-1115</t>
  </si>
  <si>
    <t xml:space="preserve"> 产成品-株洲仓库(Y710)          </t>
  </si>
  <si>
    <t>1520-1117</t>
  </si>
  <si>
    <t xml:space="preserve"> 产成品-上海仓库（Y712）        </t>
  </si>
  <si>
    <t>1520-1120</t>
  </si>
  <si>
    <t>产成品-广州三方仓R703</t>
  </si>
  <si>
    <t>1520-1121</t>
  </si>
  <si>
    <t>1520-1122</t>
  </si>
  <si>
    <t>1520-1123</t>
  </si>
  <si>
    <t>1520-1300</t>
  </si>
  <si>
    <t xml:space="preserve"> 委托加工材料（Y800）           </t>
  </si>
  <si>
    <t>1520-1500</t>
  </si>
  <si>
    <t xml:space="preserve"> 发出商品                       </t>
  </si>
  <si>
    <t>Provision for obsolete finished products</t>
  </si>
  <si>
    <t>1520-1700</t>
  </si>
  <si>
    <t xml:space="preserve"> 存货跌价准备                   </t>
  </si>
  <si>
    <t>1520-1800</t>
  </si>
  <si>
    <t xml:space="preserve"> 产成品-制造费用分摊            </t>
  </si>
  <si>
    <t>Trade debtors products, services &amp; spare parts</t>
  </si>
  <si>
    <t>1600-1100</t>
  </si>
  <si>
    <t xml:space="preserve"> 应收账款-非关联公司            </t>
  </si>
  <si>
    <t>Receivables intercompany</t>
  </si>
  <si>
    <t>1600-1110</t>
  </si>
  <si>
    <t xml:space="preserve"> Salesdebtors A/R intercompany  </t>
  </si>
  <si>
    <t>应收-模具</t>
  </si>
  <si>
    <t>Receivables intercompany ICA</t>
  </si>
  <si>
    <t>1620-1500</t>
  </si>
  <si>
    <t xml:space="preserve"> ICA - China - Yantai 未开票</t>
  </si>
  <si>
    <t>1600-1105</t>
  </si>
  <si>
    <t>SalesdebtorsA/R</t>
  </si>
  <si>
    <t>应收暂估</t>
  </si>
  <si>
    <t>Provision for doubtful trade debtors</t>
  </si>
  <si>
    <t>1600-1650</t>
  </si>
  <si>
    <t xml:space="preserve"> 未分配收款                     </t>
  </si>
  <si>
    <t>1600-1600</t>
  </si>
  <si>
    <t xml:space="preserve"> 坏账准备                       </t>
  </si>
  <si>
    <t>坏帐准备</t>
  </si>
  <si>
    <t>1620-1050</t>
  </si>
  <si>
    <t xml:space="preserve"> 应收账款-关联公司(Group)       </t>
  </si>
  <si>
    <t>1620-1100</t>
  </si>
  <si>
    <t xml:space="preserve"> 应收账款-关联公司(B.V.)        </t>
  </si>
  <si>
    <t>1620-1350</t>
  </si>
  <si>
    <t xml:space="preserve"> 应收账款-关联公司(USA)         </t>
  </si>
  <si>
    <t>1620-1450</t>
  </si>
  <si>
    <t xml:space="preserve"> 应收账款-关联公司(Korea)       </t>
  </si>
  <si>
    <t>1620-1550</t>
  </si>
  <si>
    <t xml:space="preserve"> Ica - china - chongqing        </t>
  </si>
  <si>
    <t>1620-1570</t>
  </si>
  <si>
    <t xml:space="preserve"> ICA - China Bejing             </t>
  </si>
  <si>
    <t>1620-1600</t>
  </si>
  <si>
    <t xml:space="preserve"> 应收账款-关联公司(Langfang)    </t>
  </si>
  <si>
    <t>1620-1620</t>
  </si>
  <si>
    <t xml:space="preserve"> ICA - China - Guangzhou        </t>
  </si>
  <si>
    <t>1620-1640</t>
  </si>
  <si>
    <t xml:space="preserve"> Ica - china - changchun branch </t>
  </si>
  <si>
    <t>1620-1560</t>
  </si>
  <si>
    <t xml:space="preserve"> Ica - china - shanghai         </t>
  </si>
  <si>
    <t>1620-1900</t>
  </si>
  <si>
    <t xml:space="preserve"> 应收账款-关联公司(Shanghai CMC </t>
  </si>
  <si>
    <t>Other receivables</t>
  </si>
  <si>
    <t>1640-1110</t>
  </si>
  <si>
    <t xml:space="preserve"> 其他应收款                     </t>
  </si>
  <si>
    <t>1640-1115</t>
  </si>
  <si>
    <t xml:space="preserve"> Other rec. - temporary         </t>
  </si>
  <si>
    <t>1640-1205</t>
  </si>
  <si>
    <t>Advancedmoneyotherexpenses</t>
  </si>
  <si>
    <t>Prepaid expenses</t>
  </si>
  <si>
    <t>1650-1110</t>
  </si>
  <si>
    <t xml:space="preserve"> Prepaid expenses               </t>
  </si>
  <si>
    <t>Cash &amp; cash equivalents</t>
  </si>
  <si>
    <t>1700-1101</t>
  </si>
  <si>
    <t xml:space="preserve"> 工商银行-人民币户              </t>
  </si>
  <si>
    <t>1700-1102</t>
  </si>
  <si>
    <t xml:space="preserve"> 工商银行-工会户                </t>
  </si>
  <si>
    <t>1700-1110</t>
  </si>
  <si>
    <t xml:space="preserve"> 工商银行一般户-欧元            </t>
  </si>
  <si>
    <t>1700-1111</t>
  </si>
  <si>
    <t xml:space="preserve"> 工商银行一般户-美元            </t>
  </si>
  <si>
    <t>1700-1123</t>
  </si>
  <si>
    <t xml:space="preserve"> 德意志银行-放款户              </t>
  </si>
  <si>
    <t>1700-1112</t>
  </si>
  <si>
    <t xml:space="preserve"> 德意志银行-人民币户            </t>
  </si>
  <si>
    <t>1700-1116</t>
  </si>
  <si>
    <t xml:space="preserve"> 德意志银行-人民币户（3015）    </t>
  </si>
  <si>
    <t>1700-1155</t>
  </si>
  <si>
    <t xml:space="preserve"> BEIQI FIN CENTER               </t>
  </si>
  <si>
    <t>1700-1190</t>
  </si>
  <si>
    <t xml:space="preserve"> BOC-Basic-CNY                  </t>
  </si>
  <si>
    <t>1700-1193</t>
  </si>
  <si>
    <t xml:space="preserve"> BCM-General-CNY                </t>
  </si>
  <si>
    <t>1700-1211</t>
  </si>
  <si>
    <t xml:space="preserve"> 中国银行-人民币户              </t>
  </si>
  <si>
    <t>1700-1300</t>
  </si>
  <si>
    <t xml:space="preserve"> 结转汇率中转户                 </t>
  </si>
  <si>
    <t>1700-1500</t>
  </si>
  <si>
    <t xml:space="preserve"> 应收票据                       </t>
  </si>
  <si>
    <t>1700-1600</t>
  </si>
  <si>
    <t xml:space="preserve"> 预付账款                       </t>
  </si>
  <si>
    <t>1700-1700</t>
  </si>
  <si>
    <t xml:space="preserve"> 待分配费用                     </t>
  </si>
  <si>
    <t>1700-1900</t>
  </si>
  <si>
    <t xml:space="preserve"> Cash corr. Debit/Credit        </t>
  </si>
  <si>
    <t>Share capital</t>
  </si>
  <si>
    <t>2100-1110</t>
  </si>
  <si>
    <t xml:space="preserve"> 股东所有者权益                 </t>
  </si>
  <si>
    <t>Legal reserve capitalized R&amp;D costs</t>
  </si>
  <si>
    <t>2100-1210</t>
  </si>
  <si>
    <t xml:space="preserve"> Legal  reserves                </t>
  </si>
  <si>
    <t>Retained  earnings</t>
  </si>
  <si>
    <t>2100-1410</t>
  </si>
  <si>
    <t xml:space="preserve"> 未分配利润                     </t>
  </si>
  <si>
    <t>2100-1520</t>
  </si>
  <si>
    <t xml:space="preserve"> 以前年度损益调整               </t>
  </si>
  <si>
    <t>3110-1110</t>
  </si>
  <si>
    <t xml:space="preserve"> Deferred taxes liabilities     </t>
  </si>
  <si>
    <t>Warranty provisions</t>
  </si>
  <si>
    <t>3130-1005</t>
  </si>
  <si>
    <t xml:space="preserve"> 预提费用-质量保证金            </t>
  </si>
  <si>
    <t>3130-1015</t>
  </si>
  <si>
    <t xml:space="preserve"> Deductionscustomerreturns      </t>
  </si>
  <si>
    <t>3130-1030</t>
  </si>
  <si>
    <t xml:space="preserve"> 0公里索赔费用                  </t>
  </si>
  <si>
    <t>Term loans</t>
  </si>
  <si>
    <t>3200-1101</t>
  </si>
  <si>
    <t xml:space="preserve"> 短期贷款-人民币                </t>
  </si>
  <si>
    <t>贷款</t>
  </si>
  <si>
    <t>Loans payable intercompany</t>
  </si>
  <si>
    <t>3220-1900</t>
  </si>
  <si>
    <t xml:space="preserve"> ICA-China-Shang CMC            </t>
  </si>
  <si>
    <t>Net income tax liabilities (assets)</t>
  </si>
  <si>
    <t>3500-1110</t>
  </si>
  <si>
    <t xml:space="preserve"> 应交税金-企业所得税            </t>
  </si>
  <si>
    <t>VAT, other taxes and social security contributions payable</t>
  </si>
  <si>
    <t>3510-1123</t>
  </si>
  <si>
    <t xml:space="preserve"> 应交税金-已交税金              </t>
  </si>
  <si>
    <t>3510-1124</t>
  </si>
  <si>
    <t xml:space="preserve"> 应交税金-出口退税              </t>
  </si>
  <si>
    <t>应交税费-出口退税</t>
  </si>
  <si>
    <t>3510-1125</t>
  </si>
  <si>
    <t xml:space="preserve"> 应交税金-进项税金转出          </t>
  </si>
  <si>
    <t>3510-1210</t>
  </si>
  <si>
    <t xml:space="preserve"> 应交税金-进项税                </t>
  </si>
  <si>
    <t>3510-1310</t>
  </si>
  <si>
    <t xml:space="preserve"> 应交税金-销项税                </t>
  </si>
  <si>
    <t>3510-1410</t>
  </si>
  <si>
    <t xml:space="preserve"> 应交税金-代扣代缴增值税        </t>
  </si>
  <si>
    <t>应交税费-代扣代交增值税</t>
  </si>
  <si>
    <t>3510-1411</t>
  </si>
  <si>
    <t xml:space="preserve"> 应交税金-个人所得税            </t>
  </si>
  <si>
    <t>3510-1501</t>
  </si>
  <si>
    <t xml:space="preserve"> SalaryTax                      </t>
  </si>
  <si>
    <t>3510-1521</t>
  </si>
  <si>
    <t xml:space="preserve"> 应交税金-教育费附加            </t>
  </si>
  <si>
    <t>3510-1522</t>
  </si>
  <si>
    <t xml:space="preserve"> 应交税金-水利建设基金          </t>
  </si>
  <si>
    <t>3510-1524</t>
  </si>
  <si>
    <t xml:space="preserve"> 应交税金-地方教育费附加        </t>
  </si>
  <si>
    <t>3510-1525</t>
  </si>
  <si>
    <t xml:space="preserve"> 应交税金-出口转内销            </t>
  </si>
  <si>
    <t>应交税费-出口抵减内销应纳税额</t>
  </si>
  <si>
    <t>3510-1527</t>
  </si>
  <si>
    <t xml:space="preserve"> 应交税金-房产税                </t>
  </si>
  <si>
    <t>3510-1528</t>
  </si>
  <si>
    <t xml:space="preserve"> 应交税金-土地使用税            </t>
  </si>
  <si>
    <t>3510-1529</t>
  </si>
  <si>
    <t xml:space="preserve"> 应交税金-印花税                </t>
  </si>
  <si>
    <t>3510-1530</t>
  </si>
  <si>
    <t xml:space="preserve"> 应交税金-城市维护建设税        </t>
  </si>
  <si>
    <t>Trade creditors operating</t>
  </si>
  <si>
    <t>3600-1100</t>
  </si>
  <si>
    <t xml:space="preserve"> 应付账款-非关联方              </t>
  </si>
  <si>
    <t>3600-1103</t>
  </si>
  <si>
    <t xml:space="preserve"> TentativeA/P                   </t>
  </si>
  <si>
    <t>3600-1109</t>
  </si>
  <si>
    <t xml:space="preserve"> 临时中转户                     </t>
  </si>
  <si>
    <t>3600-1114</t>
  </si>
  <si>
    <t xml:space="preserve"> Goods to be invoiced           </t>
  </si>
  <si>
    <t>Liabilities intercompany</t>
  </si>
  <si>
    <t>3600-1115</t>
  </si>
  <si>
    <t xml:space="preserve"> A/P Intercompany               </t>
  </si>
  <si>
    <t>应付账款转资本性支出</t>
  </si>
  <si>
    <t>Trade creditors tools to be reimbursed</t>
  </si>
  <si>
    <t>3610-1110</t>
  </si>
  <si>
    <t xml:space="preserve"> Trade creditors  program capex </t>
  </si>
  <si>
    <t>Trade creditors machinery &amp; installations program</t>
  </si>
  <si>
    <t>3610-1210</t>
  </si>
  <si>
    <t>Liabilities intercompany ICA</t>
  </si>
  <si>
    <t>3700-1050</t>
  </si>
  <si>
    <t xml:space="preserve"> 应付账款-关联方(Group)         </t>
  </si>
  <si>
    <t>3700-1100</t>
  </si>
  <si>
    <t xml:space="preserve"> 应付账款-关联方(B.V.)          </t>
  </si>
  <si>
    <t>3700-1350</t>
  </si>
  <si>
    <t xml:space="preserve"> 应付账款-关联方(USA)           </t>
  </si>
  <si>
    <t>3700-1400</t>
  </si>
  <si>
    <t xml:space="preserve"> ICA - Mexico                   </t>
  </si>
  <si>
    <t>3700-1450</t>
  </si>
  <si>
    <t xml:space="preserve"> 应付账款-关联方(Korea)         </t>
  </si>
  <si>
    <t>3700-1500</t>
  </si>
  <si>
    <t xml:space="preserve"> Ica - china - yantai           </t>
  </si>
  <si>
    <t>3700-1550</t>
  </si>
  <si>
    <t xml:space="preserve"> 应付账款-关联方(Chongqing)     </t>
  </si>
  <si>
    <t>3700-1610</t>
  </si>
  <si>
    <t xml:space="preserve"> Ica - china - bejing           </t>
  </si>
  <si>
    <t>3700-1640</t>
  </si>
  <si>
    <t>3700-1900</t>
  </si>
  <si>
    <t xml:space="preserve"> 应付账款-关联方(Shanghai CMC)  </t>
  </si>
  <si>
    <t>Other liabilities</t>
  </si>
  <si>
    <t>3900-1110</t>
  </si>
  <si>
    <t xml:space="preserve"> 其他应付款                     </t>
  </si>
  <si>
    <t>3900-1310</t>
  </si>
  <si>
    <t xml:space="preserve"> 预收账款                       </t>
  </si>
  <si>
    <t>3900-1410</t>
  </si>
  <si>
    <t>其他应付款 - 应付账款过渡科目，期末结零</t>
  </si>
  <si>
    <t>3900-1510</t>
  </si>
  <si>
    <t xml:space="preserve"> 应付账款-发票匹配中转户        </t>
  </si>
  <si>
    <t>3900-1610</t>
  </si>
  <si>
    <t>3900-1704</t>
  </si>
  <si>
    <t xml:space="preserve"> 预提工资                       </t>
  </si>
  <si>
    <t>3900-1706</t>
  </si>
  <si>
    <t xml:space="preserve"> 预提奖金                       </t>
  </si>
  <si>
    <t>Accrued expenses</t>
  </si>
  <si>
    <t>3900-1712</t>
  </si>
  <si>
    <t xml:space="preserve"> 预提费用-其他                  </t>
  </si>
  <si>
    <t>3900-1736</t>
  </si>
  <si>
    <t xml:space="preserve"> Provision employee bonus       </t>
  </si>
  <si>
    <t>3900-1780</t>
  </si>
  <si>
    <t xml:space="preserve"> Capex commitments              </t>
  </si>
  <si>
    <t>3900-1788</t>
  </si>
  <si>
    <t xml:space="preserve"> Accrual commercial pressure    </t>
  </si>
  <si>
    <t>Gross sales programs 3rd parties</t>
  </si>
  <si>
    <t>4100-1010</t>
  </si>
  <si>
    <t xml:space="preserve"> 主营业务收入-内销              </t>
  </si>
  <si>
    <t>主营业务收入-一汽红旗</t>
  </si>
  <si>
    <t>4100-1011</t>
  </si>
  <si>
    <t xml:space="preserve"> 主营业务收入-外销（非关联公司  </t>
  </si>
  <si>
    <t>4100-1012</t>
  </si>
  <si>
    <t xml:space="preserve"> 主营业务收入-调整              </t>
  </si>
  <si>
    <t>Sales R&amp;D</t>
  </si>
  <si>
    <t>4100-1020</t>
  </si>
  <si>
    <t xml:space="preserve"> Sales - Production Manual book </t>
  </si>
  <si>
    <t>4100-3010</t>
  </si>
  <si>
    <t xml:space="preserve"> 收入中转户                     </t>
  </si>
  <si>
    <t>Sales service/spare parts 3rd parties</t>
  </si>
  <si>
    <t>4200-1010</t>
  </si>
  <si>
    <t xml:space="preserve"> 主营业务收入-售后件（内销）    </t>
  </si>
  <si>
    <t>4200-1011</t>
  </si>
  <si>
    <t xml:space="preserve"> 主营业务收入-售后件（外销）    </t>
  </si>
  <si>
    <t>4200-1012</t>
  </si>
  <si>
    <t>主营业务收入-售后件（外销）</t>
  </si>
  <si>
    <t>Sales intercompany</t>
  </si>
  <si>
    <t>4300-1010</t>
  </si>
  <si>
    <t xml:space="preserve"> Ica - group                    </t>
  </si>
  <si>
    <t>4300-1260</t>
  </si>
  <si>
    <t xml:space="preserve"> Ica - china - cmc              </t>
  </si>
  <si>
    <t>4300-1310</t>
  </si>
  <si>
    <t xml:space="preserve"> 主营业务收入-外销（关联公司USA </t>
  </si>
  <si>
    <t>4300-1560</t>
  </si>
  <si>
    <t xml:space="preserve"> 主营业务收入-内销（关联公司廊&gt; </t>
  </si>
  <si>
    <t>4300-1460</t>
  </si>
  <si>
    <t>ICA - China - Yantai</t>
  </si>
  <si>
    <t>4300-1510</t>
  </si>
  <si>
    <t>4300-1610</t>
  </si>
  <si>
    <t>4300-1660</t>
  </si>
  <si>
    <t xml:space="preserve"> ICA - China - Shanghai         </t>
  </si>
  <si>
    <t>Rebates on sales programs 3rd parties</t>
  </si>
  <si>
    <t>4300-1680</t>
  </si>
  <si>
    <t xml:space="preserve"> 主营业务收入-内销（关联公司广&gt; </t>
  </si>
  <si>
    <t>4500-1010</t>
  </si>
  <si>
    <t xml:space="preserve"> Sales deduction - customer     </t>
  </si>
  <si>
    <t>4500-1015</t>
  </si>
  <si>
    <t xml:space="preserve"> Sales-raw material compensatio </t>
  </si>
  <si>
    <t>4500-3010</t>
  </si>
  <si>
    <t>Direct material cost programs</t>
  </si>
  <si>
    <t>5110-1010</t>
  </si>
  <si>
    <t xml:space="preserve"> 销售成本-原材料                </t>
  </si>
  <si>
    <t>5110-2010</t>
  </si>
  <si>
    <t>销售成本-原材料</t>
  </si>
  <si>
    <t>5110-1012</t>
  </si>
  <si>
    <t>销售成本-原材料（IHR内部交易）</t>
  </si>
  <si>
    <t>Freight &amp; duties programs</t>
  </si>
  <si>
    <t>5110-3010</t>
  </si>
  <si>
    <t xml:space="preserve"> 销售成本-来料运费              </t>
  </si>
  <si>
    <t>5110-3020</t>
  </si>
  <si>
    <t xml:space="preserve"> 销售成本-销售运费              </t>
  </si>
  <si>
    <t>5110-4010</t>
  </si>
  <si>
    <t xml:space="preserve"> 销售成本-来料关税              </t>
  </si>
  <si>
    <t>Direct material cost service/spare parts</t>
  </si>
  <si>
    <t>5120-1010</t>
  </si>
  <si>
    <t xml:space="preserve"> 销售成本-服务件-原材料         </t>
  </si>
  <si>
    <t>Freight &amp; duties service/spare parts</t>
  </si>
  <si>
    <t>5120-1011</t>
  </si>
  <si>
    <t xml:space="preserve"> 销售成本-服务件-来料运费       </t>
  </si>
  <si>
    <t>5120-1012</t>
    <phoneticPr fontId="12" type="noConversion"/>
  </si>
  <si>
    <t xml:space="preserve"> 销售成本-服务件-销售运费       </t>
    <phoneticPr fontId="12" type="noConversion"/>
  </si>
  <si>
    <t>5120-1013</t>
  </si>
  <si>
    <t xml:space="preserve"> 销售成本-服务件-来料关税       </t>
  </si>
  <si>
    <t>Direct labour cost service/spare parts</t>
  </si>
  <si>
    <t>5120-1014</t>
  </si>
  <si>
    <t xml:space="preserve"> 销售成本-服务件-人工费         </t>
  </si>
  <si>
    <t>Direct labour costs programs</t>
  </si>
  <si>
    <t>5150-1010</t>
  </si>
  <si>
    <t xml:space="preserve"> 销售成本-生产工人工资          </t>
  </si>
  <si>
    <t>5150-2010</t>
  </si>
  <si>
    <t>5160-1010</t>
  </si>
  <si>
    <t>销售成本-服务件-人工费</t>
  </si>
  <si>
    <t>5210-1010</t>
  </si>
  <si>
    <t xml:space="preserve"> 原材料差异-采购差异            </t>
  </si>
  <si>
    <t>5210-1012</t>
  </si>
  <si>
    <t xml:space="preserve"> Price diff. manual corrections </t>
  </si>
  <si>
    <t>Purchase (lumpsum payments)</t>
  </si>
  <si>
    <t>5210-1015</t>
  </si>
  <si>
    <t xml:space="preserve"> Purch. Variance Lump-sum paym. </t>
  </si>
  <si>
    <t>PPV- commercial – structural (for additional LTA)</t>
  </si>
  <si>
    <t>5210-1025</t>
  </si>
  <si>
    <t>Rawmat diff pur discnt company</t>
  </si>
  <si>
    <t>5210-1020</t>
  </si>
  <si>
    <t>原材料差异-LTA Surcharge</t>
  </si>
  <si>
    <t>Purchase (VAVE)</t>
  </si>
  <si>
    <t>5210-2010</t>
  </si>
  <si>
    <t xml:space="preserve"> Purchase variance - VAVE       </t>
  </si>
  <si>
    <t>Material (scrap)</t>
  </si>
  <si>
    <t>5230-2010</t>
  </si>
  <si>
    <t xml:space="preserve"> 生产成本-材料损耗              </t>
  </si>
  <si>
    <t>5230-3010</t>
  </si>
  <si>
    <t xml:space="preserve"> Cover for Scrap                </t>
  </si>
  <si>
    <t>5230-3001</t>
  </si>
  <si>
    <t xml:space="preserve"> Scrap sales                    </t>
  </si>
  <si>
    <t>5230-3002</t>
  </si>
  <si>
    <t xml:space="preserve"> Scrap destructieve control     </t>
  </si>
  <si>
    <t>5230-3003</t>
  </si>
  <si>
    <t xml:space="preserve"> Scrap logistics                </t>
  </si>
  <si>
    <t>5230-3004</t>
  </si>
  <si>
    <t xml:space="preserve"> Scrap production               </t>
  </si>
  <si>
    <t>5230-3005</t>
  </si>
  <si>
    <t xml:space="preserve"> Scrap supplier                 </t>
  </si>
  <si>
    <t>5230-3007</t>
  </si>
  <si>
    <t xml:space="preserve"> Scrap out of wijco             </t>
  </si>
  <si>
    <t>5230-3009</t>
  </si>
  <si>
    <t xml:space="preserve"> Scrap projects                 </t>
  </si>
  <si>
    <t>Material (Rework)</t>
  </si>
  <si>
    <t>5240-1010</t>
  </si>
  <si>
    <t xml:space="preserve"> 生产成本-返修费                </t>
  </si>
  <si>
    <t>5240-1050</t>
  </si>
  <si>
    <t xml:space="preserve"> Rework 3rd party on material   </t>
  </si>
  <si>
    <t>5240-2010</t>
  </si>
  <si>
    <t xml:space="preserve"> Invoiced Rework costs supplier </t>
  </si>
  <si>
    <t>5240-4020</t>
  </si>
  <si>
    <t xml:space="preserve"> 0 km returned roofs customer   </t>
  </si>
  <si>
    <t>Material (supplies)</t>
  </si>
  <si>
    <t>5250-1100</t>
  </si>
  <si>
    <t xml:space="preserve"> Bom-Differences                </t>
  </si>
  <si>
    <t>5250-2010</t>
  </si>
  <si>
    <t>Roof - prep   (IHR)</t>
  </si>
  <si>
    <t>Launch-Material Cost</t>
  </si>
  <si>
    <t>5215-1010</t>
  </si>
  <si>
    <t>Launch-MaterialCost</t>
  </si>
  <si>
    <t>Labour efficiency</t>
  </si>
  <si>
    <t>5260-1000</t>
  </si>
  <si>
    <t xml:space="preserve"> Salaries direct                </t>
  </si>
  <si>
    <t>5260-1100</t>
  </si>
  <si>
    <t>正式-OT</t>
  </si>
  <si>
    <t>5260-1200</t>
  </si>
  <si>
    <t xml:space="preserve"> Bonus                          </t>
  </si>
  <si>
    <t>5260-1250</t>
  </si>
  <si>
    <t xml:space="preserve"> Salaries temp. personnel       </t>
  </si>
  <si>
    <t>5260-1450</t>
  </si>
  <si>
    <t xml:space="preserve"> 生产成本-工人成本差异          </t>
  </si>
  <si>
    <t>5260-1504</t>
  </si>
  <si>
    <t xml:space="preserve"> 生产成本-养老保险和公积金      </t>
  </si>
  <si>
    <t>5260-1520</t>
  </si>
  <si>
    <t>Production Direct</t>
  </si>
  <si>
    <t>福利</t>
  </si>
  <si>
    <t>5260-1533</t>
  </si>
  <si>
    <t>工作餐（ 含其他来访者用餐）</t>
  </si>
  <si>
    <t>5260-1516</t>
  </si>
  <si>
    <t>Lease cars personnel</t>
  </si>
  <si>
    <t>5260-1551</t>
  </si>
  <si>
    <t xml:space="preserve"> coveringhandlingcosts          </t>
  </si>
  <si>
    <t>5260-1730</t>
  </si>
  <si>
    <t xml:space="preserve"> Rework/TRI hrs R01 comp.design </t>
  </si>
  <si>
    <t>Launch-Labor Cost</t>
  </si>
  <si>
    <t>5215-1020</t>
  </si>
  <si>
    <t>Launch-LaborCost</t>
  </si>
  <si>
    <t>Freight &amp; duties (standard)</t>
  </si>
  <si>
    <t>5270-1010</t>
  </si>
  <si>
    <t xml:space="preserve"> 生产成本-来料运费差异          </t>
  </si>
  <si>
    <t>5270-1030</t>
  </si>
  <si>
    <t xml:space="preserve"> 生产成本-关税差异              </t>
  </si>
  <si>
    <t>5270-2010</t>
  </si>
  <si>
    <t xml:space="preserve"> 生产成本-销售运费差异          </t>
  </si>
  <si>
    <t>Freight &amp; duties (premium)</t>
  </si>
  <si>
    <t xml:space="preserve"> 生产成本-销售运费</t>
  </si>
  <si>
    <t>Inventory revaluation (standard)</t>
  </si>
  <si>
    <t>5280-1010</t>
  </si>
  <si>
    <t xml:space="preserve"> 生产成本-库存价值重估          </t>
  </si>
  <si>
    <t>Inventory adjustment (stock count)</t>
  </si>
  <si>
    <t>5290-1010</t>
  </si>
  <si>
    <t xml:space="preserve"> 生产成本-生产补领料            </t>
  </si>
  <si>
    <t>5290-1011</t>
  </si>
  <si>
    <t xml:space="preserve"> 生产成本-生产补领料(901)       </t>
  </si>
  <si>
    <t>31310</t>
  </si>
  <si>
    <t>5290-1012</t>
  </si>
  <si>
    <t xml:space="preserve"> Prod cost - temp               </t>
  </si>
  <si>
    <t>Change in provision for obsolete raw materials and consumables</t>
  </si>
  <si>
    <t>5290-5010</t>
  </si>
  <si>
    <t>prov.obsoleterawmaterials</t>
  </si>
  <si>
    <t>Change in provision for obsolete finished products</t>
  </si>
  <si>
    <t>5290-5030</t>
  </si>
  <si>
    <t>prov.obsolete finished goods</t>
  </si>
  <si>
    <t>5800-1010</t>
  </si>
  <si>
    <t xml:space="preserve"> sales R&amp;D              </t>
  </si>
  <si>
    <t>Sales tooling</t>
  </si>
  <si>
    <t>5800-2010</t>
  </si>
  <si>
    <t xml:space="preserve"> 其他业务收入-模具              </t>
  </si>
  <si>
    <t>5800-1020</t>
  </si>
  <si>
    <t xml:space="preserve"> 营业外收入                     </t>
  </si>
  <si>
    <t>Costs of sales R&amp;D</t>
  </si>
  <si>
    <t>5900-1010</t>
  </si>
  <si>
    <t xml:space="preserve"> Cost of sales R&amp;D              </t>
  </si>
  <si>
    <t>5900-1020</t>
  </si>
  <si>
    <t xml:space="preserve"> 营业外支出                     </t>
  </si>
  <si>
    <t>Cost of sales tooling</t>
  </si>
  <si>
    <t>5900-2010</t>
  </si>
  <si>
    <t xml:space="preserve"> 其他业务成本-模具              </t>
  </si>
  <si>
    <t>Depreciation machinery &amp; installation generic</t>
  </si>
  <si>
    <t>6100-1210</t>
  </si>
  <si>
    <t xml:space="preserve"> 折旧费用-生产设备（公用）      </t>
  </si>
  <si>
    <t>6100-1510</t>
  </si>
  <si>
    <t xml:space="preserve"> 折旧费用-其它                  </t>
  </si>
  <si>
    <t>6100-1520</t>
  </si>
  <si>
    <t>折旧费用-其它(叉车)</t>
  </si>
  <si>
    <t>6100-1610</t>
  </si>
  <si>
    <t xml:space="preserve"> Dep. exp - tooling             </t>
  </si>
  <si>
    <t>Depreciation hard tools</t>
  </si>
  <si>
    <t>6100-2010</t>
  </si>
  <si>
    <t xml:space="preserve"> Depreciation Tools             </t>
  </si>
  <si>
    <t>Depreciation machinery &amp; installation programs</t>
  </si>
  <si>
    <t>6100-3010</t>
  </si>
  <si>
    <t xml:space="preserve"> Depreciation Machines Projects </t>
  </si>
  <si>
    <t>Depreciation buildings</t>
  </si>
  <si>
    <t>6100-3410</t>
  </si>
  <si>
    <t xml:space="preserve"> Depreciation buildings         </t>
  </si>
  <si>
    <t>Depreciation IT &amp; office equipment</t>
  </si>
  <si>
    <t>6100-3510</t>
  </si>
  <si>
    <t xml:space="preserve"> Depreciation IT+off.eq.        </t>
  </si>
  <si>
    <t>Depreciation vehicles</t>
  </si>
  <si>
    <t>6100-3610</t>
  </si>
  <si>
    <t xml:space="preserve"> Depreciation vehicles          </t>
  </si>
  <si>
    <t>Depreciation other tangible fixed assets</t>
  </si>
  <si>
    <t>6100-4010</t>
  </si>
  <si>
    <t xml:space="preserve"> Depreciation Other (ind. Manuf </t>
  </si>
  <si>
    <t>Amortization capitalized R&amp;D</t>
  </si>
  <si>
    <t>6100-5010</t>
  </si>
  <si>
    <t xml:space="preserve"> 制造费用-项目研发费摊销        </t>
  </si>
  <si>
    <t>Depreciation land</t>
  </si>
  <si>
    <t>6100-6015</t>
  </si>
  <si>
    <t xml:space="preserve"> 管理及销售-无形资产摊销        </t>
  </si>
  <si>
    <t>Impairment capitalized R&amp;D</t>
  </si>
  <si>
    <t>6100-9500</t>
  </si>
  <si>
    <t xml:space="preserve"> impairment capitalized R&amp;D     </t>
  </si>
  <si>
    <t>Impairment machinery &amp; installation programs</t>
  </si>
  <si>
    <t>6100-9630</t>
  </si>
  <si>
    <t xml:space="preserve"> impairm.mach.&amp;install.program  </t>
  </si>
  <si>
    <t>Impairment hard tools</t>
  </si>
  <si>
    <t>6100-9640</t>
  </si>
  <si>
    <t xml:space="preserve"> impairment hard tools          </t>
  </si>
  <si>
    <t>Wages &amp; salaries</t>
  </si>
  <si>
    <t>6220-1001</t>
  </si>
  <si>
    <t>IMFOT</t>
  </si>
  <si>
    <t>6220-1002</t>
  </si>
  <si>
    <t xml:space="preserve"> 制造费用-工资                  </t>
  </si>
  <si>
    <t>6220-1005</t>
  </si>
  <si>
    <t>IMF13th</t>
  </si>
  <si>
    <t>6220-1010</t>
  </si>
  <si>
    <t xml:space="preserve"> 制造费用-奖金                  </t>
  </si>
  <si>
    <t>Social security and other benefits</t>
  </si>
  <si>
    <t>6220-2010</t>
  </si>
  <si>
    <t xml:space="preserve"> 制造费用-养老保险和公积金      </t>
  </si>
  <si>
    <t>6220-2017</t>
  </si>
  <si>
    <t xml:space="preserve"> Other allowances IMF           </t>
  </si>
  <si>
    <t>制造费用-其它福利</t>
  </si>
  <si>
    <t>Other personnel costs</t>
  </si>
  <si>
    <t>6220-3020</t>
  </si>
  <si>
    <t xml:space="preserve"> 制造费用-员工福利-劳保      </t>
  </si>
  <si>
    <t>6220-3030</t>
  </si>
  <si>
    <t xml:space="preserve"> 制造费用-公司车费              </t>
  </si>
  <si>
    <t>Training Cost</t>
  </si>
  <si>
    <t>6220-3050</t>
  </si>
  <si>
    <t xml:space="preserve"> Costs seminars                 </t>
  </si>
  <si>
    <t>6220-3070</t>
  </si>
  <si>
    <t xml:space="preserve"> 制造费用-培训费                </t>
  </si>
  <si>
    <t>6220-3090</t>
  </si>
  <si>
    <t xml:space="preserve"> 制造费用-员工福利</t>
  </si>
  <si>
    <t>6220-3150</t>
  </si>
  <si>
    <t xml:space="preserve"> 制造费用-招聘费                </t>
  </si>
  <si>
    <t>6220-3200</t>
  </si>
  <si>
    <t xml:space="preserve"> 制造费用-工作餐                </t>
  </si>
  <si>
    <t>Travel &amp; entertainment</t>
  </si>
  <si>
    <t>6230-1002</t>
  </si>
  <si>
    <t xml:space="preserve"> 制造费用-差旅费-住宿           </t>
  </si>
  <si>
    <t>6230-1004</t>
  </si>
  <si>
    <t xml:space="preserve"> 制造费用-业务招待费            </t>
  </si>
  <si>
    <t>6230-1006</t>
  </si>
  <si>
    <t xml:space="preserve"> 制造费用-差旅费-交通           </t>
  </si>
  <si>
    <t>Subscriptions &amp; seminars</t>
  </si>
  <si>
    <t>6230-1060</t>
  </si>
  <si>
    <t xml:space="preserve"> 制造费用-会务费                </t>
  </si>
  <si>
    <t>Telephone &amp; communications</t>
  </si>
  <si>
    <t>6230-1110</t>
  </si>
  <si>
    <t xml:space="preserve"> 制造费用-通讯费                </t>
  </si>
  <si>
    <t>Leasing expenses buildings</t>
  </si>
  <si>
    <t>6230-1151</t>
  </si>
  <si>
    <t xml:space="preserve"> Leasing costs building         </t>
  </si>
  <si>
    <t>Leasing expenses trucks and lifttrucks</t>
  </si>
  <si>
    <t>6230-1153</t>
  </si>
  <si>
    <t>叉车租赁</t>
  </si>
  <si>
    <t>Rent expenses</t>
  </si>
  <si>
    <t>6230-1205</t>
  </si>
  <si>
    <t xml:space="preserve"> Rentalmachines                 </t>
  </si>
  <si>
    <t>6230-1210</t>
  </si>
  <si>
    <t xml:space="preserve"> 制造费用-租金                  </t>
  </si>
  <si>
    <t>Repairs &amp; maintenance</t>
  </si>
  <si>
    <t>6230-1256</t>
  </si>
  <si>
    <t xml:space="preserve"> 制造费用-设备维修费            </t>
  </si>
  <si>
    <t>Utility expenses</t>
  </si>
  <si>
    <t>6230-1302</t>
  </si>
  <si>
    <t xml:space="preserve"> 制造费用-电费                  </t>
  </si>
  <si>
    <t>6230-1303</t>
  </si>
  <si>
    <t xml:space="preserve"> 制造费用-液化气费              </t>
  </si>
  <si>
    <t>6230-1304</t>
  </si>
  <si>
    <t xml:space="preserve"> 制造费用-水费                  </t>
  </si>
  <si>
    <t>Other building expenses</t>
  </si>
  <si>
    <t>6230-1310</t>
  </si>
  <si>
    <t xml:space="preserve"> 制造费用-厂房维修费            </t>
  </si>
  <si>
    <t>Shop, QC, supplies of auxiliaries</t>
  </si>
  <si>
    <t>6230-1351</t>
  </si>
  <si>
    <t xml:space="preserve"> 制造费用-低值易耗品            </t>
  </si>
  <si>
    <t>6230-1354</t>
  </si>
  <si>
    <t xml:space="preserve"> 制造费用-实验测试费            </t>
  </si>
  <si>
    <t>6230-1357</t>
  </si>
  <si>
    <t xml:space="preserve"> 制造费用-外部加工费            </t>
  </si>
  <si>
    <t>6230-1358</t>
  </si>
  <si>
    <t xml:space="preserve"> 制造费用-外部测试费            </t>
  </si>
  <si>
    <t>6230-1359</t>
  </si>
  <si>
    <t xml:space="preserve"> 制造费用-料架及模具修理费      </t>
  </si>
  <si>
    <t>6230-1360</t>
  </si>
  <si>
    <t xml:space="preserve"> QC SUPPLIES                    </t>
  </si>
  <si>
    <t>Trash &amp; waste disposal</t>
  </si>
  <si>
    <t>6230-1410</t>
  </si>
  <si>
    <t>危废处理费</t>
  </si>
  <si>
    <t>Professional fees</t>
  </si>
  <si>
    <t>6230-1580</t>
  </si>
  <si>
    <t>Advisory/Consultancy costs</t>
  </si>
  <si>
    <t>Additions to warranty provisions</t>
  </si>
  <si>
    <t>6230-1455</t>
  </si>
  <si>
    <t xml:space="preserve"> 制造费用-客户索赔              </t>
  </si>
  <si>
    <t>制造费用-售后服务费</t>
  </si>
  <si>
    <t>Office expenses</t>
  </si>
  <si>
    <t>6230-1530</t>
  </si>
  <si>
    <t xml:space="preserve"> 制造费用-办公用品              </t>
  </si>
  <si>
    <t>Various operating expenses</t>
  </si>
  <si>
    <t>6230-1550</t>
  </si>
  <si>
    <t xml:space="preserve"> 制造费用-认证审核费            </t>
  </si>
  <si>
    <t>6230-1560</t>
  </si>
  <si>
    <t xml:space="preserve"> 制造费用-其他                  </t>
  </si>
  <si>
    <t>6230-1565</t>
  </si>
  <si>
    <t xml:space="preserve"> Other General Costs            </t>
  </si>
  <si>
    <t>Cross charge from R&amp;D</t>
  </si>
  <si>
    <t>6240-1010</t>
  </si>
  <si>
    <t xml:space="preserve"> Cross charge from R&amp;D          </t>
  </si>
  <si>
    <t>VAVE-Validation/Testing Cost</t>
  </si>
  <si>
    <t>6240-1012</t>
  </si>
  <si>
    <t>VAVE-Validation expenses</t>
  </si>
  <si>
    <t>VAVE-Launch/Sample Cost</t>
  </si>
  <si>
    <t>6240-1013</t>
  </si>
  <si>
    <t xml:space="preserve"> Vave - launch /sample cost imf </t>
  </si>
  <si>
    <t>VAVE-Other</t>
  </si>
  <si>
    <t>6240-1014</t>
  </si>
  <si>
    <t>CrossCh. RD - VAVE other</t>
  </si>
  <si>
    <t>6240-1020</t>
  </si>
  <si>
    <t>R&amp;D hours manual</t>
  </si>
  <si>
    <t>Change in overhead component WIP</t>
  </si>
  <si>
    <t>6290-1010</t>
  </si>
  <si>
    <t xml:space="preserve"> 制造费用-制造费用结转          </t>
  </si>
  <si>
    <t>6320-1002</t>
  </si>
  <si>
    <t xml:space="preserve"> 研发费用-工资                  </t>
  </si>
  <si>
    <t>研发费用-工资奖金</t>
  </si>
  <si>
    <t>6320-1010</t>
  </si>
  <si>
    <t xml:space="preserve"> 研发费用-奖金                  </t>
  </si>
  <si>
    <t>6320-1005</t>
  </si>
  <si>
    <t>RD13th</t>
  </si>
  <si>
    <t>6320-2010</t>
  </si>
  <si>
    <t xml:space="preserve"> 研发费用-养老保险和公积金      </t>
  </si>
  <si>
    <t>研发费用-附加人工费</t>
  </si>
  <si>
    <t>6320-2017</t>
  </si>
  <si>
    <t xml:space="preserve"> Other allowances R&amp;D           </t>
  </si>
  <si>
    <t>6320-3100</t>
  </si>
  <si>
    <t>招聘费</t>
  </si>
  <si>
    <t>6320-3020</t>
  </si>
  <si>
    <t>劳保用品（工作服，劳保鞋等）</t>
  </si>
  <si>
    <t>6320-3030</t>
  </si>
  <si>
    <t xml:space="preserve"> 研发费用-公司车费              </t>
  </si>
  <si>
    <t>6320-3050</t>
  </si>
  <si>
    <t xml:space="preserve"> 研发费用-培训费                </t>
  </si>
  <si>
    <t>研发费用-其他费用</t>
  </si>
  <si>
    <t>6320-3090</t>
  </si>
  <si>
    <t xml:space="preserve"> 研发费用-员工福利              </t>
  </si>
  <si>
    <t>6320-3200</t>
  </si>
  <si>
    <t xml:space="preserve"> 研发费用-工作餐（new)          </t>
  </si>
  <si>
    <t>6330-1002</t>
  </si>
  <si>
    <t xml:space="preserve"> 研发费用-差旅费-住宿           </t>
  </si>
  <si>
    <t>6330-1004</t>
  </si>
  <si>
    <t xml:space="preserve"> 研发费用-业务招待费            </t>
  </si>
  <si>
    <t>6330-1006</t>
  </si>
  <si>
    <t xml:space="preserve"> 研发费用-差旅费-交通           </t>
  </si>
  <si>
    <t>6330-1060</t>
  </si>
  <si>
    <t>会务费</t>
  </si>
  <si>
    <t>6330-1160</t>
  </si>
  <si>
    <t xml:space="preserve"> 研发费用-通讯费                </t>
  </si>
  <si>
    <t>License fees</t>
  </si>
  <si>
    <t>6330-1201</t>
  </si>
  <si>
    <t>体系认证费</t>
  </si>
  <si>
    <t>6330-1301</t>
  </si>
  <si>
    <t>机器设备租赁费</t>
  </si>
  <si>
    <t>6330-1302</t>
  </si>
  <si>
    <t>厂房、仓库、实验室租金</t>
  </si>
  <si>
    <t>6330-1354</t>
  </si>
  <si>
    <t>电脑维护维修费</t>
  </si>
  <si>
    <t>6330-1356</t>
  </si>
  <si>
    <t>机器设备维护维修费</t>
  </si>
  <si>
    <t>6330-1312</t>
  </si>
  <si>
    <t>电费</t>
  </si>
  <si>
    <t>6330-1313</t>
  </si>
  <si>
    <t>供热</t>
  </si>
  <si>
    <t>6330-1314</t>
  </si>
  <si>
    <t>水费</t>
  </si>
  <si>
    <t>6330-1410</t>
  </si>
  <si>
    <t>咨询费</t>
  </si>
  <si>
    <t>6330-1415</t>
  </si>
  <si>
    <t>委外加工费（非TRI）</t>
  </si>
  <si>
    <t>6330-1420</t>
  </si>
  <si>
    <t>委外人员工资</t>
  </si>
  <si>
    <t>6330-1451</t>
  </si>
  <si>
    <t>辅料</t>
  </si>
  <si>
    <t>6330-1452</t>
  </si>
  <si>
    <t>运费</t>
  </si>
  <si>
    <t>6330-1453</t>
  </si>
  <si>
    <t>样件</t>
  </si>
  <si>
    <t>6330-1503</t>
  </si>
  <si>
    <t xml:space="preserve"> 研发费用-办公用品              </t>
  </si>
  <si>
    <t>6330-1551</t>
  </si>
  <si>
    <t>客户EDI，SRM, 实验室临时工工资</t>
  </si>
  <si>
    <t>6330-1552</t>
  </si>
  <si>
    <t>财产保险</t>
  </si>
  <si>
    <t>R&amp;D expenses capitalized on BS</t>
  </si>
  <si>
    <t>6390-1010</t>
  </si>
  <si>
    <t xml:space="preserve"> Total expenses abs. BS         </t>
  </si>
  <si>
    <t>研发费用-研发资本化</t>
  </si>
  <si>
    <t>R&amp;D expenses reclassified in P&amp;L</t>
  </si>
  <si>
    <t>6390-2010</t>
  </si>
  <si>
    <t xml:space="preserve"> Total expenses abs. P&amp;L        </t>
  </si>
  <si>
    <t>6420-1002</t>
  </si>
  <si>
    <t xml:space="preserve"> 管理及销售-工资                </t>
  </si>
  <si>
    <t>6420-1001</t>
    <phoneticPr fontId="12" type="noConversion"/>
  </si>
  <si>
    <t>SGAOT</t>
  </si>
  <si>
    <t>6420-1010</t>
  </si>
  <si>
    <t xml:space="preserve"> 管理及销售-奖金                </t>
  </si>
  <si>
    <t>6420-1005</t>
  </si>
  <si>
    <t>SGA13th</t>
  </si>
  <si>
    <t>6420-2010</t>
  </si>
  <si>
    <t xml:space="preserve"> 管理及销售-养老保险和公积金    </t>
  </si>
  <si>
    <t>6420-2017</t>
  </si>
  <si>
    <t xml:space="preserve"> Other allowance SG&amp;A           </t>
  </si>
  <si>
    <t>6420-2050</t>
  </si>
  <si>
    <t xml:space="preserve"> 管理及销售-员工福利-员工福利   </t>
  </si>
  <si>
    <t>6420-3020</t>
  </si>
  <si>
    <t>Company clothes</t>
  </si>
  <si>
    <t>6420-3030</t>
  </si>
  <si>
    <t xml:space="preserve"> 管理及销售-公司车费            </t>
  </si>
  <si>
    <t>6420-3050</t>
  </si>
  <si>
    <t xml:space="preserve"> Costs training &amp; seminars      </t>
  </si>
  <si>
    <t>6420-3055</t>
  </si>
  <si>
    <t xml:space="preserve"> 管理及销售-培训费              </t>
  </si>
  <si>
    <t>6420-3070</t>
  </si>
  <si>
    <t>6420-3150</t>
  </si>
  <si>
    <t>6420-3090</t>
  </si>
  <si>
    <t xml:space="preserve"> 管理及销售-员工福利            </t>
  </si>
  <si>
    <t>6420-3200</t>
  </si>
  <si>
    <t xml:space="preserve"> 管理及销售-工作餐(new)         </t>
  </si>
  <si>
    <t>Temporary personnel costs</t>
  </si>
  <si>
    <t>6420-4020</t>
  </si>
  <si>
    <t xml:space="preserve"> 管理及销售-临时工工资          </t>
  </si>
  <si>
    <t>6430-1002</t>
  </si>
  <si>
    <t xml:space="preserve"> 管理及销售-差旅费-住宿         </t>
  </si>
  <si>
    <t>6430-1004</t>
  </si>
  <si>
    <t xml:space="preserve"> 管理及销售-业务招待费          </t>
  </si>
  <si>
    <t>6430-1006</t>
  </si>
  <si>
    <t xml:space="preserve"> 管理及销售-差旅费-交通         </t>
  </si>
  <si>
    <t>6430-1060</t>
  </si>
  <si>
    <t xml:space="preserve"> 管理及销售-会务费              </t>
  </si>
  <si>
    <t>6430-1101</t>
  </si>
  <si>
    <t xml:space="preserve"> 管理及销售-通讯费              </t>
  </si>
  <si>
    <t>6430-1201</t>
  </si>
  <si>
    <t xml:space="preserve"> 管理及销售-租金                </t>
  </si>
  <si>
    <t>Leasing costs ICT</t>
  </si>
  <si>
    <t>6430-1154</t>
  </si>
  <si>
    <t>6430-1254</t>
  </si>
  <si>
    <t xml:space="preserve"> 管理及销售-办公设备维修        </t>
  </si>
  <si>
    <t>6430-1264</t>
  </si>
  <si>
    <t xml:space="preserve"> 管理及销售-网络服务费          </t>
  </si>
  <si>
    <t>6430-1302</t>
  </si>
  <si>
    <t>Electricity</t>
  </si>
  <si>
    <t>6430-1303</t>
  </si>
  <si>
    <t>Gas</t>
  </si>
  <si>
    <t>6430-1304</t>
  </si>
  <si>
    <t>Water</t>
  </si>
  <si>
    <t>6430-1305</t>
  </si>
  <si>
    <t xml:space="preserve"> 管理及销售-保洁费              </t>
  </si>
  <si>
    <t>6430-1306</t>
  </si>
  <si>
    <t xml:space="preserve"> 管理及销售-保安服务费          </t>
  </si>
  <si>
    <t>6430-1310</t>
  </si>
  <si>
    <t xml:space="preserve"> 管理及销售-房产税              </t>
  </si>
  <si>
    <t>税金及附加</t>
  </si>
  <si>
    <t>6430-1352</t>
  </si>
  <si>
    <t xml:space="preserve"> 管理及销售-印花税              </t>
  </si>
  <si>
    <t>6430-1354</t>
  </si>
  <si>
    <t xml:space="preserve"> 管理及销售-咨询费              </t>
  </si>
  <si>
    <t>6430-1355</t>
  </si>
  <si>
    <t xml:space="preserve"> 管理及销售费用-律师费          </t>
  </si>
  <si>
    <t>6430-1356</t>
  </si>
  <si>
    <t xml:space="preserve"> 管理及销售-税务及人事代理费    </t>
  </si>
  <si>
    <t>6430-1404</t>
  </si>
  <si>
    <t xml:space="preserve"> 管理及销售-土地使用税          </t>
  </si>
  <si>
    <t>6430-1406</t>
  </si>
  <si>
    <t xml:space="preserve"> 管理及销售-办公用品            </t>
  </si>
  <si>
    <t>Sales expenses</t>
  </si>
  <si>
    <t>6430-1458</t>
  </si>
  <si>
    <t>Sales studies</t>
  </si>
  <si>
    <t>6430-1462</t>
  </si>
  <si>
    <t>管理及销售-市场费</t>
  </si>
  <si>
    <t>Regioanl IH SCU recharge</t>
  </si>
  <si>
    <t>6430-1620</t>
  </si>
  <si>
    <t>管理及销售-CSU cost</t>
  </si>
  <si>
    <t>CSU马达技术 使用费</t>
  </si>
  <si>
    <t xml:space="preserve"> 管理及销售-其他                </t>
  </si>
  <si>
    <t>6430-1556</t>
  </si>
  <si>
    <t xml:space="preserve"> 管理及销售-财产保险            </t>
  </si>
  <si>
    <t>6430-1564</t>
  </si>
  <si>
    <t xml:space="preserve"> 管理及销售-样品                </t>
  </si>
  <si>
    <t>6430-1568</t>
  </si>
  <si>
    <t xml:space="preserve"> 管理及销售-工会经费            </t>
  </si>
  <si>
    <t>6430-1570</t>
  </si>
  <si>
    <t xml:space="preserve"> 主营业务税金及附加             </t>
  </si>
  <si>
    <t>税金及附加—城建税</t>
  </si>
  <si>
    <t>管理费用-防洪基金</t>
  </si>
  <si>
    <t>6430-1571</t>
  </si>
  <si>
    <t>VAT加计扣除，对应LOCAL报表“其他收益”</t>
  </si>
  <si>
    <t>6430-1572</t>
  </si>
  <si>
    <t xml:space="preserve"> Sample costs(not used)         </t>
  </si>
  <si>
    <t>6430-1574</t>
  </si>
  <si>
    <t>其他收益</t>
  </si>
  <si>
    <t>6430-1554</t>
  </si>
  <si>
    <t>管理费用-残疾人保障金</t>
  </si>
  <si>
    <t>Inter-regional fees intercompany</t>
  </si>
  <si>
    <t>6430-1655</t>
  </si>
  <si>
    <t>Inter-regional support costs</t>
  </si>
  <si>
    <t>IT费</t>
  </si>
  <si>
    <t>6430-1510</t>
  </si>
  <si>
    <t xml:space="preserve"> Bad Debts                      </t>
  </si>
  <si>
    <t>Regional HQ Cost Allocation Intercompany</t>
  </si>
  <si>
    <t>6430-1610</t>
  </si>
  <si>
    <t xml:space="preserve"> 管理及销售-总部服务费          </t>
  </si>
  <si>
    <t>Inalfa Group fees intercompany</t>
  </si>
  <si>
    <t>6490-1010</t>
  </si>
  <si>
    <t xml:space="preserve"> Management Fee                 </t>
  </si>
  <si>
    <t>技术使用费&amp;市场开发费</t>
  </si>
  <si>
    <t>Business Development Fee</t>
  </si>
  <si>
    <t>6490-1020</t>
  </si>
  <si>
    <t xml:space="preserve"> Intercomp.Bus.Development fee  </t>
  </si>
  <si>
    <t>6490-2010</t>
  </si>
  <si>
    <t xml:space="preserve"> 管理及销售-关联方 royalties    </t>
  </si>
  <si>
    <t>Exchange gain (loss) on accounts receivable &amp; payable</t>
  </si>
  <si>
    <t>6500-1010</t>
  </si>
  <si>
    <t xml:space="preserve"> 已实现的汇兑损益               </t>
  </si>
  <si>
    <t>6500-1020</t>
  </si>
  <si>
    <t xml:space="preserve"> 汇况损益-四舍五入差异          </t>
  </si>
  <si>
    <t>6500-2010</t>
  </si>
  <si>
    <t xml:space="preserve"> 未实现的汇兑损益               </t>
  </si>
  <si>
    <t>Gain/loss on sale of tangible &amp; intangible fixed assets</t>
  </si>
  <si>
    <t>6500-3015</t>
  </si>
  <si>
    <t xml:space="preserve"> Gain/loss sales fixed assets   </t>
  </si>
  <si>
    <t>Monetary transaction expenses</t>
  </si>
  <si>
    <t>7100-1010</t>
  </si>
  <si>
    <t xml:space="preserve"> 银行手续费                     </t>
  </si>
  <si>
    <t>Interest expenses term loans</t>
  </si>
  <si>
    <t>7100-2010</t>
  </si>
  <si>
    <t xml:space="preserve"> 利息支出                       </t>
  </si>
  <si>
    <t>Interest income</t>
  </si>
  <si>
    <t>7100-3010</t>
  </si>
  <si>
    <t xml:space="preserve"> 利息收入                       </t>
  </si>
  <si>
    <t>Interest income intercompany</t>
  </si>
  <si>
    <t>7100-3020</t>
  </si>
  <si>
    <t xml:space="preserve"> Interest Income intercompany   </t>
  </si>
  <si>
    <t>Interest expenses intercompany</t>
  </si>
  <si>
    <t>7100-4010</t>
  </si>
  <si>
    <t xml:space="preserve"> ICA-interest                   </t>
  </si>
  <si>
    <t>Income tax expenses</t>
  </si>
  <si>
    <t>7500-1010</t>
  </si>
  <si>
    <t xml:space="preserve"> 企业所得税                     </t>
  </si>
  <si>
    <t>Deferred tax expenses</t>
  </si>
  <si>
    <t>7500-3110</t>
  </si>
  <si>
    <t xml:space="preserve"> Deferred tax expenses          </t>
  </si>
  <si>
    <t>9999-0007</t>
  </si>
  <si>
    <t xml:space="preserve"> ICA projects + TThours         </t>
  </si>
  <si>
    <t>政府补贴房租</t>
  </si>
  <si>
    <t>2023年富晟应调整所得税金额</t>
  </si>
  <si>
    <t>开办费摊销</t>
  </si>
  <si>
    <t>审计报告调整期初未分配利润</t>
  </si>
  <si>
    <t>税前利润</t>
  </si>
  <si>
    <t>应计提递延所得税</t>
  </si>
  <si>
    <t>Ledger</t>
  </si>
  <si>
    <t xml:space="preserve">Sub  </t>
  </si>
  <si>
    <t xml:space="preserve"> Ledger Account Description     </t>
  </si>
  <si>
    <t xml:space="preserve">Opening Balance     </t>
  </si>
  <si>
    <t xml:space="preserve">   Transactions up to Previous Period    </t>
  </si>
  <si>
    <t xml:space="preserve">     Transactions For Current Period     </t>
  </si>
  <si>
    <t xml:space="preserve"> Closing Balance</t>
  </si>
  <si>
    <t>Account</t>
  </si>
  <si>
    <t xml:space="preserve">     </t>
  </si>
  <si>
    <t xml:space="preserve">                                </t>
  </si>
  <si>
    <t xml:space="preserve">                    </t>
  </si>
  <si>
    <t xml:space="preserve">               Debit</t>
  </si>
  <si>
    <t xml:space="preserve">              Credit</t>
  </si>
  <si>
    <t>1100-1310</t>
  </si>
  <si>
    <t xml:space="preserve"> Project management             </t>
  </si>
  <si>
    <t xml:space="preserve"> R&amp;d investments                </t>
  </si>
  <si>
    <t xml:space="preserve"> Proj manag out of region-labor </t>
  </si>
  <si>
    <t xml:space="preserve"> Pre-launchmaterials            </t>
  </si>
  <si>
    <t xml:space="preserve"> Pre-launchfreight              </t>
  </si>
  <si>
    <t xml:space="preserve"> Pre-launchother                </t>
  </si>
  <si>
    <t xml:space="preserve"> Travel &amp;  entertainm projects  </t>
  </si>
  <si>
    <t xml:space="preserve"> Accum. amort. r&amp;d              </t>
  </si>
  <si>
    <t xml:space="preserve"> Land  and  buildings           </t>
  </si>
  <si>
    <t xml:space="preserve"> Machinery,  installations  gen </t>
  </si>
  <si>
    <t xml:space="preserve"> Interim investment account     </t>
  </si>
  <si>
    <t xml:space="preserve"> Machinery, installation progra </t>
  </si>
  <si>
    <t>1200-1330</t>
  </si>
  <si>
    <t xml:space="preserve"> Finished material - rack       </t>
  </si>
  <si>
    <t xml:space="preserve"> Wip rack                       </t>
  </si>
  <si>
    <t xml:space="preserve"> Production equipment gauges    </t>
  </si>
  <si>
    <t xml:space="preserve"> Office inventory               </t>
  </si>
  <si>
    <t xml:space="preserve"> Inventory cad configuration    </t>
  </si>
  <si>
    <t xml:space="preserve"> Inventory p.c. configuration   </t>
  </si>
  <si>
    <t xml:space="preserve"> Inventory factory              </t>
  </si>
  <si>
    <t xml:space="preserve"> Forklift                       </t>
  </si>
  <si>
    <t xml:space="preserve"> Hard tools                     </t>
  </si>
  <si>
    <t xml:space="preserve"> Cip - for generic capex        </t>
  </si>
  <si>
    <t xml:space="preserve"> Cip - for tooling              </t>
  </si>
  <si>
    <t xml:space="preserve"> Cip - quality gauge &amp; fixture  </t>
  </si>
  <si>
    <t xml:space="preserve"> Cip - int &amp; semi-fin mat racks </t>
  </si>
  <si>
    <t xml:space="preserve"> Cip - finished material rack   </t>
  </si>
  <si>
    <t xml:space="preserve"> Cip - reclass to completed     </t>
  </si>
  <si>
    <t xml:space="preserve"> Cip - land &amp; buildings         </t>
  </si>
  <si>
    <t xml:space="preserve"> Vehicles                       </t>
  </si>
  <si>
    <t xml:space="preserve"> Accum. dep. land &amp; building    </t>
  </si>
  <si>
    <t xml:space="preserve"> Accum. dep. mach, inst generic </t>
  </si>
  <si>
    <t xml:space="preserve"> Accum. dep. mach, inst program </t>
  </si>
  <si>
    <t xml:space="preserve"> Accum. dep. wip rack           </t>
  </si>
  <si>
    <t xml:space="preserve"> Accum. dep. gauge              </t>
  </si>
  <si>
    <t xml:space="preserve"> Accum. dep. office inventory   </t>
  </si>
  <si>
    <t xml:space="preserve"> Accum. dep. inventory cad conf </t>
  </si>
  <si>
    <t xml:space="preserve"> Accum. dep. inventory pc conf  </t>
  </si>
  <si>
    <t xml:space="preserve"> Accum. dep. inventory factory  </t>
  </si>
  <si>
    <t xml:space="preserve"> Accum. dep. forklift           </t>
  </si>
  <si>
    <t xml:space="preserve"> Accum. dep. hard tools         </t>
  </si>
  <si>
    <t xml:space="preserve"> Accum. dep. vehicles           </t>
  </si>
  <si>
    <t xml:space="preserve"> Module production tooling      </t>
  </si>
  <si>
    <t xml:space="preserve"> Deferred tax assets            </t>
  </si>
  <si>
    <t xml:space="preserve"> Stock raw material plant 1     </t>
  </si>
  <si>
    <t xml:space="preserve"> Raw c601                       </t>
  </si>
  <si>
    <t xml:space="preserve"> Wip - subcontracting po        </t>
  </si>
  <si>
    <t xml:space="preserve"> Raw material - production work </t>
  </si>
  <si>
    <t xml:space="preserve"> Wip plants                     </t>
  </si>
  <si>
    <t xml:space="preserve"> Finished products - plant 1    </t>
  </si>
  <si>
    <t xml:space="preserve"> Finished products - local      </t>
  </si>
  <si>
    <t xml:space="preserve"> Finished products - off-site w </t>
  </si>
  <si>
    <t xml:space="preserve"> Finished products - hangzhou w </t>
  </si>
  <si>
    <t xml:space="preserve"> Finished products - xiangfan w </t>
  </si>
  <si>
    <t xml:space="preserve"> Fin prod - ningbo wh - s702    </t>
  </si>
  <si>
    <t xml:space="preserve"> Shipped inv. not invoiced yet  </t>
  </si>
  <si>
    <t xml:space="preserve"> Inventory fin. prod impairment </t>
  </si>
  <si>
    <t xml:space="preserve"> Overhead absorption to fg      </t>
  </si>
  <si>
    <t xml:space="preserve"> Sales debtors a/r              </t>
  </si>
  <si>
    <t xml:space="preserve"> Sales debtors a/r intercompany </t>
  </si>
  <si>
    <t xml:space="preserve"> Unallocated receipts           </t>
  </si>
  <si>
    <t xml:space="preserve"> Ica - china - beijing          </t>
  </si>
  <si>
    <t xml:space="preserve"> Ica - china - guangzhou        </t>
  </si>
  <si>
    <t xml:space="preserve"> Other receivables              </t>
  </si>
  <si>
    <t xml:space="preserve"> Advanced money other expenses  </t>
  </si>
  <si>
    <t xml:space="preserve"> Boc-basic-cny                  </t>
  </si>
  <si>
    <t xml:space="preserve"> Bcm-general-cny                </t>
  </si>
  <si>
    <t xml:space="preserve"> Currency translation           </t>
  </si>
  <si>
    <t xml:space="preserve"> Notes receivables              </t>
  </si>
  <si>
    <t xml:space="preserve"> Advance payments               </t>
  </si>
  <si>
    <t xml:space="preserve"> Unallocated payments           </t>
  </si>
  <si>
    <t xml:space="preserve"> Cash corr. debit/credit        </t>
  </si>
  <si>
    <t xml:space="preserve"> Common  stock                  </t>
  </si>
  <si>
    <t xml:space="preserve"> Net profit/loss for the period </t>
  </si>
  <si>
    <t xml:space="preserve"> Warranty                       </t>
  </si>
  <si>
    <t xml:space="preserve"> Deductions customer returns    </t>
  </si>
  <si>
    <t xml:space="preserve"> 0 km deductions accepted       </t>
  </si>
  <si>
    <t xml:space="preserve"> Term loan                      </t>
  </si>
  <si>
    <t>3510-1121</t>
  </si>
  <si>
    <t xml:space="preserve"> Vat Input tax                  </t>
  </si>
  <si>
    <t xml:space="preserve"> Vat tax paid                   </t>
  </si>
  <si>
    <t xml:space="preserve"> Changeover input               </t>
  </si>
  <si>
    <t xml:space="preserve"> Input tax                      </t>
  </si>
  <si>
    <t xml:space="preserve"> Output tax                     </t>
  </si>
  <si>
    <t xml:space="preserve"> Salary tax                     </t>
  </si>
  <si>
    <t xml:space="preserve"> Water conser/con               </t>
  </si>
  <si>
    <t xml:space="preserve"> Tax payable - stamp duty       </t>
  </si>
  <si>
    <t xml:space="preserve"> Payable - trade                </t>
  </si>
  <si>
    <t>3600-1106</t>
  </si>
  <si>
    <t xml:space="preserve"> Invoices to be received stock  </t>
  </si>
  <si>
    <t xml:space="preserve"> Clearing account creditors     </t>
  </si>
  <si>
    <t xml:space="preserve"> A/p intercompany               </t>
  </si>
  <si>
    <t>3600-1116</t>
  </si>
  <si>
    <t xml:space="preserve"> Inv. to be received stock i/c  </t>
  </si>
  <si>
    <t xml:space="preserve"> Acc payable -related CMC plant </t>
  </si>
  <si>
    <t xml:space="preserve"> Cost to be paid                </t>
  </si>
  <si>
    <t xml:space="preserve"> Clearing account               </t>
  </si>
  <si>
    <t xml:space="preserve"> Accrual salary to be paid      </t>
  </si>
  <si>
    <t xml:space="preserve"> Accrual temps direct accruals  </t>
  </si>
  <si>
    <t>3900-1728</t>
  </si>
  <si>
    <t xml:space="preserve"> Accrual reservation holiday    </t>
  </si>
  <si>
    <t xml:space="preserve"> Accrual employee bonus         </t>
  </si>
  <si>
    <t xml:space="preserve"> Accrual capex commitments      </t>
  </si>
  <si>
    <t xml:space="preserve"> Sales - production             </t>
  </si>
  <si>
    <t xml:space="preserve"> Sales - production price diffe </t>
  </si>
  <si>
    <t xml:space="preserve"> Sales - clearing               </t>
  </si>
  <si>
    <t xml:space="preserve"> Service/spare parts sale       </t>
  </si>
  <si>
    <t xml:space="preserve"> Main business income - after-s </t>
  </si>
  <si>
    <t xml:space="preserve"> Sales - production service dif </t>
  </si>
  <si>
    <t>4300-1690</t>
  </si>
  <si>
    <t xml:space="preserve"> Ica - china - cc jv            </t>
  </si>
  <si>
    <t xml:space="preserve"> Amortization quick saving exp  </t>
  </si>
  <si>
    <t xml:space="preserve"> Cost of goods material         </t>
  </si>
  <si>
    <t xml:space="preserve"> Int cos sbi mat service sale   </t>
  </si>
  <si>
    <t xml:space="preserve"> Cog material manual corr.      </t>
  </si>
  <si>
    <t xml:space="preserve"> Inbound freight standard       </t>
  </si>
  <si>
    <t xml:space="preserve"> Outbound freight standard      </t>
  </si>
  <si>
    <t xml:space="preserve"> Duties surcharge standard      </t>
  </si>
  <si>
    <t xml:space="preserve"> Direct mater cost service/spa  </t>
  </si>
  <si>
    <t xml:space="preserve"> Inbound freight service stand. </t>
  </si>
  <si>
    <t>5120-1012</t>
  </si>
  <si>
    <t xml:space="preserve"> Outbound freight service stand </t>
  </si>
  <si>
    <t xml:space="preserve"> Duties surcharge spare part    </t>
  </si>
  <si>
    <t xml:space="preserve"> Cost of goods labor            </t>
  </si>
  <si>
    <t xml:space="preserve"> Cost of goods labor correction </t>
  </si>
  <si>
    <t xml:space="preserve"> Price difference raw materials </t>
  </si>
  <si>
    <t xml:space="preserve"> Purch. variance lump sum paym. </t>
  </si>
  <si>
    <t xml:space="preserve"> Payment discount supplier      </t>
  </si>
  <si>
    <t xml:space="preserve"> Supplier re-sourcing savings   </t>
  </si>
  <si>
    <t xml:space="preserve"> Purchase variance - vave       </t>
  </si>
  <si>
    <t xml:space="preserve"> Launch - material costs        </t>
  </si>
  <si>
    <t xml:space="preserve"> Launch - labor costs           </t>
  </si>
  <si>
    <t xml:space="preserve"> Rework 3rd party on assembly   </t>
  </si>
  <si>
    <t xml:space="preserve"> Bom - differences              </t>
  </si>
  <si>
    <t xml:space="preserve"> Roof - prep                    </t>
  </si>
  <si>
    <t xml:space="preserve"> Overtime                       </t>
  </si>
  <si>
    <t xml:space="preserve"> Social cost salary             </t>
  </si>
  <si>
    <t xml:space="preserve"> Transport costs personnel      </t>
  </si>
  <si>
    <t xml:space="preserve"> Company clothes                </t>
  </si>
  <si>
    <t xml:space="preserve"> Food coupons                   </t>
  </si>
  <si>
    <t xml:space="preserve"> Covering handling costs        </t>
  </si>
  <si>
    <t xml:space="preserve"> Transport costs purchaged good </t>
  </si>
  <si>
    <t xml:space="preserve"> Extra transp. costs tb charged </t>
  </si>
  <si>
    <t xml:space="preserve"> Outbound above std             </t>
  </si>
  <si>
    <t xml:space="preserve"> Revaluation finished products  </t>
  </si>
  <si>
    <t xml:space="preserve"> Stock counting difference      </t>
  </si>
  <si>
    <t xml:space="preserve"> Prod cost - cycle count adj    </t>
  </si>
  <si>
    <t xml:space="preserve"> Prov obsolete raw materials    </t>
  </si>
  <si>
    <t xml:space="preserve"> Prov obsolete finished goods   </t>
  </si>
  <si>
    <t xml:space="preserve"> Sales r&amp;d                      </t>
  </si>
  <si>
    <t xml:space="preserve"> Sales tooling                  </t>
  </si>
  <si>
    <t xml:space="preserve"> Cost of sales r&amp;d              </t>
  </si>
  <si>
    <t xml:space="preserve"> Cost of sales tooling          </t>
  </si>
  <si>
    <t xml:space="preserve"> Dep. exp - prod equipmt common </t>
  </si>
  <si>
    <t xml:space="preserve"> Dep. exp -machine program sg&amp;a </t>
  </si>
  <si>
    <t xml:space="preserve"> Dep. exp - hard tools imfg     </t>
  </si>
  <si>
    <t xml:space="preserve"> Dep. exp -machine program imfg </t>
  </si>
  <si>
    <t xml:space="preserve"> Dep. exp - buildings imfg      </t>
  </si>
  <si>
    <t xml:space="preserve"> Dep. exp - it + office eq imfg </t>
  </si>
  <si>
    <t xml:space="preserve"> Dep. exp - vehicles            </t>
  </si>
  <si>
    <t xml:space="preserve"> Dep. exp - other imfg          </t>
  </si>
  <si>
    <t xml:space="preserve"> Amort capitalized dev cost     </t>
  </si>
  <si>
    <t xml:space="preserve"> Overtime imf                   </t>
  </si>
  <si>
    <t xml:space="preserve"> Salaries imf                   </t>
  </si>
  <si>
    <t xml:space="preserve"> Holiday allowance imf          </t>
  </si>
  <si>
    <t xml:space="preserve"> Bonus imf                      </t>
  </si>
  <si>
    <t xml:space="preserve"> Social cost salary imf         </t>
  </si>
  <si>
    <t xml:space="preserve"> Other allowances imf           </t>
  </si>
  <si>
    <t xml:space="preserve"> Company clothes imf            </t>
  </si>
  <si>
    <t xml:space="preserve"> Lease cars imf                 </t>
  </si>
  <si>
    <t xml:space="preserve"> Training, seminars, conf imf   </t>
  </si>
  <si>
    <t xml:space="preserve"> Personal cost -a imf           </t>
  </si>
  <si>
    <t xml:space="preserve"> Personal cost - imf            </t>
  </si>
  <si>
    <t xml:space="preserve"> Travel &amp; lodge imf             </t>
  </si>
  <si>
    <t xml:space="preserve"> Entertamt - client not inv imf </t>
  </si>
  <si>
    <t xml:space="preserve"> Rental car imf                 </t>
  </si>
  <si>
    <t xml:space="preserve"> Leasing costs building imf     </t>
  </si>
  <si>
    <t xml:space="preserve"> Leasing exp lift/trucks imf    </t>
  </si>
  <si>
    <t xml:space="preserve"> Maintenance machines /cars imf </t>
  </si>
  <si>
    <t xml:space="preserve"> Electricity imf                </t>
  </si>
  <si>
    <t xml:space="preserve"> Gas imf                        </t>
  </si>
  <si>
    <t xml:space="preserve"> Water imf                      </t>
  </si>
  <si>
    <t xml:space="preserve"> Other building costs imf       </t>
  </si>
  <si>
    <t xml:space="preserve"> Auxiliary materials imf        </t>
  </si>
  <si>
    <t xml:space="preserve"> Manuf cost-experi test fee imf </t>
  </si>
  <si>
    <t xml:space="preserve"> Manuf costs - external imf     </t>
  </si>
  <si>
    <t xml:space="preserve"> Manuf overhd -ext test fee imf </t>
  </si>
  <si>
    <t xml:space="preserve"> Manufac cost - mold repair imf </t>
  </si>
  <si>
    <t xml:space="preserve"> Qc supplies imf                </t>
  </si>
  <si>
    <t xml:space="preserve"> Trash &amp; waste disposal imf     </t>
  </si>
  <si>
    <t xml:space="preserve"> Warranty costs imf             </t>
  </si>
  <si>
    <t xml:space="preserve"> Office supplies imf            </t>
  </si>
  <si>
    <t xml:space="preserve"> Licence fees imf               </t>
  </si>
  <si>
    <t xml:space="preserve"> Other general costs imf        </t>
  </si>
  <si>
    <t xml:space="preserve"> Advisory consultancy cost imf  </t>
  </si>
  <si>
    <t xml:space="preserve"> Cross charge from r&amp;d          </t>
  </si>
  <si>
    <t xml:space="preserve"> Vave - validation external imf </t>
  </si>
  <si>
    <t xml:space="preserve"> R&amp;d hours manual imf           </t>
  </si>
  <si>
    <t xml:space="preserve"> Change overhd compnent wip imf </t>
  </si>
  <si>
    <t xml:space="preserve"> Salaries r&amp;d                   </t>
  </si>
  <si>
    <t xml:space="preserve"> Holidayallowance r&amp;d           </t>
  </si>
  <si>
    <t xml:space="preserve"> Bonus r&amp;d                      </t>
  </si>
  <si>
    <t xml:space="preserve"> Social cost salary r&amp;d         </t>
  </si>
  <si>
    <t xml:space="preserve"> Other allowances r&amp;d           </t>
  </si>
  <si>
    <t xml:space="preserve"> Lease cars r&amp;d                 </t>
  </si>
  <si>
    <t xml:space="preserve"> Accomadation r&amp;d               </t>
  </si>
  <si>
    <t xml:space="preserve"> Cost other r&amp;d                 </t>
  </si>
  <si>
    <t xml:space="preserve"> Travel &amp; lodge r&amp;d             </t>
  </si>
  <si>
    <t xml:space="preserve"> Entertamt - client not inv r&amp;d </t>
  </si>
  <si>
    <t xml:space="preserve"> Auxiliary materials r&amp;d        </t>
  </si>
  <si>
    <t xml:space="preserve"> Total expenses abs. bs r&amp;d     </t>
  </si>
  <si>
    <t xml:space="preserve"> Total expenses abs. p&amp;l r&amp;d    </t>
  </si>
  <si>
    <t>6420-1001</t>
  </si>
  <si>
    <t xml:space="preserve"> Overtime sg&amp;a                  </t>
  </si>
  <si>
    <t xml:space="preserve"> Salaries sg&amp;a                  </t>
  </si>
  <si>
    <t xml:space="preserve"> Holiday allowance sg&amp;a         </t>
  </si>
  <si>
    <t xml:space="preserve"> Bonus sg&amp;a                     </t>
  </si>
  <si>
    <t xml:space="preserve"> Social cost salary sg&amp;a        </t>
  </si>
  <si>
    <t xml:space="preserve"> Other allowances sg&amp;a          </t>
  </si>
  <si>
    <t xml:space="preserve"> Company clothes sg&amp;a           </t>
  </si>
  <si>
    <t xml:space="preserve"> Lease cars sg&amp;a                </t>
  </si>
  <si>
    <t xml:space="preserve"> Recruitment and selection sg&amp;a </t>
  </si>
  <si>
    <t xml:space="preserve"> Social care sg&amp;a               </t>
  </si>
  <si>
    <t xml:space="preserve"> Works council sg&amp;a             </t>
  </si>
  <si>
    <t xml:space="preserve"> Personal cost-ot sg&amp;a          </t>
  </si>
  <si>
    <t xml:space="preserve"> Travel &amp; lodge sg&amp;a            </t>
  </si>
  <si>
    <t xml:space="preserve"> Entertamt - client involv sg&amp;a </t>
  </si>
  <si>
    <t xml:space="preserve"> Carrental sg&amp;a                 </t>
  </si>
  <si>
    <t xml:space="preserve"> Telephone costs sg&amp;a           </t>
  </si>
  <si>
    <t xml:space="preserve"> Leasing expenses ict sg&amp;a      </t>
  </si>
  <si>
    <t xml:space="preserve"> Maintenance computers sg&amp;a     </t>
  </si>
  <si>
    <t xml:space="preserve"> Facility costs other sg&amp;a      </t>
  </si>
  <si>
    <t xml:space="preserve"> Advisory consultancy cost sg&amp;a </t>
  </si>
  <si>
    <t xml:space="preserve"> Legalfees sg&amp;a                 </t>
  </si>
  <si>
    <t xml:space="preserve"> Office supplies sg&amp;a           </t>
  </si>
  <si>
    <t xml:space="preserve"> Sales studies sg&amp;a             </t>
  </si>
  <si>
    <t xml:space="preserve"> Other general costs sg&amp;a       </t>
  </si>
  <si>
    <t xml:space="preserve"> Insurances sg&amp;a                </t>
  </si>
  <si>
    <t xml:space="preserve"> Vat surcharge sg&amp;a             </t>
  </si>
  <si>
    <t xml:space="preserve"> Sample cost non-op income sg&amp;a </t>
  </si>
  <si>
    <t xml:space="preserve"> Sample cost non-op exp sg&amp;a    </t>
  </si>
  <si>
    <t xml:space="preserve"> Regional ih scu recharge sg&amp;a  </t>
  </si>
  <si>
    <t xml:space="preserve"> Inter-regional suprt cost sg&amp;a </t>
  </si>
  <si>
    <t xml:space="preserve"> Service fee IC.group sg&amp;a      </t>
  </si>
  <si>
    <t xml:space="preserve"> Fx effect on ar &amp; ap           </t>
  </si>
  <si>
    <t xml:space="preserve"> Rounding differences           </t>
  </si>
  <si>
    <t xml:space="preserve"> Exchange differences 3         </t>
  </si>
  <si>
    <t xml:space="preserve"> Bank transaction costs         </t>
  </si>
  <si>
    <t xml:space="preserve"> Interest expenses 1            </t>
  </si>
  <si>
    <t xml:space="preserve"> Interest income                </t>
  </si>
  <si>
    <t>9999-0005</t>
  </si>
  <si>
    <t xml:space="preserve"> Ica - sales invoicing          </t>
  </si>
  <si>
    <t xml:space="preserve"> Ica - projects + tthours       </t>
  </si>
  <si>
    <t>9999-0009</t>
  </si>
  <si>
    <t xml:space="preserve"> Ica - proj.interim revenue     </t>
  </si>
  <si>
    <t>9999-0011</t>
  </si>
  <si>
    <t xml:space="preserve"> Ica - projects warehouse 600   </t>
  </si>
  <si>
    <t>9999-9001</t>
  </si>
  <si>
    <t xml:space="preserve"> 3rd party inventory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</si>
</sst>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76" formatCode="#,##0.00_ "/>
    <numFmt numFmtId="177" formatCode="yyyy&quot;年&quot;m&quot;月&quot;;@"/>
    <numFmt numFmtId="178" formatCode="General;\-General;;\ General"/>
    <numFmt numFmtId="179" formatCode="_ * #,##0.00_ ;_ * \-#,##0.00_ ;_ * &quot;-&quot;_ ;_ @_ "/>
    <numFmt numFmtId="180" formatCode="[$-409]dd/mmm/yy;@"/>
    <numFmt numFmtId="181" formatCode="0_);[Red]\(0\)"/>
    <numFmt numFmtId="182" formatCode="_ * #,##0.0000_ ;_ * \-#,##0.0000_ ;_ * &quot;-&quot;??_ ;_ @_ "/>
    <numFmt numFmtId="183" formatCode="#,##0.0_);\(#,##0.0\)"/>
  </numFmts>
  <fonts count="32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16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sz val="9"/>
      <name val="等线"/>
      <family val="2"/>
      <charset val="134"/>
      <scheme val="minor"/>
    </font>
    <font>
      <b/>
      <sz val="9"/>
      <name val="微软雅黑"/>
      <family val="2"/>
      <charset val="134"/>
    </font>
    <font>
      <sz val="12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b/>
      <sz val="14"/>
      <name val="微软雅黑"/>
      <family val="2"/>
      <charset val="134"/>
    </font>
    <font>
      <sz val="14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8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u/>
      <sz val="10"/>
      <color theme="1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trike/>
      <sz val="10"/>
      <color theme="0" tint="-0.34998626667073579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1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43" fontId="1" fillId="0" borderId="0" applyFont="0" applyFill="0" applyBorder="0" applyAlignment="0" applyProtection="0">
      <alignment vertical="center"/>
    </xf>
    <xf numFmtId="0" fontId="4" fillId="0" borderId="0"/>
    <xf numFmtId="43" fontId="10" fillId="0" borderId="0" applyFont="0" applyFill="0" applyBorder="0" applyAlignment="0" applyProtection="0"/>
    <xf numFmtId="0" fontId="11" fillId="0" borderId="0"/>
    <xf numFmtId="0" fontId="11" fillId="0" borderId="0"/>
    <xf numFmtId="43" fontId="3" fillId="0" borderId="0" applyFont="0" applyFill="0" applyBorder="0" applyAlignment="0" applyProtection="0">
      <alignment vertical="center"/>
    </xf>
    <xf numFmtId="0" fontId="4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0" fillId="0" borderId="0"/>
    <xf numFmtId="0" fontId="11" fillId="0" borderId="0"/>
    <xf numFmtId="0" fontId="4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180" fontId="4" fillId="0" borderId="0">
      <alignment vertical="center"/>
    </xf>
    <xf numFmtId="180" fontId="3" fillId="0" borderId="0">
      <alignment vertical="center"/>
    </xf>
    <xf numFmtId="183" fontId="4" fillId="0" borderId="0" applyFont="0" applyFill="0" applyBorder="0" applyAlignment="0" applyProtection="0"/>
  </cellStyleXfs>
  <cellXfs count="354">
    <xf numFmtId="0" fontId="0" fillId="0" borderId="0" xfId="0"/>
    <xf numFmtId="0" fontId="8" fillId="2" borderId="0" xfId="2" applyFont="1" applyFill="1" applyAlignment="1" applyProtection="1">
      <alignment vertical="center"/>
      <protection locked="0"/>
    </xf>
    <xf numFmtId="0" fontId="9" fillId="2" borderId="0" xfId="2" applyFont="1" applyFill="1" applyAlignment="1">
      <alignment vertical="center"/>
    </xf>
    <xf numFmtId="0" fontId="9" fillId="2" borderId="0" xfId="2" applyFont="1" applyFill="1" applyAlignment="1">
      <alignment horizontal="center" vertical="center"/>
    </xf>
    <xf numFmtId="43" fontId="9" fillId="2" borderId="0" xfId="3" applyFont="1" applyFill="1" applyAlignment="1" applyProtection="1">
      <alignment vertical="center"/>
    </xf>
    <xf numFmtId="43" fontId="9" fillId="2" borderId="0" xfId="3" applyFont="1" applyFill="1" applyAlignment="1" applyProtection="1">
      <alignment horizontal="right" vertical="center"/>
    </xf>
    <xf numFmtId="43" fontId="9" fillId="2" borderId="0" xfId="3" applyFont="1" applyFill="1" applyBorder="1" applyAlignment="1" applyProtection="1">
      <alignment horizontal="right" vertical="center"/>
    </xf>
    <xf numFmtId="0" fontId="9" fillId="2" borderId="0" xfId="2" applyFont="1" applyFill="1" applyAlignment="1" applyProtection="1">
      <alignment vertical="center"/>
      <protection locked="0"/>
    </xf>
    <xf numFmtId="43" fontId="9" fillId="2" borderId="0" xfId="3" applyFont="1" applyFill="1" applyBorder="1" applyAlignment="1" applyProtection="1">
      <alignment horizontal="center" vertical="center"/>
    </xf>
    <xf numFmtId="176" fontId="9" fillId="0" borderId="0" xfId="4" applyNumberFormat="1" applyFont="1" applyAlignment="1">
      <alignment horizontal="left" vertical="center"/>
    </xf>
    <xf numFmtId="1" fontId="9" fillId="2" borderId="1" xfId="5" applyNumberFormat="1" applyFont="1" applyFill="1" applyBorder="1" applyAlignment="1">
      <alignment horizontal="center" vertical="center"/>
    </xf>
    <xf numFmtId="4" fontId="9" fillId="2" borderId="2" xfId="5" applyNumberFormat="1" applyFont="1" applyFill="1" applyBorder="1" applyAlignment="1">
      <alignment horizontal="center" vertical="center"/>
    </xf>
    <xf numFmtId="4" fontId="9" fillId="2" borderId="3" xfId="5" applyNumberFormat="1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left" vertical="center"/>
    </xf>
    <xf numFmtId="0" fontId="9" fillId="2" borderId="5" xfId="2" quotePrefix="1" applyFont="1" applyFill="1" applyBorder="1" applyAlignment="1">
      <alignment horizontal="center" vertical="center"/>
    </xf>
    <xf numFmtId="43" fontId="9" fillId="2" borderId="5" xfId="3" applyFont="1" applyFill="1" applyBorder="1" applyAlignment="1" applyProtection="1">
      <alignment vertical="center"/>
      <protection locked="0"/>
    </xf>
    <xf numFmtId="0" fontId="9" fillId="0" borderId="5" xfId="2" applyFont="1" applyBorder="1" applyAlignment="1">
      <alignment horizontal="left" vertical="center"/>
    </xf>
    <xf numFmtId="0" fontId="9" fillId="2" borderId="5" xfId="4" quotePrefix="1" applyFont="1" applyFill="1" applyBorder="1" applyAlignment="1">
      <alignment horizontal="center" vertical="center"/>
    </xf>
    <xf numFmtId="43" fontId="9" fillId="2" borderId="6" xfId="3" applyFont="1" applyFill="1" applyBorder="1" applyAlignment="1" applyProtection="1">
      <alignment vertical="center"/>
      <protection locked="0"/>
    </xf>
    <xf numFmtId="0" fontId="9" fillId="2" borderId="4" xfId="2" applyFont="1" applyFill="1" applyBorder="1" applyAlignment="1">
      <alignment horizontal="left" vertical="center" indent="1"/>
    </xf>
    <xf numFmtId="43" fontId="9" fillId="2" borderId="5" xfId="6" applyFont="1" applyFill="1" applyBorder="1" applyAlignment="1" applyProtection="1">
      <alignment vertical="center"/>
    </xf>
    <xf numFmtId="0" fontId="9" fillId="0" borderId="5" xfId="2" applyFont="1" applyBorder="1" applyAlignment="1">
      <alignment horizontal="left" vertical="center" indent="1"/>
    </xf>
    <xf numFmtId="43" fontId="9" fillId="2" borderId="6" xfId="6" applyFont="1" applyFill="1" applyBorder="1" applyAlignment="1" applyProtection="1">
      <alignment vertical="center"/>
      <protection locked="0"/>
    </xf>
    <xf numFmtId="43" fontId="9" fillId="2" borderId="5" xfId="6" applyFont="1" applyFill="1" applyBorder="1" applyAlignment="1" applyProtection="1">
      <alignment vertical="center"/>
      <protection locked="0"/>
    </xf>
    <xf numFmtId="43" fontId="9" fillId="2" borderId="0" xfId="2" applyNumberFormat="1" applyFont="1" applyFill="1" applyAlignment="1" applyProtection="1">
      <alignment vertical="center"/>
      <protection locked="0"/>
    </xf>
    <xf numFmtId="0" fontId="9" fillId="0" borderId="4" xfId="2" applyFont="1" applyBorder="1" applyAlignment="1">
      <alignment horizontal="left" vertical="center" indent="1"/>
    </xf>
    <xf numFmtId="43" fontId="9" fillId="0" borderId="5" xfId="6" applyFont="1" applyFill="1" applyBorder="1" applyAlignment="1" applyProtection="1">
      <alignment vertical="center"/>
      <protection locked="0"/>
    </xf>
    <xf numFmtId="0" fontId="9" fillId="0" borderId="5" xfId="4" applyFont="1" applyBorder="1" applyAlignment="1">
      <alignment horizontal="left" vertical="center" indent="1"/>
    </xf>
    <xf numFmtId="0" fontId="9" fillId="0" borderId="4" xfId="2" applyFont="1" applyBorder="1" applyAlignment="1">
      <alignment horizontal="center" vertical="center"/>
    </xf>
    <xf numFmtId="4" fontId="9" fillId="0" borderId="4" xfId="4" applyNumberFormat="1" applyFont="1" applyBorder="1" applyAlignment="1">
      <alignment horizontal="left" vertical="center" indent="1"/>
    </xf>
    <xf numFmtId="0" fontId="9" fillId="0" borderId="5" xfId="2" applyFont="1" applyBorder="1" applyAlignment="1">
      <alignment vertical="center"/>
    </xf>
    <xf numFmtId="43" fontId="9" fillId="2" borderId="6" xfId="6" applyFont="1" applyFill="1" applyBorder="1" applyAlignment="1" applyProtection="1">
      <alignment vertical="center"/>
    </xf>
    <xf numFmtId="0" fontId="9" fillId="2" borderId="5" xfId="4" applyFont="1" applyFill="1" applyBorder="1" applyAlignment="1">
      <alignment horizontal="left" vertical="center" indent="1"/>
    </xf>
    <xf numFmtId="0" fontId="9" fillId="2" borderId="5" xfId="7" applyFont="1" applyFill="1" applyBorder="1" applyAlignment="1">
      <alignment horizontal="left" vertical="center" indent="1"/>
    </xf>
    <xf numFmtId="0" fontId="9" fillId="2" borderId="5" xfId="2" applyFont="1" applyFill="1" applyBorder="1" applyAlignment="1">
      <alignment horizontal="left" vertical="center" indent="1"/>
    </xf>
    <xf numFmtId="0" fontId="9" fillId="2" borderId="5" xfId="2" applyFont="1" applyFill="1" applyBorder="1" applyAlignment="1">
      <alignment vertical="center"/>
    </xf>
    <xf numFmtId="0" fontId="9" fillId="0" borderId="4" xfId="2" applyFont="1" applyBorder="1" applyAlignment="1">
      <alignment vertical="center"/>
    </xf>
    <xf numFmtId="0" fontId="9" fillId="0" borderId="4" xfId="7" applyFont="1" applyBorder="1" applyAlignment="1">
      <alignment vertical="center"/>
    </xf>
    <xf numFmtId="43" fontId="9" fillId="2" borderId="6" xfId="6" applyFont="1" applyFill="1" applyBorder="1" applyAlignment="1">
      <alignment vertical="center"/>
    </xf>
    <xf numFmtId="0" fontId="9" fillId="2" borderId="5" xfId="4" applyFont="1" applyFill="1" applyBorder="1" applyAlignment="1">
      <alignment horizontal="left" vertical="center"/>
    </xf>
    <xf numFmtId="0" fontId="9" fillId="0" borderId="4" xfId="2" applyFont="1" applyBorder="1" applyAlignment="1">
      <alignment horizontal="left" vertical="center" indent="2"/>
    </xf>
    <xf numFmtId="0" fontId="9" fillId="2" borderId="5" xfId="7" applyFont="1" applyFill="1" applyBorder="1" applyAlignment="1">
      <alignment vertical="center"/>
    </xf>
    <xf numFmtId="0" fontId="13" fillId="2" borderId="7" xfId="8" applyFont="1" applyFill="1" applyBorder="1" applyAlignment="1">
      <alignment horizontal="center" vertical="center"/>
    </xf>
    <xf numFmtId="0" fontId="9" fillId="2" borderId="8" xfId="4" quotePrefix="1" applyFont="1" applyFill="1" applyBorder="1" applyAlignment="1">
      <alignment horizontal="center" vertical="center"/>
    </xf>
    <xf numFmtId="43" fontId="9" fillId="2" borderId="7" xfId="6" applyFont="1" applyFill="1" applyBorder="1" applyAlignment="1" applyProtection="1">
      <alignment vertical="center"/>
    </xf>
    <xf numFmtId="0" fontId="9" fillId="2" borderId="0" xfId="7" applyFont="1" applyFill="1" applyAlignment="1" applyProtection="1">
      <alignment vertical="center"/>
      <protection locked="0"/>
    </xf>
    <xf numFmtId="43" fontId="9" fillId="2" borderId="0" xfId="3" applyFont="1" applyFill="1" applyAlignment="1" applyProtection="1">
      <alignment horizontal="center" vertical="center"/>
      <protection locked="0"/>
    </xf>
    <xf numFmtId="43" fontId="9" fillId="2" borderId="0" xfId="3" applyFont="1" applyFill="1" applyAlignment="1" applyProtection="1">
      <alignment vertical="center"/>
      <protection locked="0"/>
    </xf>
    <xf numFmtId="0" fontId="9" fillId="2" borderId="0" xfId="7" applyFont="1" applyFill="1" applyAlignment="1" applyProtection="1">
      <alignment horizontal="center" vertical="center"/>
      <protection locked="0"/>
    </xf>
    <xf numFmtId="43" fontId="9" fillId="2" borderId="0" xfId="3" applyFont="1" applyFill="1" applyBorder="1" applyAlignment="1" applyProtection="1">
      <alignment vertical="center"/>
      <protection locked="0"/>
    </xf>
    <xf numFmtId="0" fontId="9" fillId="2" borderId="0" xfId="2" applyFont="1" applyFill="1" applyAlignment="1" applyProtection="1">
      <alignment horizontal="center" vertical="center"/>
      <protection locked="0"/>
    </xf>
    <xf numFmtId="43" fontId="9" fillId="2" borderId="0" xfId="3" applyFont="1" applyFill="1" applyAlignment="1" applyProtection="1">
      <alignment horizontal="right" vertical="center"/>
      <protection locked="0"/>
    </xf>
    <xf numFmtId="0" fontId="9" fillId="2" borderId="0" xfId="9" applyFont="1" applyFill="1" applyAlignment="1" applyProtection="1">
      <alignment vertical="center"/>
      <protection locked="0"/>
    </xf>
    <xf numFmtId="0" fontId="14" fillId="2" borderId="0" xfId="9" applyFont="1" applyFill="1" applyAlignment="1" applyProtection="1">
      <alignment vertical="center"/>
      <protection locked="0"/>
    </xf>
    <xf numFmtId="43" fontId="14" fillId="2" borderId="0" xfId="3" applyFont="1" applyFill="1" applyAlignment="1" applyProtection="1">
      <alignment vertical="center"/>
      <protection locked="0"/>
    </xf>
    <xf numFmtId="43" fontId="14" fillId="2" borderId="0" xfId="3" applyFont="1" applyFill="1" applyBorder="1" applyAlignment="1" applyProtection="1">
      <alignment vertical="center"/>
      <protection locked="0"/>
    </xf>
    <xf numFmtId="4" fontId="18" fillId="0" borderId="0" xfId="5" applyNumberFormat="1" applyFont="1" applyAlignment="1" applyProtection="1">
      <alignment vertical="center"/>
      <protection locked="0"/>
    </xf>
    <xf numFmtId="4" fontId="18" fillId="0" borderId="0" xfId="5" applyNumberFormat="1" applyFont="1" applyAlignment="1">
      <alignment vertical="center"/>
    </xf>
    <xf numFmtId="1" fontId="9" fillId="0" borderId="0" xfId="5" applyNumberFormat="1" applyFont="1" applyAlignment="1">
      <alignment vertical="center"/>
    </xf>
    <xf numFmtId="4" fontId="9" fillId="0" borderId="0" xfId="5" applyNumberFormat="1" applyFont="1" applyAlignment="1">
      <alignment horizontal="left" vertical="center"/>
    </xf>
    <xf numFmtId="4" fontId="9" fillId="0" borderId="0" xfId="5" applyNumberFormat="1" applyFont="1" applyAlignment="1">
      <alignment vertical="center"/>
    </xf>
    <xf numFmtId="176" fontId="9" fillId="0" borderId="0" xfId="4" applyNumberFormat="1" applyFont="1" applyAlignment="1">
      <alignment vertical="center"/>
    </xf>
    <xf numFmtId="4" fontId="9" fillId="0" borderId="0" xfId="5" applyNumberFormat="1" applyFont="1" applyAlignment="1">
      <alignment horizontal="center" vertical="center"/>
    </xf>
    <xf numFmtId="4" fontId="9" fillId="0" borderId="0" xfId="5" applyNumberFormat="1" applyFont="1" applyAlignment="1">
      <alignment horizontal="right" vertical="center"/>
    </xf>
    <xf numFmtId="4" fontId="9" fillId="0" borderId="0" xfId="5" applyNumberFormat="1" applyFont="1" applyAlignment="1" applyProtection="1">
      <alignment vertical="center"/>
      <protection locked="0"/>
    </xf>
    <xf numFmtId="1" fontId="9" fillId="0" borderId="0" xfId="5" applyNumberFormat="1" applyFont="1" applyAlignment="1">
      <alignment horizontal="left" vertical="center"/>
    </xf>
    <xf numFmtId="176" fontId="9" fillId="0" borderId="0" xfId="4" applyNumberFormat="1" applyFont="1" applyAlignment="1">
      <alignment horizontal="right" vertical="center"/>
    </xf>
    <xf numFmtId="1" fontId="9" fillId="0" borderId="9" xfId="5" applyNumberFormat="1" applyFont="1" applyBorder="1" applyAlignment="1">
      <alignment horizontal="center" vertical="center"/>
    </xf>
    <xf numFmtId="4" fontId="9" fillId="0" borderId="10" xfId="5" applyNumberFormat="1" applyFont="1" applyBorder="1" applyAlignment="1">
      <alignment horizontal="center" vertical="center"/>
    </xf>
    <xf numFmtId="176" fontId="9" fillId="0" borderId="10" xfId="4" applyNumberFormat="1" applyFont="1" applyBorder="1" applyAlignment="1">
      <alignment horizontal="center" vertical="center"/>
    </xf>
    <xf numFmtId="4" fontId="9" fillId="0" borderId="10" xfId="9" applyNumberFormat="1" applyFont="1" applyBorder="1" applyAlignment="1">
      <alignment horizontal="center" vertical="center"/>
    </xf>
    <xf numFmtId="4" fontId="9" fillId="0" borderId="11" xfId="9" applyNumberFormat="1" applyFont="1" applyBorder="1" applyAlignment="1">
      <alignment horizontal="center" vertical="center"/>
    </xf>
    <xf numFmtId="4" fontId="9" fillId="0" borderId="0" xfId="5" applyNumberFormat="1" applyFont="1" applyAlignment="1" applyProtection="1">
      <alignment horizontal="center" vertical="center"/>
      <protection locked="0"/>
    </xf>
    <xf numFmtId="1" fontId="9" fillId="0" borderId="4" xfId="5" applyNumberFormat="1" applyFont="1" applyBorder="1" applyAlignment="1">
      <alignment vertical="center"/>
    </xf>
    <xf numFmtId="0" fontId="9" fillId="0" borderId="5" xfId="5" quotePrefix="1" applyFont="1" applyBorder="1" applyAlignment="1">
      <alignment horizontal="center" vertical="center"/>
    </xf>
    <xf numFmtId="43" fontId="9" fillId="0" borderId="5" xfId="3" applyFont="1" applyFill="1" applyBorder="1" applyAlignment="1" applyProtection="1">
      <alignment vertical="center"/>
    </xf>
    <xf numFmtId="4" fontId="9" fillId="0" borderId="5" xfId="9" applyNumberFormat="1" applyFont="1" applyBorder="1" applyAlignment="1">
      <alignment vertical="center"/>
    </xf>
    <xf numFmtId="0" fontId="9" fillId="0" borderId="5" xfId="7" quotePrefix="1" applyFont="1" applyBorder="1" applyAlignment="1">
      <alignment horizontal="center" vertical="center"/>
    </xf>
    <xf numFmtId="43" fontId="9" fillId="0" borderId="5" xfId="5" applyNumberFormat="1" applyFont="1" applyBorder="1" applyAlignment="1">
      <alignment vertical="center"/>
    </xf>
    <xf numFmtId="43" fontId="9" fillId="0" borderId="6" xfId="5" applyNumberFormat="1" applyFont="1" applyBorder="1" applyAlignment="1">
      <alignment vertical="center"/>
    </xf>
    <xf numFmtId="1" fontId="9" fillId="0" borderId="4" xfId="5" applyNumberFormat="1" applyFont="1" applyBorder="1" applyAlignment="1">
      <alignment horizontal="left" vertical="center" indent="1"/>
    </xf>
    <xf numFmtId="43" fontId="9" fillId="0" borderId="5" xfId="5" applyNumberFormat="1" applyFont="1" applyBorder="1" applyAlignment="1" applyProtection="1">
      <alignment vertical="center"/>
      <protection locked="0"/>
    </xf>
    <xf numFmtId="43" fontId="9" fillId="0" borderId="5" xfId="4" applyNumberFormat="1" applyFont="1" applyBorder="1" applyAlignment="1" applyProtection="1">
      <alignment vertical="center"/>
      <protection locked="0"/>
    </xf>
    <xf numFmtId="1" fontId="9" fillId="0" borderId="5" xfId="5" applyNumberFormat="1" applyFont="1" applyBorder="1" applyAlignment="1">
      <alignment horizontal="left" vertical="center" indent="1"/>
    </xf>
    <xf numFmtId="43" fontId="9" fillId="0" borderId="6" xfId="5" applyNumberFormat="1" applyFont="1" applyBorder="1" applyAlignment="1" applyProtection="1">
      <alignment vertical="center"/>
      <protection locked="0"/>
    </xf>
    <xf numFmtId="0" fontId="9" fillId="0" borderId="5" xfId="7" applyFont="1" applyBorder="1" applyAlignment="1">
      <alignment vertical="center"/>
    </xf>
    <xf numFmtId="43" fontId="9" fillId="0" borderId="6" xfId="9" applyNumberFormat="1" applyFont="1" applyBorder="1" applyAlignment="1" applyProtection="1">
      <alignment vertical="center"/>
      <protection locked="0"/>
    </xf>
    <xf numFmtId="43" fontId="9" fillId="0" borderId="5" xfId="9" applyNumberFormat="1" applyFont="1" applyBorder="1" applyAlignment="1" applyProtection="1">
      <alignment vertical="center"/>
      <protection locked="0"/>
    </xf>
    <xf numFmtId="43" fontId="9" fillId="0" borderId="0" xfId="5" applyNumberFormat="1" applyFont="1" applyAlignment="1" applyProtection="1">
      <alignment vertical="center"/>
      <protection locked="0"/>
    </xf>
    <xf numFmtId="43" fontId="9" fillId="0" borderId="12" xfId="5" applyNumberFormat="1" applyFont="1" applyBorder="1" applyAlignment="1" applyProtection="1">
      <alignment vertical="center"/>
      <protection locked="0"/>
    </xf>
    <xf numFmtId="1" fontId="9" fillId="0" borderId="4" xfId="5" applyNumberFormat="1" applyFont="1" applyBorder="1" applyAlignment="1">
      <alignment horizontal="left" vertical="center" indent="2"/>
    </xf>
    <xf numFmtId="4" fontId="9" fillId="0" borderId="5" xfId="7" applyNumberFormat="1" applyFont="1" applyBorder="1" applyAlignment="1">
      <alignment horizontal="left" vertical="center"/>
    </xf>
    <xf numFmtId="43" fontId="9" fillId="0" borderId="6" xfId="3" applyFont="1" applyFill="1" applyBorder="1" applyAlignment="1" applyProtection="1">
      <alignment vertical="center"/>
      <protection locked="0"/>
    </xf>
    <xf numFmtId="43" fontId="9" fillId="0" borderId="5" xfId="3" applyFont="1" applyFill="1" applyBorder="1" applyAlignment="1" applyProtection="1">
      <alignment vertical="center"/>
      <protection locked="0"/>
    </xf>
    <xf numFmtId="0" fontId="9" fillId="0" borderId="5" xfId="7" applyFont="1" applyBorder="1" applyAlignment="1">
      <alignment horizontal="left" vertical="center"/>
    </xf>
    <xf numFmtId="43" fontId="9" fillId="0" borderId="6" xfId="9" applyNumberFormat="1" applyFont="1" applyBorder="1" applyAlignment="1">
      <alignment vertical="center"/>
    </xf>
    <xf numFmtId="0" fontId="9" fillId="0" borderId="5" xfId="7" applyFont="1" applyBorder="1" applyAlignment="1">
      <alignment horizontal="left" vertical="center" indent="1"/>
    </xf>
    <xf numFmtId="4" fontId="9" fillId="0" borderId="5" xfId="7" applyNumberFormat="1" applyFont="1" applyBorder="1" applyAlignment="1">
      <alignment horizontal="left" vertical="center" indent="1"/>
    </xf>
    <xf numFmtId="43" fontId="9" fillId="0" borderId="5" xfId="9" applyNumberFormat="1" applyFont="1" applyBorder="1" applyAlignment="1">
      <alignment vertical="center"/>
    </xf>
    <xf numFmtId="43" fontId="9" fillId="0" borderId="5" xfId="6" applyFont="1" applyFill="1" applyBorder="1" applyAlignment="1" applyProtection="1">
      <alignment vertical="center"/>
    </xf>
    <xf numFmtId="4" fontId="9" fillId="0" borderId="4" xfId="9" applyNumberFormat="1" applyFont="1" applyBorder="1" applyAlignment="1">
      <alignment vertical="center"/>
    </xf>
    <xf numFmtId="4" fontId="9" fillId="0" borderId="7" xfId="9" applyNumberFormat="1" applyFont="1" applyBorder="1" applyAlignment="1">
      <alignment vertical="center"/>
    </xf>
    <xf numFmtId="0" fontId="9" fillId="0" borderId="7" xfId="9" applyFont="1" applyBorder="1" applyAlignment="1">
      <alignment horizontal="center" vertical="center"/>
    </xf>
    <xf numFmtId="43" fontId="9" fillId="0" borderId="8" xfId="3" applyFont="1" applyFill="1" applyBorder="1" applyAlignment="1" applyProtection="1">
      <alignment vertical="center"/>
      <protection locked="0"/>
    </xf>
    <xf numFmtId="43" fontId="9" fillId="0" borderId="13" xfId="3" applyFont="1" applyFill="1" applyBorder="1" applyAlignment="1" applyProtection="1">
      <alignment vertical="center"/>
      <protection locked="0"/>
    </xf>
    <xf numFmtId="0" fontId="9" fillId="0" borderId="0" xfId="7" applyFont="1" applyAlignment="1" applyProtection="1">
      <alignment vertical="center"/>
      <protection locked="0"/>
    </xf>
    <xf numFmtId="0" fontId="9" fillId="0" borderId="0" xfId="7" applyFont="1" applyAlignment="1">
      <alignment vertical="center"/>
    </xf>
    <xf numFmtId="4" fontId="9" fillId="0" borderId="0" xfId="7" applyNumberFormat="1" applyFont="1" applyAlignment="1">
      <alignment horizontal="left" vertical="center"/>
    </xf>
    <xf numFmtId="0" fontId="9" fillId="0" borderId="0" xfId="7" applyFont="1" applyAlignment="1">
      <alignment horizontal="center" vertical="center"/>
    </xf>
    <xf numFmtId="176" fontId="9" fillId="0" borderId="0" xfId="9" applyNumberFormat="1" applyFont="1" applyAlignment="1">
      <alignment horizontal="right" vertical="center" shrinkToFit="1"/>
    </xf>
    <xf numFmtId="176" fontId="9" fillId="0" borderId="0" xfId="9" applyNumberFormat="1" applyFont="1" applyAlignment="1">
      <alignment vertical="center" shrinkToFit="1"/>
    </xf>
    <xf numFmtId="0" fontId="9" fillId="0" borderId="0" xfId="7" applyFont="1" applyAlignment="1">
      <alignment horizontal="left" vertical="center"/>
    </xf>
    <xf numFmtId="0" fontId="9" fillId="0" borderId="0" xfId="3" applyNumberFormat="1" applyFont="1" applyFill="1" applyAlignment="1" applyProtection="1">
      <alignment vertical="center"/>
    </xf>
    <xf numFmtId="0" fontId="9" fillId="0" borderId="0" xfId="7" applyFont="1" applyAlignment="1">
      <alignment horizontal="right" vertical="center"/>
    </xf>
    <xf numFmtId="4" fontId="19" fillId="0" borderId="0" xfId="5" applyNumberFormat="1" applyFont="1" applyAlignment="1" applyProtection="1">
      <alignment horizontal="center" vertical="center"/>
      <protection locked="0"/>
    </xf>
    <xf numFmtId="1" fontId="14" fillId="0" borderId="0" xfId="5" applyNumberFormat="1" applyFont="1" applyAlignment="1" applyProtection="1">
      <alignment horizontal="left" vertical="center"/>
      <protection locked="0"/>
    </xf>
    <xf numFmtId="4" fontId="14" fillId="0" borderId="0" xfId="5" applyNumberFormat="1" applyFont="1" applyAlignment="1" applyProtection="1">
      <alignment vertical="center"/>
      <protection locked="0"/>
    </xf>
    <xf numFmtId="176" fontId="14" fillId="0" borderId="0" xfId="4" applyNumberFormat="1" applyFont="1" applyAlignment="1" applyProtection="1">
      <alignment vertical="center"/>
      <protection locked="0"/>
    </xf>
    <xf numFmtId="1" fontId="9" fillId="0" borderId="0" xfId="5" applyNumberFormat="1" applyFont="1" applyAlignment="1" applyProtection="1">
      <alignment vertical="center"/>
      <protection locked="0"/>
    </xf>
    <xf numFmtId="4" fontId="8" fillId="0" borderId="0" xfId="5" applyNumberFormat="1" applyFont="1" applyAlignment="1" applyProtection="1">
      <alignment vertical="center"/>
      <protection locked="0"/>
    </xf>
    <xf numFmtId="0" fontId="8" fillId="0" borderId="0" xfId="9" applyFont="1" applyAlignment="1" applyProtection="1">
      <alignment vertical="center"/>
      <protection locked="0"/>
    </xf>
    <xf numFmtId="1" fontId="19" fillId="0" borderId="0" xfId="5" applyNumberFormat="1" applyFont="1" applyAlignment="1" applyProtection="1">
      <alignment vertical="center"/>
      <protection locked="0"/>
    </xf>
    <xf numFmtId="1" fontId="19" fillId="0" borderId="0" xfId="5" applyNumberFormat="1" applyFont="1" applyAlignment="1" applyProtection="1">
      <alignment horizontal="left" vertical="center"/>
      <protection locked="0"/>
    </xf>
    <xf numFmtId="4" fontId="19" fillId="0" borderId="0" xfId="5" applyNumberFormat="1" applyFont="1" applyAlignment="1" applyProtection="1">
      <alignment vertical="center"/>
      <protection locked="0"/>
    </xf>
    <xf numFmtId="176" fontId="19" fillId="0" borderId="0" xfId="4" applyNumberFormat="1" applyFont="1" applyAlignment="1" applyProtection="1">
      <alignment vertical="center"/>
      <protection locked="0"/>
    </xf>
    <xf numFmtId="1" fontId="14" fillId="0" borderId="0" xfId="5" applyNumberFormat="1" applyFont="1" applyAlignment="1" applyProtection="1">
      <alignment vertical="center"/>
      <protection locked="0"/>
    </xf>
    <xf numFmtId="4" fontId="14" fillId="0" borderId="0" xfId="5" applyNumberFormat="1" applyFont="1" applyAlignment="1" applyProtection="1">
      <alignment horizontal="center" vertical="center"/>
      <protection locked="0"/>
    </xf>
    <xf numFmtId="4" fontId="14" fillId="0" borderId="0" xfId="5" applyNumberFormat="1" applyFont="1" applyAlignment="1">
      <alignment horizontal="center" vertical="center"/>
    </xf>
    <xf numFmtId="1" fontId="14" fillId="0" borderId="0" xfId="5" applyNumberFormat="1" applyFont="1" applyAlignment="1">
      <alignment horizontal="left" vertical="center"/>
    </xf>
    <xf numFmtId="4" fontId="14" fillId="0" borderId="0" xfId="5" applyNumberFormat="1" applyFont="1" applyAlignment="1">
      <alignment vertical="center"/>
    </xf>
    <xf numFmtId="176" fontId="14" fillId="0" borderId="0" xfId="4" applyNumberFormat="1" applyFont="1" applyAlignment="1">
      <alignment vertical="center"/>
    </xf>
    <xf numFmtId="1" fontId="14" fillId="0" borderId="0" xfId="5" applyNumberFormat="1" applyFont="1" applyAlignment="1">
      <alignment vertical="center"/>
    </xf>
    <xf numFmtId="4" fontId="14" fillId="0" borderId="0" xfId="5" applyNumberFormat="1" applyFont="1" applyAlignment="1">
      <alignment horizontal="left" vertical="center"/>
    </xf>
    <xf numFmtId="0" fontId="20" fillId="0" borderId="0" xfId="11" applyFont="1">
      <alignment vertical="center"/>
    </xf>
    <xf numFmtId="0" fontId="21" fillId="0" borderId="0" xfId="11" applyFont="1">
      <alignment vertical="center"/>
    </xf>
    <xf numFmtId="1" fontId="9" fillId="0" borderId="0" xfId="2" applyNumberFormat="1" applyFont="1" applyAlignment="1">
      <alignment vertical="center"/>
    </xf>
    <xf numFmtId="0" fontId="9" fillId="0" borderId="0" xfId="10" quotePrefix="1" applyFont="1" applyAlignment="1">
      <alignment horizontal="center" vertical="center"/>
    </xf>
    <xf numFmtId="176" fontId="9" fillId="0" borderId="0" xfId="10" applyNumberFormat="1" applyFont="1" applyAlignment="1">
      <alignment horizontal="right" vertical="center"/>
    </xf>
    <xf numFmtId="176" fontId="9" fillId="0" borderId="0" xfId="3" applyNumberFormat="1" applyFont="1" applyFill="1" applyBorder="1" applyAlignment="1" applyProtection="1">
      <alignment horizontal="right" vertical="center"/>
    </xf>
    <xf numFmtId="0" fontId="21" fillId="0" borderId="0" xfId="11" applyFont="1" applyAlignment="1">
      <alignment horizontal="center" vertical="center"/>
    </xf>
    <xf numFmtId="176" fontId="9" fillId="0" borderId="11" xfId="5" applyNumberFormat="1" applyFont="1" applyBorder="1" applyAlignment="1">
      <alignment horizontal="center" vertical="center"/>
    </xf>
    <xf numFmtId="0" fontId="9" fillId="3" borderId="4" xfId="12" applyFont="1" applyFill="1" applyBorder="1" applyAlignment="1">
      <alignment vertical="center"/>
    </xf>
    <xf numFmtId="0" fontId="9" fillId="3" borderId="5" xfId="12" quotePrefix="1" applyFont="1" applyFill="1" applyBorder="1" applyAlignment="1">
      <alignment horizontal="center" vertical="center"/>
    </xf>
    <xf numFmtId="176" fontId="9" fillId="3" borderId="6" xfId="12" quotePrefix="1" applyNumberFormat="1" applyFont="1" applyFill="1" applyBorder="1" applyAlignment="1" applyProtection="1">
      <alignment horizontal="right" vertical="center"/>
      <protection locked="0"/>
    </xf>
    <xf numFmtId="176" fontId="9" fillId="3" borderId="6" xfId="3" applyNumberFormat="1" applyFont="1" applyFill="1" applyBorder="1" applyAlignment="1" applyProtection="1">
      <alignment horizontal="right" vertical="center"/>
      <protection locked="0"/>
    </xf>
    <xf numFmtId="0" fontId="9" fillId="3" borderId="4" xfId="12" applyFont="1" applyFill="1" applyBorder="1" applyAlignment="1">
      <alignment horizontal="left" vertical="center" indent="1"/>
    </xf>
    <xf numFmtId="176" fontId="9" fillId="3" borderId="6" xfId="3" applyNumberFormat="1" applyFont="1" applyFill="1" applyBorder="1" applyAlignment="1" applyProtection="1">
      <alignment horizontal="right" vertical="center"/>
    </xf>
    <xf numFmtId="0" fontId="9" fillId="0" borderId="4" xfId="12" applyFont="1" applyBorder="1" applyAlignment="1">
      <alignment horizontal="left" vertical="center" indent="1"/>
    </xf>
    <xf numFmtId="176" fontId="9" fillId="0" borderId="6" xfId="12" quotePrefix="1" applyNumberFormat="1" applyFont="1" applyBorder="1" applyAlignment="1" applyProtection="1">
      <alignment horizontal="right" vertical="center"/>
      <protection locked="0"/>
    </xf>
    <xf numFmtId="176" fontId="9" fillId="0" borderId="6" xfId="3" applyNumberFormat="1" applyFont="1" applyFill="1" applyBorder="1" applyAlignment="1" applyProtection="1">
      <alignment horizontal="right" vertical="center"/>
      <protection locked="0"/>
    </xf>
    <xf numFmtId="0" fontId="9" fillId="0" borderId="4" xfId="12" applyFont="1" applyBorder="1" applyAlignment="1">
      <alignment vertical="center"/>
    </xf>
    <xf numFmtId="176" fontId="9" fillId="0" borderId="6" xfId="3" applyNumberFormat="1" applyFont="1" applyFill="1" applyBorder="1" applyAlignment="1" applyProtection="1">
      <alignment horizontal="right" vertical="center"/>
    </xf>
    <xf numFmtId="176" fontId="9" fillId="0" borderId="6" xfId="12" quotePrefix="1" applyNumberFormat="1" applyFont="1" applyBorder="1" applyAlignment="1">
      <alignment horizontal="right" vertical="center"/>
    </xf>
    <xf numFmtId="0" fontId="9" fillId="0" borderId="13" xfId="3" applyNumberFormat="1" applyFont="1" applyFill="1" applyBorder="1" applyAlignment="1" applyProtection="1">
      <alignment horizontal="center" vertical="center"/>
    </xf>
    <xf numFmtId="176" fontId="9" fillId="0" borderId="13" xfId="3" applyNumberFormat="1" applyFont="1" applyFill="1" applyBorder="1" applyAlignment="1" applyProtection="1">
      <alignment horizontal="right" vertical="center"/>
    </xf>
    <xf numFmtId="0" fontId="9" fillId="0" borderId="0" xfId="10" applyFont="1" applyAlignment="1">
      <alignment vertical="center"/>
    </xf>
    <xf numFmtId="0" fontId="9" fillId="0" borderId="0" xfId="10" applyFont="1" applyAlignment="1">
      <alignment horizontal="center" vertical="center"/>
    </xf>
    <xf numFmtId="176" fontId="9" fillId="0" borderId="0" xfId="10" applyNumberFormat="1" applyFont="1" applyAlignment="1">
      <alignment horizontal="center" vertical="center"/>
    </xf>
    <xf numFmtId="176" fontId="9" fillId="0" borderId="0" xfId="3" applyNumberFormat="1" applyFont="1" applyFill="1" applyBorder="1" applyAlignment="1" applyProtection="1">
      <alignment horizontal="left" vertical="center" shrinkToFit="1"/>
    </xf>
    <xf numFmtId="49" fontId="9" fillId="0" borderId="0" xfId="12" applyNumberFormat="1" applyFont="1" applyAlignment="1">
      <alignment horizontal="left" vertical="center"/>
    </xf>
    <xf numFmtId="176" fontId="9" fillId="0" borderId="0" xfId="12" applyNumberFormat="1" applyFont="1" applyAlignment="1">
      <alignment horizontal="center" vertical="center"/>
    </xf>
    <xf numFmtId="176" fontId="9" fillId="0" borderId="0" xfId="3" applyNumberFormat="1" applyFont="1" applyFill="1" applyBorder="1" applyAlignment="1" applyProtection="1">
      <alignment horizontal="left" vertical="center"/>
    </xf>
    <xf numFmtId="0" fontId="14" fillId="0" borderId="0" xfId="10" applyFont="1" applyAlignment="1">
      <alignment vertical="center"/>
    </xf>
    <xf numFmtId="43" fontId="8" fillId="2" borderId="0" xfId="2" applyNumberFormat="1" applyFont="1" applyFill="1" applyAlignment="1">
      <alignment vertical="center"/>
    </xf>
    <xf numFmtId="176" fontId="14" fillId="0" borderId="0" xfId="3" applyNumberFormat="1" applyFont="1" applyFill="1" applyAlignment="1" applyProtection="1">
      <alignment vertical="center"/>
    </xf>
    <xf numFmtId="0" fontId="14" fillId="0" borderId="0" xfId="12" applyFont="1" applyAlignment="1">
      <alignment vertical="center"/>
    </xf>
    <xf numFmtId="176" fontId="20" fillId="0" borderId="0" xfId="11" applyNumberFormat="1" applyFont="1" applyAlignment="1">
      <alignment horizontal="right" vertical="center"/>
    </xf>
    <xf numFmtId="0" fontId="14" fillId="2" borderId="0" xfId="9" applyFont="1" applyFill="1" applyAlignment="1">
      <alignment vertical="center"/>
    </xf>
    <xf numFmtId="0" fontId="9" fillId="2" borderId="0" xfId="10" applyFont="1" applyFill="1" applyAlignment="1">
      <alignment horizontal="center" vertical="center"/>
    </xf>
    <xf numFmtId="0" fontId="9" fillId="2" borderId="0" xfId="10" applyFont="1" applyFill="1" applyAlignment="1">
      <alignment horizontal="right" vertical="center"/>
    </xf>
    <xf numFmtId="0" fontId="9" fillId="2" borderId="0" xfId="9" applyFont="1" applyFill="1" applyAlignment="1">
      <alignment vertical="center"/>
    </xf>
    <xf numFmtId="0" fontId="9" fillId="2" borderId="0" xfId="13" applyFont="1" applyFill="1" applyAlignment="1">
      <alignment horizontal="left" vertical="center"/>
    </xf>
    <xf numFmtId="177" fontId="9" fillId="2" borderId="18" xfId="10" applyNumberFormat="1" applyFont="1" applyFill="1" applyBorder="1" applyAlignment="1">
      <alignment horizontal="left" vertical="center"/>
    </xf>
    <xf numFmtId="177" fontId="9" fillId="2" borderId="0" xfId="10" applyNumberFormat="1" applyFont="1" applyFill="1" applyAlignment="1">
      <alignment horizontal="left" vertical="center"/>
    </xf>
    <xf numFmtId="0" fontId="9" fillId="2" borderId="9" xfId="10" applyFont="1" applyFill="1" applyBorder="1" applyAlignment="1">
      <alignment horizontal="center" vertical="center"/>
    </xf>
    <xf numFmtId="0" fontId="9" fillId="2" borderId="10" xfId="10" applyFont="1" applyFill="1" applyBorder="1" applyAlignment="1">
      <alignment horizontal="center" vertical="center"/>
    </xf>
    <xf numFmtId="0" fontId="9" fillId="2" borderId="11" xfId="14" applyFont="1" applyFill="1" applyBorder="1" applyAlignment="1">
      <alignment horizontal="center" vertical="center"/>
    </xf>
    <xf numFmtId="0" fontId="9" fillId="2" borderId="0" xfId="9" applyFont="1" applyFill="1" applyAlignment="1" applyProtection="1">
      <alignment horizontal="center" vertical="center"/>
      <protection locked="0"/>
    </xf>
    <xf numFmtId="0" fontId="9" fillId="2" borderId="0" xfId="9" applyFont="1" applyFill="1" applyAlignment="1">
      <alignment horizontal="center" vertical="center"/>
    </xf>
    <xf numFmtId="0" fontId="9" fillId="2" borderId="4" xfId="10" applyFont="1" applyFill="1" applyBorder="1" applyAlignment="1">
      <alignment vertical="center"/>
    </xf>
    <xf numFmtId="0" fontId="9" fillId="2" borderId="5" xfId="7" quotePrefix="1" applyFont="1" applyFill="1" applyBorder="1" applyAlignment="1">
      <alignment horizontal="center" vertical="center"/>
    </xf>
    <xf numFmtId="176" fontId="9" fillId="2" borderId="6" xfId="14" applyNumberFormat="1" applyFont="1" applyFill="1" applyBorder="1" applyAlignment="1">
      <alignment horizontal="center" vertical="center"/>
    </xf>
    <xf numFmtId="43" fontId="9" fillId="2" borderId="6" xfId="7" quotePrefix="1" applyNumberFormat="1" applyFont="1" applyFill="1" applyBorder="1" applyAlignment="1" applyProtection="1">
      <alignment horizontal="center" vertical="center"/>
      <protection locked="0"/>
    </xf>
    <xf numFmtId="43" fontId="9" fillId="2" borderId="6" xfId="14" applyNumberFormat="1" applyFont="1" applyFill="1" applyBorder="1" applyAlignment="1" applyProtection="1">
      <alignment vertical="center"/>
      <protection locked="0"/>
    </xf>
    <xf numFmtId="0" fontId="9" fillId="2" borderId="4" xfId="10" applyFont="1" applyFill="1" applyBorder="1" applyAlignment="1">
      <alignment horizontal="left" vertical="center" indent="1"/>
    </xf>
    <xf numFmtId="43" fontId="9" fillId="2" borderId="6" xfId="6" quotePrefix="1" applyFont="1" applyFill="1" applyBorder="1" applyAlignment="1" applyProtection="1">
      <alignment horizontal="center" vertical="center"/>
      <protection locked="0"/>
    </xf>
    <xf numFmtId="0" fontId="9" fillId="2" borderId="0" xfId="9" applyFont="1" applyFill="1" applyAlignment="1">
      <alignment horizontal="left" vertical="center" indent="1"/>
    </xf>
    <xf numFmtId="0" fontId="9" fillId="0" borderId="4" xfId="10" applyFont="1" applyBorder="1" applyAlignment="1">
      <alignment horizontal="left" vertical="center" indent="1"/>
    </xf>
    <xf numFmtId="0" fontId="9" fillId="2" borderId="7" xfId="3" applyNumberFormat="1" applyFont="1" applyFill="1" applyBorder="1" applyAlignment="1" applyProtection="1">
      <alignment vertical="center"/>
    </xf>
    <xf numFmtId="0" fontId="9" fillId="2" borderId="7" xfId="3" applyNumberFormat="1" applyFont="1" applyFill="1" applyBorder="1" applyAlignment="1" applyProtection="1">
      <alignment horizontal="center" vertical="center"/>
    </xf>
    <xf numFmtId="43" fontId="9" fillId="2" borderId="13" xfId="3" applyFont="1" applyFill="1" applyBorder="1" applyAlignment="1" applyProtection="1">
      <alignment horizontal="center" vertical="center"/>
    </xf>
    <xf numFmtId="0" fontId="9" fillId="2" borderId="0" xfId="10" applyFont="1" applyFill="1" applyAlignment="1">
      <alignment vertical="center"/>
    </xf>
    <xf numFmtId="0" fontId="9" fillId="2" borderId="0" xfId="14" applyFont="1" applyFill="1" applyAlignment="1">
      <alignment horizontal="center" vertical="center"/>
    </xf>
    <xf numFmtId="0" fontId="9" fillId="2" borderId="0" xfId="14" applyFont="1" applyFill="1" applyAlignment="1">
      <alignment vertical="center"/>
    </xf>
    <xf numFmtId="0" fontId="9" fillId="2" borderId="0" xfId="7" applyFont="1" applyFill="1" applyAlignment="1" applyProtection="1">
      <alignment horizontal="left" vertical="center"/>
      <protection locked="0"/>
    </xf>
    <xf numFmtId="0" fontId="9" fillId="2" borderId="0" xfId="8" applyFont="1" applyFill="1" applyAlignment="1" applyProtection="1">
      <alignment vertical="center"/>
      <protection locked="0"/>
    </xf>
    <xf numFmtId="0" fontId="9" fillId="2" borderId="0" xfId="7" applyFont="1" applyFill="1" applyAlignment="1">
      <alignment horizontal="left" vertical="center"/>
    </xf>
    <xf numFmtId="4" fontId="9" fillId="2" borderId="0" xfId="5" applyNumberFormat="1" applyFont="1" applyFill="1" applyAlignment="1">
      <alignment vertical="center"/>
    </xf>
    <xf numFmtId="0" fontId="9" fillId="2" borderId="0" xfId="8" applyFont="1" applyFill="1" applyAlignment="1">
      <alignment vertical="center"/>
    </xf>
    <xf numFmtId="0" fontId="8" fillId="2" borderId="0" xfId="10" applyFont="1" applyFill="1" applyAlignment="1" applyProtection="1">
      <alignment horizontal="left" vertical="center"/>
      <protection locked="0"/>
    </xf>
    <xf numFmtId="0" fontId="8" fillId="2" borderId="0" xfId="14" applyFont="1" applyFill="1" applyAlignment="1" applyProtection="1">
      <alignment horizontal="center" vertical="center"/>
      <protection locked="0"/>
    </xf>
    <xf numFmtId="0" fontId="8" fillId="2" borderId="0" xfId="14" applyFont="1" applyFill="1" applyAlignment="1" applyProtection="1">
      <alignment vertical="center"/>
      <protection locked="0"/>
    </xf>
    <xf numFmtId="0" fontId="14" fillId="2" borderId="0" xfId="9" applyFont="1" applyFill="1" applyAlignment="1" applyProtection="1">
      <alignment horizontal="center" vertical="center"/>
      <protection locked="0"/>
    </xf>
    <xf numFmtId="0" fontId="14" fillId="2" borderId="0" xfId="9" applyFont="1" applyFill="1" applyAlignment="1">
      <alignment horizontal="center" vertical="center"/>
    </xf>
    <xf numFmtId="0" fontId="22" fillId="0" borderId="0" xfId="15" applyFont="1">
      <alignment vertical="center"/>
    </xf>
    <xf numFmtId="0" fontId="23" fillId="0" borderId="0" xfId="15" applyFont="1">
      <alignment vertical="center"/>
    </xf>
    <xf numFmtId="43" fontId="23" fillId="0" borderId="0" xfId="16" applyFont="1" applyFill="1" applyProtection="1">
      <alignment vertical="center"/>
    </xf>
    <xf numFmtId="0" fontId="23" fillId="2" borderId="0" xfId="15" applyFont="1" applyFill="1" applyProtection="1">
      <alignment vertical="center"/>
      <protection locked="0"/>
    </xf>
    <xf numFmtId="0" fontId="23" fillId="0" borderId="0" xfId="15" applyFont="1" applyProtection="1">
      <alignment vertical="center"/>
      <protection locked="0"/>
    </xf>
    <xf numFmtId="178" fontId="23" fillId="0" borderId="0" xfId="15" applyNumberFormat="1" applyFont="1">
      <alignment vertical="center"/>
    </xf>
    <xf numFmtId="0" fontId="23" fillId="0" borderId="0" xfId="15" applyFont="1" applyAlignment="1">
      <alignment horizontal="right" vertical="center"/>
    </xf>
    <xf numFmtId="0" fontId="24" fillId="0" borderId="0" xfId="15" applyFont="1">
      <alignment vertical="center"/>
    </xf>
    <xf numFmtId="0" fontId="22" fillId="2" borderId="0" xfId="10" applyFont="1" applyFill="1" applyAlignment="1">
      <alignment horizontal="right" vertical="center"/>
    </xf>
    <xf numFmtId="0" fontId="25" fillId="4" borderId="19" xfId="15" applyFont="1" applyFill="1" applyBorder="1" applyAlignment="1">
      <alignment horizontal="center" vertical="center"/>
    </xf>
    <xf numFmtId="0" fontId="23" fillId="2" borderId="0" xfId="15" applyFont="1" applyFill="1">
      <alignment vertical="center"/>
    </xf>
    <xf numFmtId="0" fontId="22" fillId="2" borderId="0" xfId="15" applyFont="1" applyFill="1">
      <alignment vertical="center"/>
    </xf>
    <xf numFmtId="0" fontId="23" fillId="2" borderId="0" xfId="15" applyFont="1" applyFill="1" applyAlignment="1">
      <alignment horizontal="left" vertical="center"/>
    </xf>
    <xf numFmtId="179" fontId="23" fillId="2" borderId="0" xfId="6" applyNumberFormat="1" applyFont="1" applyFill="1" applyProtection="1">
      <alignment vertical="center"/>
      <protection locked="0"/>
    </xf>
    <xf numFmtId="179" fontId="23" fillId="2" borderId="0" xfId="6" applyNumberFormat="1" applyFont="1" applyFill="1" applyProtection="1">
      <alignment vertical="center"/>
    </xf>
    <xf numFmtId="0" fontId="23" fillId="0" borderId="0" xfId="15" applyFont="1" applyAlignment="1">
      <alignment horizontal="center" vertical="center"/>
    </xf>
    <xf numFmtId="0" fontId="23" fillId="0" borderId="0" xfId="15" applyFont="1" applyAlignment="1">
      <alignment horizontal="left" vertical="center"/>
    </xf>
    <xf numFmtId="179" fontId="23" fillId="0" borderId="0" xfId="6" applyNumberFormat="1" applyFont="1" applyFill="1" applyProtection="1">
      <alignment vertical="center"/>
      <protection locked="0"/>
    </xf>
    <xf numFmtId="179" fontId="23" fillId="0" borderId="0" xfId="6" applyNumberFormat="1" applyFont="1" applyFill="1" applyProtection="1">
      <alignment vertical="center"/>
    </xf>
    <xf numFmtId="0" fontId="22" fillId="0" borderId="0" xfId="17" applyFont="1">
      <alignment vertical="center"/>
    </xf>
    <xf numFmtId="0" fontId="22" fillId="0" borderId="0" xfId="15" applyFont="1" applyAlignment="1">
      <alignment horizontal="left" vertical="center"/>
    </xf>
    <xf numFmtId="0" fontId="23" fillId="2" borderId="0" xfId="15" applyFont="1" applyFill="1" applyAlignment="1">
      <alignment horizontal="center" vertical="center"/>
    </xf>
    <xf numFmtId="0" fontId="3" fillId="0" borderId="0" xfId="11" applyProtection="1">
      <alignment vertical="center"/>
      <protection locked="0"/>
    </xf>
    <xf numFmtId="0" fontId="23" fillId="0" borderId="20" xfId="15" applyFont="1" applyBorder="1" applyAlignment="1" applyProtection="1">
      <alignment horizontal="left" vertical="center"/>
      <protection locked="0"/>
    </xf>
    <xf numFmtId="0" fontId="23" fillId="0" borderId="20" xfId="15" applyFont="1" applyBorder="1" applyProtection="1">
      <alignment vertical="center"/>
      <protection locked="0"/>
    </xf>
    <xf numFmtId="43" fontId="23" fillId="0" borderId="20" xfId="6" applyFont="1" applyFill="1" applyBorder="1" applyProtection="1">
      <alignment vertical="center"/>
    </xf>
    <xf numFmtId="0" fontId="22" fillId="0" borderId="0" xfId="15" applyFont="1" applyProtection="1">
      <alignment vertical="center"/>
      <protection locked="0"/>
    </xf>
    <xf numFmtId="0" fontId="23" fillId="0" borderId="0" xfId="15" applyFont="1" applyAlignment="1" applyProtection="1">
      <alignment horizontal="left" vertical="center"/>
      <protection locked="0"/>
    </xf>
    <xf numFmtId="43" fontId="23" fillId="0" borderId="0" xfId="6" applyFont="1" applyFill="1" applyProtection="1">
      <alignment vertical="center"/>
      <protection locked="0"/>
    </xf>
    <xf numFmtId="43" fontId="23" fillId="0" borderId="0" xfId="15" applyNumberFormat="1" applyFont="1" applyAlignment="1" applyProtection="1">
      <alignment horizontal="right" vertical="center"/>
      <protection locked="0"/>
    </xf>
    <xf numFmtId="43" fontId="23" fillId="0" borderId="0" xfId="16" applyFont="1" applyFill="1" applyProtection="1">
      <alignment vertical="center"/>
      <protection locked="0"/>
    </xf>
    <xf numFmtId="181" fontId="27" fillId="5" borderId="21" xfId="18" applyNumberFormat="1" applyFont="1" applyFill="1" applyBorder="1" applyAlignment="1">
      <alignment horizontal="center" vertical="center" wrapText="1"/>
    </xf>
    <xf numFmtId="49" fontId="27" fillId="5" borderId="21" xfId="19" applyNumberFormat="1" applyFont="1" applyFill="1" applyBorder="1" applyAlignment="1">
      <alignment horizontal="center" vertical="center" wrapText="1"/>
    </xf>
    <xf numFmtId="180" fontId="27" fillId="5" borderId="21" xfId="19" applyFont="1" applyFill="1" applyBorder="1" applyAlignment="1">
      <alignment horizontal="center" vertical="center" wrapText="1"/>
    </xf>
    <xf numFmtId="43" fontId="28" fillId="4" borderId="22" xfId="6" applyFont="1" applyFill="1" applyBorder="1" applyAlignment="1">
      <alignment horizontal="center" vertical="center" wrapText="1"/>
    </xf>
    <xf numFmtId="43" fontId="28" fillId="4" borderId="23" xfId="6" applyFont="1" applyFill="1" applyBorder="1" applyAlignment="1">
      <alignment horizontal="center" vertical="center" wrapText="1"/>
    </xf>
    <xf numFmtId="182" fontId="28" fillId="4" borderId="22" xfId="6" applyNumberFormat="1" applyFont="1" applyFill="1" applyBorder="1" applyAlignment="1">
      <alignment horizontal="center" vertical="center" wrapText="1"/>
    </xf>
    <xf numFmtId="43" fontId="0" fillId="0" borderId="0" xfId="6" applyFont="1" applyAlignment="1">
      <alignment horizontal="center" vertical="center" wrapText="1"/>
    </xf>
    <xf numFmtId="0" fontId="3" fillId="0" borderId="0" xfId="11" applyAlignment="1">
      <alignment horizontal="center" vertical="center" wrapText="1"/>
    </xf>
    <xf numFmtId="181" fontId="28" fillId="0" borderId="21" xfId="20" applyNumberFormat="1" applyFont="1" applyFill="1" applyBorder="1" applyAlignment="1">
      <alignment horizontal="left" vertical="center"/>
    </xf>
    <xf numFmtId="0" fontId="28" fillId="0" borderId="21" xfId="11" applyFont="1" applyBorder="1">
      <alignment vertical="center"/>
    </xf>
    <xf numFmtId="181" fontId="28" fillId="0" borderId="24" xfId="20" applyNumberFormat="1" applyFont="1" applyFill="1" applyBorder="1" applyAlignment="1">
      <alignment horizontal="left" vertical="center"/>
    </xf>
    <xf numFmtId="43" fontId="28" fillId="6" borderId="0" xfId="6" applyFont="1" applyFill="1" applyBorder="1">
      <alignment vertical="center"/>
    </xf>
    <xf numFmtId="43" fontId="28" fillId="6" borderId="0" xfId="6" applyFont="1" applyFill="1" applyBorder="1" applyAlignment="1">
      <alignment vertical="center"/>
    </xf>
    <xf numFmtId="43" fontId="29" fillId="6" borderId="0" xfId="6" applyFont="1" applyFill="1" applyBorder="1">
      <alignment vertical="center"/>
    </xf>
    <xf numFmtId="182" fontId="29" fillId="0" borderId="0" xfId="6" applyNumberFormat="1" applyFont="1">
      <alignment vertical="center"/>
    </xf>
    <xf numFmtId="43" fontId="29" fillId="0" borderId="0" xfId="6" applyFont="1">
      <alignment vertical="center"/>
    </xf>
    <xf numFmtId="43" fontId="29" fillId="0" borderId="0" xfId="11" applyNumberFormat="1" applyFont="1">
      <alignment vertical="center"/>
    </xf>
    <xf numFmtId="0" fontId="29" fillId="0" borderId="0" xfId="11" applyFont="1">
      <alignment vertical="center"/>
    </xf>
    <xf numFmtId="43" fontId="28" fillId="0" borderId="0" xfId="6" applyFont="1" applyBorder="1">
      <alignment vertical="center"/>
    </xf>
    <xf numFmtId="43" fontId="28" fillId="0" borderId="0" xfId="6" applyFont="1" applyFill="1" applyBorder="1">
      <alignment vertical="center"/>
    </xf>
    <xf numFmtId="43" fontId="28" fillId="0" borderId="0" xfId="6" applyFont="1" applyFill="1" applyBorder="1" applyAlignment="1">
      <alignment vertical="center"/>
    </xf>
    <xf numFmtId="43" fontId="29" fillId="0" borderId="0" xfId="6" applyFont="1" applyFill="1" applyBorder="1">
      <alignment vertical="center"/>
    </xf>
    <xf numFmtId="43" fontId="28" fillId="7" borderId="0" xfId="6" applyFont="1" applyFill="1" applyBorder="1">
      <alignment vertical="center"/>
    </xf>
    <xf numFmtId="43" fontId="28" fillId="7" borderId="0" xfId="6" applyFont="1" applyFill="1" applyBorder="1" applyAlignment="1">
      <alignment vertical="center"/>
    </xf>
    <xf numFmtId="43" fontId="29" fillId="7" borderId="0" xfId="6" applyFont="1" applyFill="1" applyBorder="1">
      <alignment vertical="center"/>
    </xf>
    <xf numFmtId="43" fontId="28" fillId="4" borderId="0" xfId="6" applyFont="1" applyFill="1" applyBorder="1">
      <alignment vertical="center"/>
    </xf>
    <xf numFmtId="43" fontId="28" fillId="4" borderId="0" xfId="6" applyFont="1" applyFill="1" applyBorder="1" applyAlignment="1">
      <alignment vertical="center"/>
    </xf>
    <xf numFmtId="43" fontId="29" fillId="4" borderId="0" xfId="6" applyFont="1" applyFill="1" applyBorder="1">
      <alignment vertical="center"/>
    </xf>
    <xf numFmtId="43" fontId="28" fillId="0" borderId="21" xfId="6" applyFont="1" applyFill="1" applyBorder="1" applyAlignment="1">
      <alignment vertical="center"/>
    </xf>
    <xf numFmtId="43" fontId="28" fillId="8" borderId="0" xfId="6" applyFont="1" applyFill="1" applyBorder="1">
      <alignment vertical="center"/>
    </xf>
    <xf numFmtId="43" fontId="28" fillId="9" borderId="0" xfId="6" applyFont="1" applyFill="1" applyBorder="1">
      <alignment vertical="center"/>
    </xf>
    <xf numFmtId="43" fontId="29" fillId="9" borderId="0" xfId="6" applyFont="1" applyFill="1" applyBorder="1">
      <alignment vertical="center"/>
    </xf>
    <xf numFmtId="43" fontId="29" fillId="10" borderId="0" xfId="6" applyFont="1" applyFill="1" applyBorder="1">
      <alignment vertical="center"/>
    </xf>
    <xf numFmtId="43" fontId="28" fillId="11" borderId="0" xfId="6" applyFont="1" applyFill="1" applyBorder="1">
      <alignment vertical="center"/>
    </xf>
    <xf numFmtId="43" fontId="28" fillId="11" borderId="0" xfId="6" applyFont="1" applyFill="1" applyBorder="1" applyAlignment="1">
      <alignment vertical="center"/>
    </xf>
    <xf numFmtId="43" fontId="29" fillId="11" borderId="0" xfId="6" applyFont="1" applyFill="1" applyBorder="1">
      <alignment vertical="center"/>
    </xf>
    <xf numFmtId="182" fontId="3" fillId="0" borderId="0" xfId="11" applyNumberFormat="1">
      <alignment vertical="center"/>
    </xf>
    <xf numFmtId="0" fontId="3" fillId="0" borderId="21" xfId="11" applyBorder="1">
      <alignment vertical="center"/>
    </xf>
    <xf numFmtId="0" fontId="30" fillId="0" borderId="21" xfId="11" applyFont="1" applyBorder="1">
      <alignment vertical="center"/>
    </xf>
    <xf numFmtId="0" fontId="3" fillId="12" borderId="0" xfId="11" applyFill="1">
      <alignment vertical="center"/>
    </xf>
    <xf numFmtId="43" fontId="28" fillId="8" borderId="0" xfId="6" applyFont="1" applyFill="1" applyBorder="1" applyAlignment="1">
      <alignment vertical="center"/>
    </xf>
    <xf numFmtId="43" fontId="29" fillId="8" borderId="0" xfId="6" applyFont="1" applyFill="1" applyBorder="1">
      <alignment vertical="center"/>
    </xf>
    <xf numFmtId="181" fontId="28" fillId="0" borderId="21" xfId="11" applyNumberFormat="1" applyFont="1" applyBorder="1" applyAlignment="1">
      <alignment horizontal="left" vertical="center"/>
    </xf>
    <xf numFmtId="181" fontId="28" fillId="0" borderId="24" xfId="20" applyNumberFormat="1" applyFont="1" applyFill="1" applyBorder="1" applyAlignment="1">
      <alignment horizontal="center" vertical="center"/>
    </xf>
    <xf numFmtId="43" fontId="28" fillId="13" borderId="0" xfId="6" applyFont="1" applyFill="1" applyBorder="1">
      <alignment vertical="center"/>
    </xf>
    <xf numFmtId="43" fontId="28" fillId="13" borderId="0" xfId="6" applyFont="1" applyFill="1" applyBorder="1" applyAlignment="1">
      <alignment vertical="center"/>
    </xf>
    <xf numFmtId="43" fontId="28" fillId="13" borderId="0" xfId="6" applyFont="1" applyFill="1">
      <alignment vertical="center"/>
    </xf>
    <xf numFmtId="43" fontId="31" fillId="8" borderId="0" xfId="6" applyFont="1" applyFill="1" applyBorder="1">
      <alignment vertical="center"/>
    </xf>
    <xf numFmtId="181" fontId="28" fillId="14" borderId="21" xfId="11" applyNumberFormat="1" applyFont="1" applyFill="1" applyBorder="1" applyAlignment="1">
      <alignment horizontal="left" vertical="center"/>
    </xf>
    <xf numFmtId="181" fontId="28" fillId="14" borderId="21" xfId="20" applyNumberFormat="1" applyFont="1" applyFill="1" applyBorder="1" applyAlignment="1">
      <alignment horizontal="left" vertical="center"/>
    </xf>
    <xf numFmtId="0" fontId="28" fillId="14" borderId="21" xfId="11" applyFont="1" applyFill="1" applyBorder="1">
      <alignment vertical="center"/>
    </xf>
    <xf numFmtId="181" fontId="28" fillId="14" borderId="24" xfId="20" applyNumberFormat="1" applyFont="1" applyFill="1" applyBorder="1" applyAlignment="1">
      <alignment horizontal="center" vertical="center"/>
    </xf>
    <xf numFmtId="43" fontId="28" fillId="14" borderId="0" xfId="6" applyFont="1" applyFill="1" applyBorder="1">
      <alignment vertical="center"/>
    </xf>
    <xf numFmtId="43" fontId="28" fillId="14" borderId="0" xfId="6" applyFont="1" applyFill="1" applyBorder="1" applyAlignment="1">
      <alignment vertical="center"/>
    </xf>
    <xf numFmtId="43" fontId="29" fillId="14" borderId="0" xfId="6" applyFont="1" applyFill="1" applyBorder="1">
      <alignment vertical="center"/>
    </xf>
    <xf numFmtId="182" fontId="29" fillId="0" borderId="0" xfId="6" applyNumberFormat="1" applyFont="1" applyFill="1">
      <alignment vertical="center"/>
    </xf>
    <xf numFmtId="0" fontId="28" fillId="0" borderId="21" xfId="11" applyFont="1" applyBorder="1" applyAlignment="1">
      <alignment horizontal="left" vertical="center"/>
    </xf>
    <xf numFmtId="181" fontId="28" fillId="15" borderId="21" xfId="11" applyNumberFormat="1" applyFont="1" applyFill="1" applyBorder="1" applyAlignment="1">
      <alignment horizontal="left" vertical="center"/>
    </xf>
    <xf numFmtId="181" fontId="28" fillId="15" borderId="21" xfId="20" applyNumberFormat="1" applyFont="1" applyFill="1" applyBorder="1" applyAlignment="1">
      <alignment horizontal="left" vertical="center"/>
    </xf>
    <xf numFmtId="0" fontId="28" fillId="15" borderId="21" xfId="11" applyFont="1" applyFill="1" applyBorder="1">
      <alignment vertical="center"/>
    </xf>
    <xf numFmtId="4" fontId="29" fillId="0" borderId="0" xfId="11" applyNumberFormat="1" applyFont="1">
      <alignment vertical="center"/>
    </xf>
    <xf numFmtId="0" fontId="28" fillId="15" borderId="21" xfId="11" applyFont="1" applyFill="1" applyBorder="1" applyAlignment="1">
      <alignment horizontal="left" vertical="center"/>
    </xf>
    <xf numFmtId="181" fontId="31" fillId="0" borderId="24" xfId="20" applyNumberFormat="1" applyFont="1" applyFill="1" applyBorder="1" applyAlignment="1">
      <alignment horizontal="left" vertical="center"/>
    </xf>
    <xf numFmtId="0" fontId="31" fillId="0" borderId="21" xfId="11" applyFont="1" applyBorder="1">
      <alignment vertical="center"/>
    </xf>
    <xf numFmtId="43" fontId="31" fillId="0" borderId="0" xfId="6" applyFont="1" applyFill="1" applyBorder="1" applyAlignment="1">
      <alignment vertical="center"/>
    </xf>
    <xf numFmtId="43" fontId="31" fillId="0" borderId="0" xfId="6" applyFont="1" applyFill="1" applyBorder="1">
      <alignment vertical="center"/>
    </xf>
    <xf numFmtId="181" fontId="31" fillId="15" borderId="21" xfId="11" applyNumberFormat="1" applyFont="1" applyFill="1" applyBorder="1" applyAlignment="1">
      <alignment horizontal="left" vertical="center"/>
    </xf>
    <xf numFmtId="181" fontId="31" fillId="15" borderId="21" xfId="20" applyNumberFormat="1" applyFont="1" applyFill="1" applyBorder="1" applyAlignment="1">
      <alignment horizontal="left" vertical="center"/>
    </xf>
    <xf numFmtId="0" fontId="31" fillId="15" borderId="21" xfId="11" applyFont="1" applyFill="1" applyBorder="1">
      <alignment vertical="center"/>
    </xf>
    <xf numFmtId="43" fontId="2" fillId="0" borderId="0" xfId="6" applyFont="1" applyFill="1" applyBorder="1">
      <alignment vertical="center"/>
    </xf>
    <xf numFmtId="43" fontId="2" fillId="0" borderId="0" xfId="11" applyNumberFormat="1" applyFont="1">
      <alignment vertical="center"/>
    </xf>
    <xf numFmtId="43" fontId="2" fillId="0" borderId="0" xfId="6" applyFont="1">
      <alignment vertical="center"/>
    </xf>
    <xf numFmtId="0" fontId="2" fillId="0" borderId="0" xfId="11" applyFont="1">
      <alignment vertical="center"/>
    </xf>
    <xf numFmtId="43" fontId="29" fillId="8" borderId="0" xfId="6" applyFont="1" applyFill="1">
      <alignment vertical="center"/>
    </xf>
    <xf numFmtId="0" fontId="3" fillId="0" borderId="0" xfId="11">
      <alignment vertical="center"/>
    </xf>
    <xf numFmtId="43" fontId="28" fillId="0" borderId="0" xfId="6" applyFont="1" applyFill="1">
      <alignment vertical="center"/>
    </xf>
    <xf numFmtId="43" fontId="28" fillId="16" borderId="0" xfId="6" applyFont="1" applyFill="1">
      <alignment vertical="center"/>
    </xf>
    <xf numFmtId="43" fontId="28" fillId="16" borderId="0" xfId="6" applyFont="1" applyFill="1" applyBorder="1">
      <alignment vertical="center"/>
    </xf>
    <xf numFmtId="43" fontId="28" fillId="16" borderId="0" xfId="6" applyFont="1" applyFill="1" applyBorder="1" applyAlignment="1">
      <alignment vertical="center"/>
    </xf>
    <xf numFmtId="43" fontId="29" fillId="16" borderId="0" xfId="6" applyFont="1" applyFill="1" applyBorder="1">
      <alignment vertical="center"/>
    </xf>
    <xf numFmtId="43" fontId="28" fillId="17" borderId="0" xfId="6" applyFont="1" applyFill="1">
      <alignment vertical="center"/>
    </xf>
    <xf numFmtId="43" fontId="28" fillId="17" borderId="0" xfId="6" applyFont="1" applyFill="1" applyBorder="1">
      <alignment vertical="center"/>
    </xf>
    <xf numFmtId="43" fontId="28" fillId="17" borderId="0" xfId="6" applyFont="1" applyFill="1" applyBorder="1" applyAlignment="1">
      <alignment vertical="center"/>
    </xf>
    <xf numFmtId="43" fontId="29" fillId="17" borderId="0" xfId="6" applyFont="1" applyFill="1" applyBorder="1">
      <alignment vertical="center"/>
    </xf>
    <xf numFmtId="43" fontId="28" fillId="6" borderId="0" xfId="6" applyFont="1" applyFill="1">
      <alignment vertical="center"/>
    </xf>
    <xf numFmtId="43" fontId="28" fillId="0" borderId="0" xfId="6" applyFont="1">
      <alignment vertical="center"/>
    </xf>
    <xf numFmtId="0" fontId="28" fillId="0" borderId="0" xfId="11" applyFont="1">
      <alignment vertical="center"/>
    </xf>
    <xf numFmtId="0" fontId="28" fillId="0" borderId="0" xfId="11" applyFont="1" applyAlignment="1">
      <alignment horizontal="left" vertical="center"/>
    </xf>
    <xf numFmtId="43" fontId="0" fillId="0" borderId="0" xfId="6" applyFont="1">
      <alignment vertical="center"/>
    </xf>
    <xf numFmtId="43" fontId="28" fillId="8" borderId="0" xfId="6" applyFont="1" applyFill="1">
      <alignment vertical="center"/>
    </xf>
    <xf numFmtId="43" fontId="2" fillId="6" borderId="0" xfId="6" applyFont="1" applyFill="1" applyBorder="1">
      <alignment vertical="center"/>
    </xf>
    <xf numFmtId="43" fontId="31" fillId="4" borderId="0" xfId="6" applyFont="1" applyFill="1">
      <alignment vertical="center"/>
    </xf>
    <xf numFmtId="43" fontId="28" fillId="7" borderId="0" xfId="6" applyFont="1" applyFill="1">
      <alignment vertical="center"/>
    </xf>
    <xf numFmtId="182" fontId="0" fillId="0" borderId="0" xfId="6" applyNumberFormat="1" applyFont="1">
      <alignment vertical="center"/>
    </xf>
    <xf numFmtId="0" fontId="28" fillId="14" borderId="0" xfId="11" applyFont="1" applyFill="1">
      <alignment vertical="center"/>
    </xf>
    <xf numFmtId="0" fontId="28" fillId="14" borderId="0" xfId="11" applyFont="1" applyFill="1" applyAlignment="1">
      <alignment horizontal="center" vertical="center"/>
    </xf>
    <xf numFmtId="43" fontId="0" fillId="14" borderId="0" xfId="6" applyFont="1" applyFill="1">
      <alignment vertical="center"/>
    </xf>
    <xf numFmtId="43" fontId="28" fillId="14" borderId="0" xfId="6" applyFont="1" applyFill="1">
      <alignment vertical="center"/>
    </xf>
    <xf numFmtId="43" fontId="30" fillId="14" borderId="0" xfId="6" applyFont="1" applyFill="1">
      <alignment vertical="center"/>
    </xf>
    <xf numFmtId="0" fontId="28" fillId="0" borderId="0" xfId="11" applyFont="1" applyAlignment="1">
      <alignment horizontal="center" vertical="center"/>
    </xf>
    <xf numFmtId="4" fontId="28" fillId="0" borderId="0" xfId="11" applyNumberFormat="1" applyFont="1">
      <alignment vertical="center"/>
    </xf>
    <xf numFmtId="43" fontId="30" fillId="0" borderId="0" xfId="6" applyFont="1" applyFill="1">
      <alignment vertical="center"/>
    </xf>
    <xf numFmtId="43" fontId="0" fillId="0" borderId="0" xfId="6" applyFont="1" applyFill="1">
      <alignment vertical="center"/>
    </xf>
    <xf numFmtId="43" fontId="0" fillId="10" borderId="0" xfId="6" applyFont="1" applyFill="1">
      <alignment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43" fontId="0" fillId="0" borderId="0" xfId="1" applyFont="1" applyAlignment="1">
      <alignment horizontal="centerContinuous" vertical="center"/>
    </xf>
    <xf numFmtId="43" fontId="0" fillId="0" borderId="0" xfId="1" applyFont="1" applyAlignment="1"/>
    <xf numFmtId="0" fontId="5" fillId="2" borderId="0" xfId="2" applyFont="1" applyFill="1" applyAlignment="1">
      <alignment horizontal="center" vertical="center"/>
    </xf>
    <xf numFmtId="1" fontId="5" fillId="0" borderId="0" xfId="5" applyNumberFormat="1" applyFont="1" applyAlignment="1">
      <alignment horizontal="center" vertical="center"/>
    </xf>
    <xf numFmtId="0" fontId="5" fillId="0" borderId="0" xfId="10" applyFont="1" applyAlignment="1">
      <alignment horizontal="center" vertical="center"/>
    </xf>
    <xf numFmtId="43" fontId="9" fillId="0" borderId="0" xfId="3" applyFont="1" applyFill="1" applyBorder="1" applyAlignment="1" applyProtection="1">
      <alignment horizontal="right" vertical="center"/>
    </xf>
    <xf numFmtId="1" fontId="9" fillId="0" borderId="1" xfId="5" applyNumberFormat="1" applyFont="1" applyBorder="1" applyAlignment="1">
      <alignment horizontal="center" vertical="center"/>
    </xf>
    <xf numFmtId="1" fontId="9" fillId="0" borderId="16" xfId="5" applyNumberFormat="1" applyFont="1" applyBorder="1" applyAlignment="1">
      <alignment horizontal="center" vertical="center"/>
    </xf>
    <xf numFmtId="1" fontId="9" fillId="0" borderId="2" xfId="5" applyNumberFormat="1" applyFont="1" applyBorder="1" applyAlignment="1">
      <alignment horizontal="center" vertical="center"/>
    </xf>
    <xf numFmtId="1" fontId="9" fillId="0" borderId="17" xfId="5" applyNumberFormat="1" applyFont="1" applyBorder="1" applyAlignment="1">
      <alignment horizontal="center" vertical="center"/>
    </xf>
    <xf numFmtId="176" fontId="9" fillId="0" borderId="14" xfId="5" applyNumberFormat="1" applyFont="1" applyBorder="1" applyAlignment="1">
      <alignment horizontal="center" vertical="center"/>
    </xf>
    <xf numFmtId="176" fontId="9" fillId="0" borderId="15" xfId="5" applyNumberFormat="1" applyFont="1" applyBorder="1" applyAlignment="1">
      <alignment horizontal="center" vertical="center"/>
    </xf>
    <xf numFmtId="0" fontId="5" fillId="2" borderId="0" xfId="10" applyFont="1" applyFill="1" applyAlignment="1">
      <alignment horizontal="center" vertical="center"/>
    </xf>
  </cellXfs>
  <cellStyles count="21">
    <cellStyle name="Normal 3 4 2" xfId="18" xr:uid="{289E4BE9-B080-48B5-8FD6-E341FF676545}"/>
    <cellStyle name="常规" xfId="0" builtinId="0"/>
    <cellStyle name="常规 2" xfId="11" xr:uid="{E5EFBB0B-BCD8-48CF-8883-0A108119337E}"/>
    <cellStyle name="常规 2 10" xfId="9" xr:uid="{DF3A31FA-4930-447C-9975-DC33920ED4E8}"/>
    <cellStyle name="常规 236" xfId="19" xr:uid="{BF66C010-A002-4A68-9029-14A6C38CF9B9}"/>
    <cellStyle name="常规 24" xfId="17" xr:uid="{9D075694-AEDF-48D9-9D5C-BB78393CC0E2}"/>
    <cellStyle name="常规 5 2" xfId="15" xr:uid="{A6ED9227-0195-4A36-B142-260A2ADC0244}"/>
    <cellStyle name="常规_Sheet1" xfId="14" xr:uid="{D160D2AA-93F9-4C42-A652-48FE005C0A1D}"/>
    <cellStyle name="常规_SYB9812" xfId="5" xr:uid="{E08E6483-C1AB-45AE-AA9D-E433BB2B97B4}"/>
    <cellStyle name="常规_xjny" xfId="12" xr:uid="{4D37F65F-FF20-418D-9E42-C61F332D546F}"/>
    <cellStyle name="常规_zcfz9812" xfId="4" xr:uid="{83403FF1-F143-4A07-9218-7682B8A3BAE1}"/>
    <cellStyle name="常规_附件1：集团公司月份财务报表清单" xfId="7" xr:uid="{5B2498FD-D077-473C-A47D-1C76912A1996}"/>
    <cellStyle name="常规_固定资产在建工程表样_启明 (1)" xfId="13" xr:uid="{B393FC06-9D1A-4841-9C3D-D084E184AD71}"/>
    <cellStyle name="常规_会计报表" xfId="8" xr:uid="{C9857D93-852B-4946-A078-8091DE01B735}"/>
    <cellStyle name="常规_现金流量表" xfId="10" xr:uid="{FC7C213D-8385-49F3-B395-831CD1F3550F}"/>
    <cellStyle name="常规_资产表（上报）" xfId="2" xr:uid="{7D14CC22-EF60-46F2-933C-101D44021D99}"/>
    <cellStyle name="千位分隔" xfId="1" builtinId="3"/>
    <cellStyle name="千位分隔 2" xfId="6" xr:uid="{0DF1231C-A7FE-44B4-B006-56BE57263C9D}"/>
    <cellStyle name="千位分隔 2 2" xfId="3" xr:uid="{F7E41AEE-0F8A-49DE-AD17-6343F912FAFB}"/>
    <cellStyle name="千位分隔 2 3" xfId="20" xr:uid="{448FE60A-123D-476F-A1D2-2BE80EE49CD8}"/>
    <cellStyle name="千位分隔 4 2" xfId="16" xr:uid="{EF560B08-0CEA-4FFA-8A8C-04DE5899587C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CC/Finance-SEC/08-&#23500;&#26207;/00-&#25253;&#34920;/02-&#26376;&#25253;/2025/&#38468;&#20214;1%20&#23500;&#26207;&#20844;&#21496;2025&#24180;&#24230;&#36130;&#21153;&#25253;&#34920;-&#33521;&#32435;&#27861;&#20844;&#21496;&#26032;202512-&#20915;&#31639;&#29256;-0115%20-%20&#35843;&#25972;&#26080;&#24418;&#36164;&#20135;.xlsx" TargetMode="External"/><Relationship Id="rId2" Type="http://schemas.openxmlformats.org/officeDocument/2006/relationships/externalLinkPath" Target="file:///X:\CC\Finance-SEC\08-&#23500;&#26207;\00-&#25253;&#34920;\02-&#26376;&#25253;\2025\&#38468;&#20214;1%20&#23500;&#26207;&#20844;&#21496;2025&#24180;&#24230;&#36130;&#21153;&#25253;&#34920;-&#33521;&#32435;&#27861;&#20844;&#21496;&#26032;202512-&#20915;&#31639;&#29256;-0115%20-%20&#35843;&#25972;&#26080;&#24418;&#36164;&#20135;.xlsx" TargetMode="External"/><Relationship Id="rId1" Type="http://schemas.openxmlformats.org/officeDocument/2006/relationships/externalLinkPath" Target="/CC/Finance-SEC/08-&#23500;&#26207;/00-&#25253;&#34920;/02-&#26376;&#25253;/2025/&#38468;&#20214;1%20&#23500;&#26207;&#20844;&#21496;2025&#24180;&#24230;&#36130;&#21153;&#25253;&#34920;-&#33521;&#32435;&#27861;&#20844;&#21496;&#26032;202512-&#20915;&#31639;&#29256;-0115%20-%20&#35843;&#25972;&#26080;&#24418;&#36164;&#2013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A（终）"/>
      <sheetName val="报表封面"/>
      <sheetName val="清单"/>
      <sheetName val="_Profile"/>
      <sheetName val="审核"/>
      <sheetName val="资产负债表"/>
      <sheetName val="利润表"/>
      <sheetName val="现金流量表"/>
      <sheetName val="现金流量表补充资料"/>
      <sheetName val="所有者权益变动表"/>
      <sheetName val="科目余额表"/>
      <sheetName val="data"/>
      <sheetName val="资产负债表(内)"/>
      <sheetName val="利润表(内)"/>
      <sheetName val="现金流量表(内)"/>
      <sheetName val="银行承兑汇票登记簿（应收票据）"/>
      <sheetName val="银行承兑汇票登记簿（应付票据）"/>
      <sheetName val="应收账款账龄"/>
      <sheetName val="模具应收款账龄"/>
      <sheetName val="其他应收款账龄"/>
      <sheetName val="预付账款账龄"/>
      <sheetName val="在建工程账龄"/>
      <sheetName val="工程预付款账龄"/>
      <sheetName val="预收账款账龄"/>
      <sheetName val="应付账款账龄"/>
      <sheetName val="其他应付款账龄"/>
      <sheetName val="资产减值准备"/>
      <sheetName val="长期股权投资及收益"/>
    </sheetNames>
    <sheetDataSet>
      <sheetData sheetId="0"/>
      <sheetData sheetId="1">
        <row r="2">
          <cell r="B2" t="str">
            <v>编制单位：长春英纳法富晟汽车天窗系统有限公司</v>
          </cell>
        </row>
        <row r="8">
          <cell r="F8">
            <v>2025</v>
          </cell>
          <cell r="G8" t="str">
            <v>年</v>
          </cell>
          <cell r="H8">
            <v>12</v>
          </cell>
          <cell r="I8" t="str">
            <v>月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orrie Xu （许木议）" id="{3DB1CF79-7F67-447F-AF01-D4C6FAA860F0}" userId="S::Morrie.Xu@inalfa.com::b71720b3-f885-4a82-ba23-8516f0434fc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4" dT="2025-01-03T13:48:22.44" personId="{3DB1CF79-7F67-447F-AF01-D4C6FAA860F0}" id="{DA306674-85B5-442E-9695-E85C2B7D334E}">
    <text>2024年12月调整记账规则，保持供应商模具原值</text>
  </threadedComment>
  <threadedComment ref="E50" dT="2025-01-03T13:47:59.12" personId="{3DB1CF79-7F67-447F-AF01-D4C6FAA860F0}" id="{7F7CD715-B6D1-480A-B7FA-92B7F2CC69B0}">
    <text>2024年12月更新记账规则调整为其他应付款</text>
  </threadedComment>
  <threadedComment ref="C55" dT="2023-09-04T07:23:07.08" personId="{3DB1CF79-7F67-447F-AF01-D4C6FAA860F0}" id="{85A0F107-8BE3-469E-9603-E40EDD377E90}">
    <text>C101QS，8月调整表项从待摊调至其他流动资产</text>
  </threadedComment>
  <threadedComment ref="C55" dT="2024-04-02T02:01:05.56" personId="{3DB1CF79-7F67-447F-AF01-D4C6FAA860F0}" id="{4A9F3263-4300-4CDB-B4BE-222E153DDC81}" parentId="{85A0F107-8BE3-469E-9603-E40EDD377E90}">
    <text>358 QS 2024年3月预提1800万元</text>
  </threadedComment>
  <threadedComment ref="C112" dT="2024-05-08T02:14:50.25" personId="{3DB1CF79-7F67-447F-AF01-D4C6FAA860F0}" id="{ABCF5F07-F3D3-4928-872C-0B62723FC4DD}">
    <text>多开发票及房租折扣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9450-6098-4BB1-8A61-131703FA0861}">
  <sheetPr>
    <pageSetUpPr fitToPage="1"/>
  </sheetPr>
  <dimension ref="A1:V183"/>
  <sheetViews>
    <sheetView showGridLines="0" zoomScaleSheetLayoutView="91" workbookViewId="0">
      <pane xSplit="1" ySplit="4" topLeftCell="B5" activePane="bottomRight" state="frozen"/>
      <selection pane="bottomRight" activeCell="H21" activeCellId="1" sqref="H6 H21"/>
      <selection pane="bottomLeft" activeCell="R20" sqref="R20"/>
      <selection pane="topRight" activeCell="R20" sqref="R20"/>
    </sheetView>
  </sheetViews>
  <sheetFormatPr defaultRowHeight="17.45"/>
  <cols>
    <col min="1" max="1" width="20.125" style="53" customWidth="1"/>
    <col min="2" max="2" width="4.5" style="53" bestFit="1" customWidth="1"/>
    <col min="3" max="4" width="14.75" style="54" customWidth="1"/>
    <col min="5" max="5" width="22.5" style="53" customWidth="1"/>
    <col min="6" max="6" width="4.125" style="53" bestFit="1" customWidth="1"/>
    <col min="7" max="8" width="14.75" style="54" customWidth="1"/>
    <col min="9" max="9" width="14.125" style="53" bestFit="1" customWidth="1"/>
    <col min="10" max="13" width="8.625" style="53"/>
    <col min="14" max="14" width="11.375" style="53" bestFit="1" customWidth="1"/>
    <col min="15" max="255" width="8.625" style="53"/>
    <col min="256" max="256" width="20.25" style="53" customWidth="1"/>
    <col min="257" max="257" width="5" style="53" customWidth="1"/>
    <col min="258" max="259" width="11.125" style="53" customWidth="1"/>
    <col min="260" max="260" width="21.625" style="53" customWidth="1"/>
    <col min="261" max="261" width="5" style="53" customWidth="1"/>
    <col min="262" max="262" width="12" style="53" customWidth="1"/>
    <col min="263" max="263" width="12.25" style="53" customWidth="1"/>
    <col min="264" max="511" width="8.625" style="53"/>
    <col min="512" max="512" width="20.25" style="53" customWidth="1"/>
    <col min="513" max="513" width="5" style="53" customWidth="1"/>
    <col min="514" max="515" width="11.125" style="53" customWidth="1"/>
    <col min="516" max="516" width="21.625" style="53" customWidth="1"/>
    <col min="517" max="517" width="5" style="53" customWidth="1"/>
    <col min="518" max="518" width="12" style="53" customWidth="1"/>
    <col min="519" max="519" width="12.25" style="53" customWidth="1"/>
    <col min="520" max="767" width="8.625" style="53"/>
    <col min="768" max="768" width="20.25" style="53" customWidth="1"/>
    <col min="769" max="769" width="5" style="53" customWidth="1"/>
    <col min="770" max="771" width="11.125" style="53" customWidth="1"/>
    <col min="772" max="772" width="21.625" style="53" customWidth="1"/>
    <col min="773" max="773" width="5" style="53" customWidth="1"/>
    <col min="774" max="774" width="12" style="53" customWidth="1"/>
    <col min="775" max="775" width="12.25" style="53" customWidth="1"/>
    <col min="776" max="1023" width="8.625" style="53"/>
    <col min="1024" max="1024" width="20.25" style="53" customWidth="1"/>
    <col min="1025" max="1025" width="5" style="53" customWidth="1"/>
    <col min="1026" max="1027" width="11.125" style="53" customWidth="1"/>
    <col min="1028" max="1028" width="21.625" style="53" customWidth="1"/>
    <col min="1029" max="1029" width="5" style="53" customWidth="1"/>
    <col min="1030" max="1030" width="12" style="53" customWidth="1"/>
    <col min="1031" max="1031" width="12.25" style="53" customWidth="1"/>
    <col min="1032" max="1279" width="8.625" style="53"/>
    <col min="1280" max="1280" width="20.25" style="53" customWidth="1"/>
    <col min="1281" max="1281" width="5" style="53" customWidth="1"/>
    <col min="1282" max="1283" width="11.125" style="53" customWidth="1"/>
    <col min="1284" max="1284" width="21.625" style="53" customWidth="1"/>
    <col min="1285" max="1285" width="5" style="53" customWidth="1"/>
    <col min="1286" max="1286" width="12" style="53" customWidth="1"/>
    <col min="1287" max="1287" width="12.25" style="53" customWidth="1"/>
    <col min="1288" max="1535" width="8.625" style="53"/>
    <col min="1536" max="1536" width="20.25" style="53" customWidth="1"/>
    <col min="1537" max="1537" width="5" style="53" customWidth="1"/>
    <col min="1538" max="1539" width="11.125" style="53" customWidth="1"/>
    <col min="1540" max="1540" width="21.625" style="53" customWidth="1"/>
    <col min="1541" max="1541" width="5" style="53" customWidth="1"/>
    <col min="1542" max="1542" width="12" style="53" customWidth="1"/>
    <col min="1543" max="1543" width="12.25" style="53" customWidth="1"/>
    <col min="1544" max="1791" width="8.625" style="53"/>
    <col min="1792" max="1792" width="20.25" style="53" customWidth="1"/>
    <col min="1793" max="1793" width="5" style="53" customWidth="1"/>
    <col min="1794" max="1795" width="11.125" style="53" customWidth="1"/>
    <col min="1796" max="1796" width="21.625" style="53" customWidth="1"/>
    <col min="1797" max="1797" width="5" style="53" customWidth="1"/>
    <col min="1798" max="1798" width="12" style="53" customWidth="1"/>
    <col min="1799" max="1799" width="12.25" style="53" customWidth="1"/>
    <col min="1800" max="2047" width="8.625" style="53"/>
    <col min="2048" max="2048" width="20.25" style="53" customWidth="1"/>
    <col min="2049" max="2049" width="5" style="53" customWidth="1"/>
    <col min="2050" max="2051" width="11.125" style="53" customWidth="1"/>
    <col min="2052" max="2052" width="21.625" style="53" customWidth="1"/>
    <col min="2053" max="2053" width="5" style="53" customWidth="1"/>
    <col min="2054" max="2054" width="12" style="53" customWidth="1"/>
    <col min="2055" max="2055" width="12.25" style="53" customWidth="1"/>
    <col min="2056" max="2303" width="8.625" style="53"/>
    <col min="2304" max="2304" width="20.25" style="53" customWidth="1"/>
    <col min="2305" max="2305" width="5" style="53" customWidth="1"/>
    <col min="2306" max="2307" width="11.125" style="53" customWidth="1"/>
    <col min="2308" max="2308" width="21.625" style="53" customWidth="1"/>
    <col min="2309" max="2309" width="5" style="53" customWidth="1"/>
    <col min="2310" max="2310" width="12" style="53" customWidth="1"/>
    <col min="2311" max="2311" width="12.25" style="53" customWidth="1"/>
    <col min="2312" max="2559" width="8.625" style="53"/>
    <col min="2560" max="2560" width="20.25" style="53" customWidth="1"/>
    <col min="2561" max="2561" width="5" style="53" customWidth="1"/>
    <col min="2562" max="2563" width="11.125" style="53" customWidth="1"/>
    <col min="2564" max="2564" width="21.625" style="53" customWidth="1"/>
    <col min="2565" max="2565" width="5" style="53" customWidth="1"/>
    <col min="2566" max="2566" width="12" style="53" customWidth="1"/>
    <col min="2567" max="2567" width="12.25" style="53" customWidth="1"/>
    <col min="2568" max="2815" width="8.625" style="53"/>
    <col min="2816" max="2816" width="20.25" style="53" customWidth="1"/>
    <col min="2817" max="2817" width="5" style="53" customWidth="1"/>
    <col min="2818" max="2819" width="11.125" style="53" customWidth="1"/>
    <col min="2820" max="2820" width="21.625" style="53" customWidth="1"/>
    <col min="2821" max="2821" width="5" style="53" customWidth="1"/>
    <col min="2822" max="2822" width="12" style="53" customWidth="1"/>
    <col min="2823" max="2823" width="12.25" style="53" customWidth="1"/>
    <col min="2824" max="3071" width="8.625" style="53"/>
    <col min="3072" max="3072" width="20.25" style="53" customWidth="1"/>
    <col min="3073" max="3073" width="5" style="53" customWidth="1"/>
    <col min="3074" max="3075" width="11.125" style="53" customWidth="1"/>
    <col min="3076" max="3076" width="21.625" style="53" customWidth="1"/>
    <col min="3077" max="3077" width="5" style="53" customWidth="1"/>
    <col min="3078" max="3078" width="12" style="53" customWidth="1"/>
    <col min="3079" max="3079" width="12.25" style="53" customWidth="1"/>
    <col min="3080" max="3327" width="8.625" style="53"/>
    <col min="3328" max="3328" width="20.25" style="53" customWidth="1"/>
    <col min="3329" max="3329" width="5" style="53" customWidth="1"/>
    <col min="3330" max="3331" width="11.125" style="53" customWidth="1"/>
    <col min="3332" max="3332" width="21.625" style="53" customWidth="1"/>
    <col min="3333" max="3333" width="5" style="53" customWidth="1"/>
    <col min="3334" max="3334" width="12" style="53" customWidth="1"/>
    <col min="3335" max="3335" width="12.25" style="53" customWidth="1"/>
    <col min="3336" max="3583" width="8.625" style="53"/>
    <col min="3584" max="3584" width="20.25" style="53" customWidth="1"/>
    <col min="3585" max="3585" width="5" style="53" customWidth="1"/>
    <col min="3586" max="3587" width="11.125" style="53" customWidth="1"/>
    <col min="3588" max="3588" width="21.625" style="53" customWidth="1"/>
    <col min="3589" max="3589" width="5" style="53" customWidth="1"/>
    <col min="3590" max="3590" width="12" style="53" customWidth="1"/>
    <col min="3591" max="3591" width="12.25" style="53" customWidth="1"/>
    <col min="3592" max="3839" width="8.625" style="53"/>
    <col min="3840" max="3840" width="20.25" style="53" customWidth="1"/>
    <col min="3841" max="3841" width="5" style="53" customWidth="1"/>
    <col min="3842" max="3843" width="11.125" style="53" customWidth="1"/>
    <col min="3844" max="3844" width="21.625" style="53" customWidth="1"/>
    <col min="3845" max="3845" width="5" style="53" customWidth="1"/>
    <col min="3846" max="3846" width="12" style="53" customWidth="1"/>
    <col min="3847" max="3847" width="12.25" style="53" customWidth="1"/>
    <col min="3848" max="4095" width="8.625" style="53"/>
    <col min="4096" max="4096" width="20.25" style="53" customWidth="1"/>
    <col min="4097" max="4097" width="5" style="53" customWidth="1"/>
    <col min="4098" max="4099" width="11.125" style="53" customWidth="1"/>
    <col min="4100" max="4100" width="21.625" style="53" customWidth="1"/>
    <col min="4101" max="4101" width="5" style="53" customWidth="1"/>
    <col min="4102" max="4102" width="12" style="53" customWidth="1"/>
    <col min="4103" max="4103" width="12.25" style="53" customWidth="1"/>
    <col min="4104" max="4351" width="8.625" style="53"/>
    <col min="4352" max="4352" width="20.25" style="53" customWidth="1"/>
    <col min="4353" max="4353" width="5" style="53" customWidth="1"/>
    <col min="4354" max="4355" width="11.125" style="53" customWidth="1"/>
    <col min="4356" max="4356" width="21.625" style="53" customWidth="1"/>
    <col min="4357" max="4357" width="5" style="53" customWidth="1"/>
    <col min="4358" max="4358" width="12" style="53" customWidth="1"/>
    <col min="4359" max="4359" width="12.25" style="53" customWidth="1"/>
    <col min="4360" max="4607" width="8.625" style="53"/>
    <col min="4608" max="4608" width="20.25" style="53" customWidth="1"/>
    <col min="4609" max="4609" width="5" style="53" customWidth="1"/>
    <col min="4610" max="4611" width="11.125" style="53" customWidth="1"/>
    <col min="4612" max="4612" width="21.625" style="53" customWidth="1"/>
    <col min="4613" max="4613" width="5" style="53" customWidth="1"/>
    <col min="4614" max="4614" width="12" style="53" customWidth="1"/>
    <col min="4615" max="4615" width="12.25" style="53" customWidth="1"/>
    <col min="4616" max="4863" width="8.625" style="53"/>
    <col min="4864" max="4864" width="20.25" style="53" customWidth="1"/>
    <col min="4865" max="4865" width="5" style="53" customWidth="1"/>
    <col min="4866" max="4867" width="11.125" style="53" customWidth="1"/>
    <col min="4868" max="4868" width="21.625" style="53" customWidth="1"/>
    <col min="4869" max="4869" width="5" style="53" customWidth="1"/>
    <col min="4870" max="4870" width="12" style="53" customWidth="1"/>
    <col min="4871" max="4871" width="12.25" style="53" customWidth="1"/>
    <col min="4872" max="5119" width="8.625" style="53"/>
    <col min="5120" max="5120" width="20.25" style="53" customWidth="1"/>
    <col min="5121" max="5121" width="5" style="53" customWidth="1"/>
    <col min="5122" max="5123" width="11.125" style="53" customWidth="1"/>
    <col min="5124" max="5124" width="21.625" style="53" customWidth="1"/>
    <col min="5125" max="5125" width="5" style="53" customWidth="1"/>
    <col min="5126" max="5126" width="12" style="53" customWidth="1"/>
    <col min="5127" max="5127" width="12.25" style="53" customWidth="1"/>
    <col min="5128" max="5375" width="8.625" style="53"/>
    <col min="5376" max="5376" width="20.25" style="53" customWidth="1"/>
    <col min="5377" max="5377" width="5" style="53" customWidth="1"/>
    <col min="5378" max="5379" width="11.125" style="53" customWidth="1"/>
    <col min="5380" max="5380" width="21.625" style="53" customWidth="1"/>
    <col min="5381" max="5381" width="5" style="53" customWidth="1"/>
    <col min="5382" max="5382" width="12" style="53" customWidth="1"/>
    <col min="5383" max="5383" width="12.25" style="53" customWidth="1"/>
    <col min="5384" max="5631" width="8.625" style="53"/>
    <col min="5632" max="5632" width="20.25" style="53" customWidth="1"/>
    <col min="5633" max="5633" width="5" style="53" customWidth="1"/>
    <col min="5634" max="5635" width="11.125" style="53" customWidth="1"/>
    <col min="5636" max="5636" width="21.625" style="53" customWidth="1"/>
    <col min="5637" max="5637" width="5" style="53" customWidth="1"/>
    <col min="5638" max="5638" width="12" style="53" customWidth="1"/>
    <col min="5639" max="5639" width="12.25" style="53" customWidth="1"/>
    <col min="5640" max="5887" width="8.625" style="53"/>
    <col min="5888" max="5888" width="20.25" style="53" customWidth="1"/>
    <col min="5889" max="5889" width="5" style="53" customWidth="1"/>
    <col min="5890" max="5891" width="11.125" style="53" customWidth="1"/>
    <col min="5892" max="5892" width="21.625" style="53" customWidth="1"/>
    <col min="5893" max="5893" width="5" style="53" customWidth="1"/>
    <col min="5894" max="5894" width="12" style="53" customWidth="1"/>
    <col min="5895" max="5895" width="12.25" style="53" customWidth="1"/>
    <col min="5896" max="6143" width="8.625" style="53"/>
    <col min="6144" max="6144" width="20.25" style="53" customWidth="1"/>
    <col min="6145" max="6145" width="5" style="53" customWidth="1"/>
    <col min="6146" max="6147" width="11.125" style="53" customWidth="1"/>
    <col min="6148" max="6148" width="21.625" style="53" customWidth="1"/>
    <col min="6149" max="6149" width="5" style="53" customWidth="1"/>
    <col min="6150" max="6150" width="12" style="53" customWidth="1"/>
    <col min="6151" max="6151" width="12.25" style="53" customWidth="1"/>
    <col min="6152" max="6399" width="8.625" style="53"/>
    <col min="6400" max="6400" width="20.25" style="53" customWidth="1"/>
    <col min="6401" max="6401" width="5" style="53" customWidth="1"/>
    <col min="6402" max="6403" width="11.125" style="53" customWidth="1"/>
    <col min="6404" max="6404" width="21.625" style="53" customWidth="1"/>
    <col min="6405" max="6405" width="5" style="53" customWidth="1"/>
    <col min="6406" max="6406" width="12" style="53" customWidth="1"/>
    <col min="6407" max="6407" width="12.25" style="53" customWidth="1"/>
    <col min="6408" max="6655" width="8.625" style="53"/>
    <col min="6656" max="6656" width="20.25" style="53" customWidth="1"/>
    <col min="6657" max="6657" width="5" style="53" customWidth="1"/>
    <col min="6658" max="6659" width="11.125" style="53" customWidth="1"/>
    <col min="6660" max="6660" width="21.625" style="53" customWidth="1"/>
    <col min="6661" max="6661" width="5" style="53" customWidth="1"/>
    <col min="6662" max="6662" width="12" style="53" customWidth="1"/>
    <col min="6663" max="6663" width="12.25" style="53" customWidth="1"/>
    <col min="6664" max="6911" width="8.625" style="53"/>
    <col min="6912" max="6912" width="20.25" style="53" customWidth="1"/>
    <col min="6913" max="6913" width="5" style="53" customWidth="1"/>
    <col min="6914" max="6915" width="11.125" style="53" customWidth="1"/>
    <col min="6916" max="6916" width="21.625" style="53" customWidth="1"/>
    <col min="6917" max="6917" width="5" style="53" customWidth="1"/>
    <col min="6918" max="6918" width="12" style="53" customWidth="1"/>
    <col min="6919" max="6919" width="12.25" style="53" customWidth="1"/>
    <col min="6920" max="7167" width="8.625" style="53"/>
    <col min="7168" max="7168" width="20.25" style="53" customWidth="1"/>
    <col min="7169" max="7169" width="5" style="53" customWidth="1"/>
    <col min="7170" max="7171" width="11.125" style="53" customWidth="1"/>
    <col min="7172" max="7172" width="21.625" style="53" customWidth="1"/>
    <col min="7173" max="7173" width="5" style="53" customWidth="1"/>
    <col min="7174" max="7174" width="12" style="53" customWidth="1"/>
    <col min="7175" max="7175" width="12.25" style="53" customWidth="1"/>
    <col min="7176" max="7423" width="8.625" style="53"/>
    <col min="7424" max="7424" width="20.25" style="53" customWidth="1"/>
    <col min="7425" max="7425" width="5" style="53" customWidth="1"/>
    <col min="7426" max="7427" width="11.125" style="53" customWidth="1"/>
    <col min="7428" max="7428" width="21.625" style="53" customWidth="1"/>
    <col min="7429" max="7429" width="5" style="53" customWidth="1"/>
    <col min="7430" max="7430" width="12" style="53" customWidth="1"/>
    <col min="7431" max="7431" width="12.25" style="53" customWidth="1"/>
    <col min="7432" max="7679" width="8.625" style="53"/>
    <col min="7680" max="7680" width="20.25" style="53" customWidth="1"/>
    <col min="7681" max="7681" width="5" style="53" customWidth="1"/>
    <col min="7682" max="7683" width="11.125" style="53" customWidth="1"/>
    <col min="7684" max="7684" width="21.625" style="53" customWidth="1"/>
    <col min="7685" max="7685" width="5" style="53" customWidth="1"/>
    <col min="7686" max="7686" width="12" style="53" customWidth="1"/>
    <col min="7687" max="7687" width="12.25" style="53" customWidth="1"/>
    <col min="7688" max="7935" width="8.625" style="53"/>
    <col min="7936" max="7936" width="20.25" style="53" customWidth="1"/>
    <col min="7937" max="7937" width="5" style="53" customWidth="1"/>
    <col min="7938" max="7939" width="11.125" style="53" customWidth="1"/>
    <col min="7940" max="7940" width="21.625" style="53" customWidth="1"/>
    <col min="7941" max="7941" width="5" style="53" customWidth="1"/>
    <col min="7942" max="7942" width="12" style="53" customWidth="1"/>
    <col min="7943" max="7943" width="12.25" style="53" customWidth="1"/>
    <col min="7944" max="8191" width="8.625" style="53"/>
    <col min="8192" max="8192" width="20.25" style="53" customWidth="1"/>
    <col min="8193" max="8193" width="5" style="53" customWidth="1"/>
    <col min="8194" max="8195" width="11.125" style="53" customWidth="1"/>
    <col min="8196" max="8196" width="21.625" style="53" customWidth="1"/>
    <col min="8197" max="8197" width="5" style="53" customWidth="1"/>
    <col min="8198" max="8198" width="12" style="53" customWidth="1"/>
    <col min="8199" max="8199" width="12.25" style="53" customWidth="1"/>
    <col min="8200" max="8447" width="8.625" style="53"/>
    <col min="8448" max="8448" width="20.25" style="53" customWidth="1"/>
    <col min="8449" max="8449" width="5" style="53" customWidth="1"/>
    <col min="8450" max="8451" width="11.125" style="53" customWidth="1"/>
    <col min="8452" max="8452" width="21.625" style="53" customWidth="1"/>
    <col min="8453" max="8453" width="5" style="53" customWidth="1"/>
    <col min="8454" max="8454" width="12" style="53" customWidth="1"/>
    <col min="8455" max="8455" width="12.25" style="53" customWidth="1"/>
    <col min="8456" max="8703" width="8.625" style="53"/>
    <col min="8704" max="8704" width="20.25" style="53" customWidth="1"/>
    <col min="8705" max="8705" width="5" style="53" customWidth="1"/>
    <col min="8706" max="8707" width="11.125" style="53" customWidth="1"/>
    <col min="8708" max="8708" width="21.625" style="53" customWidth="1"/>
    <col min="8709" max="8709" width="5" style="53" customWidth="1"/>
    <col min="8710" max="8710" width="12" style="53" customWidth="1"/>
    <col min="8711" max="8711" width="12.25" style="53" customWidth="1"/>
    <col min="8712" max="8959" width="8.625" style="53"/>
    <col min="8960" max="8960" width="20.25" style="53" customWidth="1"/>
    <col min="8961" max="8961" width="5" style="53" customWidth="1"/>
    <col min="8962" max="8963" width="11.125" style="53" customWidth="1"/>
    <col min="8964" max="8964" width="21.625" style="53" customWidth="1"/>
    <col min="8965" max="8965" width="5" style="53" customWidth="1"/>
    <col min="8966" max="8966" width="12" style="53" customWidth="1"/>
    <col min="8967" max="8967" width="12.25" style="53" customWidth="1"/>
    <col min="8968" max="9215" width="8.625" style="53"/>
    <col min="9216" max="9216" width="20.25" style="53" customWidth="1"/>
    <col min="9217" max="9217" width="5" style="53" customWidth="1"/>
    <col min="9218" max="9219" width="11.125" style="53" customWidth="1"/>
    <col min="9220" max="9220" width="21.625" style="53" customWidth="1"/>
    <col min="9221" max="9221" width="5" style="53" customWidth="1"/>
    <col min="9222" max="9222" width="12" style="53" customWidth="1"/>
    <col min="9223" max="9223" width="12.25" style="53" customWidth="1"/>
    <col min="9224" max="9471" width="8.625" style="53"/>
    <col min="9472" max="9472" width="20.25" style="53" customWidth="1"/>
    <col min="9473" max="9473" width="5" style="53" customWidth="1"/>
    <col min="9474" max="9475" width="11.125" style="53" customWidth="1"/>
    <col min="9476" max="9476" width="21.625" style="53" customWidth="1"/>
    <col min="9477" max="9477" width="5" style="53" customWidth="1"/>
    <col min="9478" max="9478" width="12" style="53" customWidth="1"/>
    <col min="9479" max="9479" width="12.25" style="53" customWidth="1"/>
    <col min="9480" max="9727" width="8.625" style="53"/>
    <col min="9728" max="9728" width="20.25" style="53" customWidth="1"/>
    <col min="9729" max="9729" width="5" style="53" customWidth="1"/>
    <col min="9730" max="9731" width="11.125" style="53" customWidth="1"/>
    <col min="9732" max="9732" width="21.625" style="53" customWidth="1"/>
    <col min="9733" max="9733" width="5" style="53" customWidth="1"/>
    <col min="9734" max="9734" width="12" style="53" customWidth="1"/>
    <col min="9735" max="9735" width="12.25" style="53" customWidth="1"/>
    <col min="9736" max="9983" width="8.625" style="53"/>
    <col min="9984" max="9984" width="20.25" style="53" customWidth="1"/>
    <col min="9985" max="9985" width="5" style="53" customWidth="1"/>
    <col min="9986" max="9987" width="11.125" style="53" customWidth="1"/>
    <col min="9988" max="9988" width="21.625" style="53" customWidth="1"/>
    <col min="9989" max="9989" width="5" style="53" customWidth="1"/>
    <col min="9990" max="9990" width="12" style="53" customWidth="1"/>
    <col min="9991" max="9991" width="12.25" style="53" customWidth="1"/>
    <col min="9992" max="10239" width="8.625" style="53"/>
    <col min="10240" max="10240" width="20.25" style="53" customWidth="1"/>
    <col min="10241" max="10241" width="5" style="53" customWidth="1"/>
    <col min="10242" max="10243" width="11.125" style="53" customWidth="1"/>
    <col min="10244" max="10244" width="21.625" style="53" customWidth="1"/>
    <col min="10245" max="10245" width="5" style="53" customWidth="1"/>
    <col min="10246" max="10246" width="12" style="53" customWidth="1"/>
    <col min="10247" max="10247" width="12.25" style="53" customWidth="1"/>
    <col min="10248" max="10495" width="8.625" style="53"/>
    <col min="10496" max="10496" width="20.25" style="53" customWidth="1"/>
    <col min="10497" max="10497" width="5" style="53" customWidth="1"/>
    <col min="10498" max="10499" width="11.125" style="53" customWidth="1"/>
    <col min="10500" max="10500" width="21.625" style="53" customWidth="1"/>
    <col min="10501" max="10501" width="5" style="53" customWidth="1"/>
    <col min="10502" max="10502" width="12" style="53" customWidth="1"/>
    <col min="10503" max="10503" width="12.25" style="53" customWidth="1"/>
    <col min="10504" max="10751" width="8.625" style="53"/>
    <col min="10752" max="10752" width="20.25" style="53" customWidth="1"/>
    <col min="10753" max="10753" width="5" style="53" customWidth="1"/>
    <col min="10754" max="10755" width="11.125" style="53" customWidth="1"/>
    <col min="10756" max="10756" width="21.625" style="53" customWidth="1"/>
    <col min="10757" max="10757" width="5" style="53" customWidth="1"/>
    <col min="10758" max="10758" width="12" style="53" customWidth="1"/>
    <col min="10759" max="10759" width="12.25" style="53" customWidth="1"/>
    <col min="10760" max="11007" width="8.625" style="53"/>
    <col min="11008" max="11008" width="20.25" style="53" customWidth="1"/>
    <col min="11009" max="11009" width="5" style="53" customWidth="1"/>
    <col min="11010" max="11011" width="11.125" style="53" customWidth="1"/>
    <col min="11012" max="11012" width="21.625" style="53" customWidth="1"/>
    <col min="11013" max="11013" width="5" style="53" customWidth="1"/>
    <col min="11014" max="11014" width="12" style="53" customWidth="1"/>
    <col min="11015" max="11015" width="12.25" style="53" customWidth="1"/>
    <col min="11016" max="11263" width="8.625" style="53"/>
    <col min="11264" max="11264" width="20.25" style="53" customWidth="1"/>
    <col min="11265" max="11265" width="5" style="53" customWidth="1"/>
    <col min="11266" max="11267" width="11.125" style="53" customWidth="1"/>
    <col min="11268" max="11268" width="21.625" style="53" customWidth="1"/>
    <col min="11269" max="11269" width="5" style="53" customWidth="1"/>
    <col min="11270" max="11270" width="12" style="53" customWidth="1"/>
    <col min="11271" max="11271" width="12.25" style="53" customWidth="1"/>
    <col min="11272" max="11519" width="8.625" style="53"/>
    <col min="11520" max="11520" width="20.25" style="53" customWidth="1"/>
    <col min="11521" max="11521" width="5" style="53" customWidth="1"/>
    <col min="11522" max="11523" width="11.125" style="53" customWidth="1"/>
    <col min="11524" max="11524" width="21.625" style="53" customWidth="1"/>
    <col min="11525" max="11525" width="5" style="53" customWidth="1"/>
    <col min="11526" max="11526" width="12" style="53" customWidth="1"/>
    <col min="11527" max="11527" width="12.25" style="53" customWidth="1"/>
    <col min="11528" max="11775" width="8.625" style="53"/>
    <col min="11776" max="11776" width="20.25" style="53" customWidth="1"/>
    <col min="11777" max="11777" width="5" style="53" customWidth="1"/>
    <col min="11778" max="11779" width="11.125" style="53" customWidth="1"/>
    <col min="11780" max="11780" width="21.625" style="53" customWidth="1"/>
    <col min="11781" max="11781" width="5" style="53" customWidth="1"/>
    <col min="11782" max="11782" width="12" style="53" customWidth="1"/>
    <col min="11783" max="11783" width="12.25" style="53" customWidth="1"/>
    <col min="11784" max="12031" width="8.625" style="53"/>
    <col min="12032" max="12032" width="20.25" style="53" customWidth="1"/>
    <col min="12033" max="12033" width="5" style="53" customWidth="1"/>
    <col min="12034" max="12035" width="11.125" style="53" customWidth="1"/>
    <col min="12036" max="12036" width="21.625" style="53" customWidth="1"/>
    <col min="12037" max="12037" width="5" style="53" customWidth="1"/>
    <col min="12038" max="12038" width="12" style="53" customWidth="1"/>
    <col min="12039" max="12039" width="12.25" style="53" customWidth="1"/>
    <col min="12040" max="12287" width="8.625" style="53"/>
    <col min="12288" max="12288" width="20.25" style="53" customWidth="1"/>
    <col min="12289" max="12289" width="5" style="53" customWidth="1"/>
    <col min="12290" max="12291" width="11.125" style="53" customWidth="1"/>
    <col min="12292" max="12292" width="21.625" style="53" customWidth="1"/>
    <col min="12293" max="12293" width="5" style="53" customWidth="1"/>
    <col min="12294" max="12294" width="12" style="53" customWidth="1"/>
    <col min="12295" max="12295" width="12.25" style="53" customWidth="1"/>
    <col min="12296" max="12543" width="8.625" style="53"/>
    <col min="12544" max="12544" width="20.25" style="53" customWidth="1"/>
    <col min="12545" max="12545" width="5" style="53" customWidth="1"/>
    <col min="12546" max="12547" width="11.125" style="53" customWidth="1"/>
    <col min="12548" max="12548" width="21.625" style="53" customWidth="1"/>
    <col min="12549" max="12549" width="5" style="53" customWidth="1"/>
    <col min="12550" max="12550" width="12" style="53" customWidth="1"/>
    <col min="12551" max="12551" width="12.25" style="53" customWidth="1"/>
    <col min="12552" max="12799" width="8.625" style="53"/>
    <col min="12800" max="12800" width="20.25" style="53" customWidth="1"/>
    <col min="12801" max="12801" width="5" style="53" customWidth="1"/>
    <col min="12802" max="12803" width="11.125" style="53" customWidth="1"/>
    <col min="12804" max="12804" width="21.625" style="53" customWidth="1"/>
    <col min="12805" max="12805" width="5" style="53" customWidth="1"/>
    <col min="12806" max="12806" width="12" style="53" customWidth="1"/>
    <col min="12807" max="12807" width="12.25" style="53" customWidth="1"/>
    <col min="12808" max="13055" width="8.625" style="53"/>
    <col min="13056" max="13056" width="20.25" style="53" customWidth="1"/>
    <col min="13057" max="13057" width="5" style="53" customWidth="1"/>
    <col min="13058" max="13059" width="11.125" style="53" customWidth="1"/>
    <col min="13060" max="13060" width="21.625" style="53" customWidth="1"/>
    <col min="13061" max="13061" width="5" style="53" customWidth="1"/>
    <col min="13062" max="13062" width="12" style="53" customWidth="1"/>
    <col min="13063" max="13063" width="12.25" style="53" customWidth="1"/>
    <col min="13064" max="13311" width="8.625" style="53"/>
    <col min="13312" max="13312" width="20.25" style="53" customWidth="1"/>
    <col min="13313" max="13313" width="5" style="53" customWidth="1"/>
    <col min="13314" max="13315" width="11.125" style="53" customWidth="1"/>
    <col min="13316" max="13316" width="21.625" style="53" customWidth="1"/>
    <col min="13317" max="13317" width="5" style="53" customWidth="1"/>
    <col min="13318" max="13318" width="12" style="53" customWidth="1"/>
    <col min="13319" max="13319" width="12.25" style="53" customWidth="1"/>
    <col min="13320" max="13567" width="8.625" style="53"/>
    <col min="13568" max="13568" width="20.25" style="53" customWidth="1"/>
    <col min="13569" max="13569" width="5" style="53" customWidth="1"/>
    <col min="13570" max="13571" width="11.125" style="53" customWidth="1"/>
    <col min="13572" max="13572" width="21.625" style="53" customWidth="1"/>
    <col min="13573" max="13573" width="5" style="53" customWidth="1"/>
    <col min="13574" max="13574" width="12" style="53" customWidth="1"/>
    <col min="13575" max="13575" width="12.25" style="53" customWidth="1"/>
    <col min="13576" max="13823" width="8.625" style="53"/>
    <col min="13824" max="13824" width="20.25" style="53" customWidth="1"/>
    <col min="13825" max="13825" width="5" style="53" customWidth="1"/>
    <col min="13826" max="13827" width="11.125" style="53" customWidth="1"/>
    <col min="13828" max="13828" width="21.625" style="53" customWidth="1"/>
    <col min="13829" max="13829" width="5" style="53" customWidth="1"/>
    <col min="13830" max="13830" width="12" style="53" customWidth="1"/>
    <col min="13831" max="13831" width="12.25" style="53" customWidth="1"/>
    <col min="13832" max="14079" width="8.625" style="53"/>
    <col min="14080" max="14080" width="20.25" style="53" customWidth="1"/>
    <col min="14081" max="14081" width="5" style="53" customWidth="1"/>
    <col min="14082" max="14083" width="11.125" style="53" customWidth="1"/>
    <col min="14084" max="14084" width="21.625" style="53" customWidth="1"/>
    <col min="14085" max="14085" width="5" style="53" customWidth="1"/>
    <col min="14086" max="14086" width="12" style="53" customWidth="1"/>
    <col min="14087" max="14087" width="12.25" style="53" customWidth="1"/>
    <col min="14088" max="14335" width="8.625" style="53"/>
    <col min="14336" max="14336" width="20.25" style="53" customWidth="1"/>
    <col min="14337" max="14337" width="5" style="53" customWidth="1"/>
    <col min="14338" max="14339" width="11.125" style="53" customWidth="1"/>
    <col min="14340" max="14340" width="21.625" style="53" customWidth="1"/>
    <col min="14341" max="14341" width="5" style="53" customWidth="1"/>
    <col min="14342" max="14342" width="12" style="53" customWidth="1"/>
    <col min="14343" max="14343" width="12.25" style="53" customWidth="1"/>
    <col min="14344" max="14591" width="8.625" style="53"/>
    <col min="14592" max="14592" width="20.25" style="53" customWidth="1"/>
    <col min="14593" max="14593" width="5" style="53" customWidth="1"/>
    <col min="14594" max="14595" width="11.125" style="53" customWidth="1"/>
    <col min="14596" max="14596" width="21.625" style="53" customWidth="1"/>
    <col min="14597" max="14597" width="5" style="53" customWidth="1"/>
    <col min="14598" max="14598" width="12" style="53" customWidth="1"/>
    <col min="14599" max="14599" width="12.25" style="53" customWidth="1"/>
    <col min="14600" max="14847" width="8.625" style="53"/>
    <col min="14848" max="14848" width="20.25" style="53" customWidth="1"/>
    <col min="14849" max="14849" width="5" style="53" customWidth="1"/>
    <col min="14850" max="14851" width="11.125" style="53" customWidth="1"/>
    <col min="14852" max="14852" width="21.625" style="53" customWidth="1"/>
    <col min="14853" max="14853" width="5" style="53" customWidth="1"/>
    <col min="14854" max="14854" width="12" style="53" customWidth="1"/>
    <col min="14855" max="14855" width="12.25" style="53" customWidth="1"/>
    <col min="14856" max="15103" width="8.625" style="53"/>
    <col min="15104" max="15104" width="20.25" style="53" customWidth="1"/>
    <col min="15105" max="15105" width="5" style="53" customWidth="1"/>
    <col min="15106" max="15107" width="11.125" style="53" customWidth="1"/>
    <col min="15108" max="15108" width="21.625" style="53" customWidth="1"/>
    <col min="15109" max="15109" width="5" style="53" customWidth="1"/>
    <col min="15110" max="15110" width="12" style="53" customWidth="1"/>
    <col min="15111" max="15111" width="12.25" style="53" customWidth="1"/>
    <col min="15112" max="15359" width="8.625" style="53"/>
    <col min="15360" max="15360" width="20.25" style="53" customWidth="1"/>
    <col min="15361" max="15361" width="5" style="53" customWidth="1"/>
    <col min="15362" max="15363" width="11.125" style="53" customWidth="1"/>
    <col min="15364" max="15364" width="21.625" style="53" customWidth="1"/>
    <col min="15365" max="15365" width="5" style="53" customWidth="1"/>
    <col min="15366" max="15366" width="12" style="53" customWidth="1"/>
    <col min="15367" max="15367" width="12.25" style="53" customWidth="1"/>
    <col min="15368" max="15615" width="8.625" style="53"/>
    <col min="15616" max="15616" width="20.25" style="53" customWidth="1"/>
    <col min="15617" max="15617" width="5" style="53" customWidth="1"/>
    <col min="15618" max="15619" width="11.125" style="53" customWidth="1"/>
    <col min="15620" max="15620" width="21.625" style="53" customWidth="1"/>
    <col min="15621" max="15621" width="5" style="53" customWidth="1"/>
    <col min="15622" max="15622" width="12" style="53" customWidth="1"/>
    <col min="15623" max="15623" width="12.25" style="53" customWidth="1"/>
    <col min="15624" max="15871" width="8.625" style="53"/>
    <col min="15872" max="15872" width="20.25" style="53" customWidth="1"/>
    <col min="15873" max="15873" width="5" style="53" customWidth="1"/>
    <col min="15874" max="15875" width="11.125" style="53" customWidth="1"/>
    <col min="15876" max="15876" width="21.625" style="53" customWidth="1"/>
    <col min="15877" max="15877" width="5" style="53" customWidth="1"/>
    <col min="15878" max="15878" width="12" style="53" customWidth="1"/>
    <col min="15879" max="15879" width="12.25" style="53" customWidth="1"/>
    <col min="15880" max="16127" width="8.625" style="53"/>
    <col min="16128" max="16128" width="20.25" style="53" customWidth="1"/>
    <col min="16129" max="16129" width="5" style="53" customWidth="1"/>
    <col min="16130" max="16131" width="11.125" style="53" customWidth="1"/>
    <col min="16132" max="16132" width="21.625" style="53" customWidth="1"/>
    <col min="16133" max="16133" width="5" style="53" customWidth="1"/>
    <col min="16134" max="16134" width="12" style="53" customWidth="1"/>
    <col min="16135" max="16135" width="12.25" style="53" customWidth="1"/>
    <col min="16136" max="16384" width="8.625" style="53"/>
  </cols>
  <sheetData>
    <row r="1" spans="1:22" s="1" customFormat="1" ht="22.15">
      <c r="A1" s="343" t="s">
        <v>0</v>
      </c>
      <c r="B1" s="343"/>
      <c r="C1" s="343"/>
      <c r="D1" s="343"/>
      <c r="E1" s="343"/>
      <c r="F1" s="343"/>
      <c r="G1" s="343"/>
      <c r="H1" s="343"/>
    </row>
    <row r="2" spans="1:22" s="2" customFormat="1" ht="13.5" customHeight="1">
      <c r="B2" s="3"/>
      <c r="C2" s="4"/>
      <c r="D2" s="4"/>
      <c r="F2" s="3"/>
      <c r="G2" s="5"/>
      <c r="H2" s="6" t="s">
        <v>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s="2" customFormat="1" ht="13.5" customHeight="1" thickBot="1">
      <c r="A3" s="2" t="str">
        <f>[1]报表封面!B2</f>
        <v>编制单位：长春英纳法富晟汽车天窗系统有限公司</v>
      </c>
      <c r="B3" s="3"/>
      <c r="C3" s="4"/>
      <c r="D3" s="8"/>
      <c r="E3" s="9" t="str">
        <f>[1]报表封面!F8&amp;[1]报表封面!G8&amp;[1]报表封面!H8&amp;[1]报表封面!I8</f>
        <v>2025年12月</v>
      </c>
      <c r="F3" s="3"/>
      <c r="G3" s="5"/>
      <c r="H3" s="6" t="s">
        <v>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s="2" customFormat="1" ht="13.15">
      <c r="A4" s="10" t="s">
        <v>3</v>
      </c>
      <c r="B4" s="11" t="s">
        <v>4</v>
      </c>
      <c r="C4" s="11" t="s">
        <v>5</v>
      </c>
      <c r="D4" s="11" t="s">
        <v>6</v>
      </c>
      <c r="E4" s="10" t="s">
        <v>7</v>
      </c>
      <c r="F4" s="11" t="s">
        <v>8</v>
      </c>
      <c r="G4" s="11" t="s">
        <v>5</v>
      </c>
      <c r="H4" s="12" t="s">
        <v>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s="7" customFormat="1" ht="16.149999999999999" customHeight="1">
      <c r="A5" s="13" t="s">
        <v>9</v>
      </c>
      <c r="B5" s="14">
        <v>1</v>
      </c>
      <c r="C5" s="15"/>
      <c r="D5" s="15"/>
      <c r="E5" s="16" t="s">
        <v>10</v>
      </c>
      <c r="F5" s="17">
        <v>53</v>
      </c>
      <c r="G5" s="15"/>
      <c r="H5" s="18"/>
    </row>
    <row r="6" spans="1:22" s="7" customFormat="1" ht="16.149999999999999" customHeight="1">
      <c r="A6" s="19" t="s">
        <v>11</v>
      </c>
      <c r="B6" s="14">
        <v>2</v>
      </c>
      <c r="C6" s="20">
        <f>C7+C8+C9</f>
        <v>9449826.5600000005</v>
      </c>
      <c r="D6" s="20">
        <f>D7+D8+D9</f>
        <v>12279069.210000001</v>
      </c>
      <c r="E6" s="21" t="s">
        <v>12</v>
      </c>
      <c r="F6" s="17">
        <v>54</v>
      </c>
      <c r="G6" s="22">
        <f>-SUMIF(科目余额表!$J:$J,资产负债表!E6,科目余额表!$W:$W)</f>
        <v>23462093.460000001</v>
      </c>
      <c r="H6" s="22">
        <v>28000000</v>
      </c>
    </row>
    <row r="7" spans="1:22" s="7" customFormat="1" ht="13.15">
      <c r="A7" s="19" t="s">
        <v>13</v>
      </c>
      <c r="B7" s="14">
        <v>3</v>
      </c>
      <c r="C7" s="23"/>
      <c r="D7" s="23"/>
      <c r="E7" s="21" t="s">
        <v>14</v>
      </c>
      <c r="F7" s="17">
        <v>55</v>
      </c>
      <c r="G7" s="22"/>
      <c r="H7" s="22"/>
      <c r="N7" s="24"/>
    </row>
    <row r="8" spans="1:22" s="7" customFormat="1" ht="16.149999999999999" customHeight="1">
      <c r="A8" s="19" t="s">
        <v>15</v>
      </c>
      <c r="B8" s="14">
        <v>4</v>
      </c>
      <c r="C8" s="23">
        <f>SUMIF(科目余额表!$J:$J,资产负债表!A8,科目余额表!$W:$W)</f>
        <v>9449826.5600000005</v>
      </c>
      <c r="D8" s="23">
        <v>12279069.210000001</v>
      </c>
      <c r="E8" s="21" t="s">
        <v>16</v>
      </c>
      <c r="F8" s="17">
        <v>56</v>
      </c>
      <c r="G8" s="22"/>
      <c r="H8" s="22"/>
      <c r="I8" s="24"/>
    </row>
    <row r="9" spans="1:22" s="7" customFormat="1" ht="16.149999999999999" customHeight="1">
      <c r="A9" s="25" t="s">
        <v>17</v>
      </c>
      <c r="B9" s="14">
        <v>5</v>
      </c>
      <c r="C9" s="23"/>
      <c r="D9" s="23"/>
      <c r="E9" s="21" t="s">
        <v>18</v>
      </c>
      <c r="F9" s="17">
        <v>57</v>
      </c>
      <c r="G9" s="22"/>
      <c r="H9" s="22"/>
    </row>
    <row r="10" spans="1:22" s="7" customFormat="1" ht="14.65" customHeight="1">
      <c r="A10" s="25" t="s">
        <v>19</v>
      </c>
      <c r="B10" s="14">
        <v>6</v>
      </c>
      <c r="C10" s="23"/>
      <c r="D10" s="23"/>
      <c r="E10" s="21" t="s">
        <v>20</v>
      </c>
      <c r="F10" s="17">
        <v>58</v>
      </c>
      <c r="G10" s="22">
        <f>-SUMIF(科目余额表!$J:$J,资产负债表!E10,科目余额表!$W:$W)</f>
        <v>107203453.09999999</v>
      </c>
      <c r="H10" s="22">
        <v>107882149.59999999</v>
      </c>
    </row>
    <row r="11" spans="1:22" s="7" customFormat="1" ht="15" customHeight="1">
      <c r="A11" s="25" t="s">
        <v>21</v>
      </c>
      <c r="B11" s="14">
        <v>7</v>
      </c>
      <c r="C11" s="23"/>
      <c r="D11" s="23"/>
      <c r="E11" s="21" t="s">
        <v>22</v>
      </c>
      <c r="F11" s="17">
        <v>59</v>
      </c>
      <c r="G11" s="22"/>
      <c r="H11" s="22"/>
    </row>
    <row r="12" spans="1:22" s="7" customFormat="1" ht="16.149999999999999" customHeight="1">
      <c r="A12" s="25" t="s">
        <v>23</v>
      </c>
      <c r="B12" s="14">
        <v>8</v>
      </c>
      <c r="C12" s="26"/>
      <c r="D12" s="23"/>
      <c r="E12" s="21" t="s">
        <v>24</v>
      </c>
      <c r="F12" s="17">
        <v>60</v>
      </c>
      <c r="G12" s="22"/>
      <c r="H12" s="22"/>
    </row>
    <row r="13" spans="1:22" s="7" customFormat="1" ht="16.149999999999999" customHeight="1">
      <c r="A13" s="25" t="s">
        <v>25</v>
      </c>
      <c r="B13" s="14">
        <v>9</v>
      </c>
      <c r="C13" s="26">
        <f>SUMIF(科目余额表!$J:$J,资产负债表!A13,科目余额表!$W:$W)</f>
        <v>15261057.539999999</v>
      </c>
      <c r="D13" s="23">
        <v>47581177.439999998</v>
      </c>
      <c r="E13" s="21" t="s">
        <v>26</v>
      </c>
      <c r="F13" s="17">
        <v>61</v>
      </c>
      <c r="G13" s="22">
        <f>-SUMIF(科目余额表!$J:$J,资产负债表!E13,科目余额表!$W:$W)</f>
        <v>1496794.77</v>
      </c>
      <c r="H13" s="22">
        <v>859487.6</v>
      </c>
    </row>
    <row r="14" spans="1:22" s="7" customFormat="1" ht="16.149999999999999" customHeight="1">
      <c r="A14" s="25" t="s">
        <v>27</v>
      </c>
      <c r="B14" s="14">
        <v>10</v>
      </c>
      <c r="C14" s="26"/>
      <c r="D14" s="23"/>
      <c r="E14" s="27" t="s">
        <v>28</v>
      </c>
      <c r="F14" s="17">
        <v>62</v>
      </c>
      <c r="G14" s="22">
        <f>-SUMIF(科目余额表!$J:$J,资产负债表!E14,科目余额表!$W:$W)</f>
        <v>-1543380.9299999978</v>
      </c>
      <c r="H14" s="22">
        <v>141506.51999999801</v>
      </c>
    </row>
    <row r="15" spans="1:22" s="7" customFormat="1" ht="16.149999999999999" customHeight="1">
      <c r="A15" s="25" t="s">
        <v>29</v>
      </c>
      <c r="B15" s="14">
        <v>11</v>
      </c>
      <c r="C15" s="23">
        <f>SUMIF(科目余额表!$J:$J,资产负债表!A15,科目余额表!$W:$W)</f>
        <v>306165.27</v>
      </c>
      <c r="D15" s="23">
        <v>404087.46</v>
      </c>
      <c r="E15" s="27" t="s">
        <v>30</v>
      </c>
      <c r="F15" s="17">
        <v>63</v>
      </c>
      <c r="G15" s="22">
        <f>-SUMIF(科目余额表!$J:$J,资产负债表!E15,科目余额表!$W:$W)</f>
        <v>13858319.030000001</v>
      </c>
      <c r="H15" s="22"/>
    </row>
    <row r="16" spans="1:22" s="7" customFormat="1" ht="16.149999999999999" customHeight="1">
      <c r="A16" s="25" t="s">
        <v>31</v>
      </c>
      <c r="B16" s="14">
        <v>12</v>
      </c>
      <c r="C16" s="23">
        <f>SUMIF(科目余额表!$J:$J,资产负债表!A16,科目余额表!$W:$W)</f>
        <v>2175000</v>
      </c>
      <c r="D16" s="23">
        <v>500000</v>
      </c>
      <c r="E16" s="21" t="s">
        <v>32</v>
      </c>
      <c r="F16" s="17">
        <v>64</v>
      </c>
      <c r="G16" s="22"/>
      <c r="H16" s="22"/>
    </row>
    <row r="17" spans="1:9" s="7" customFormat="1" ht="16.149999999999999" customHeight="1">
      <c r="A17" s="25" t="s">
        <v>33</v>
      </c>
      <c r="B17" s="14">
        <v>13</v>
      </c>
      <c r="C17" s="20">
        <f>SUM(C18:C25)</f>
        <v>3012430.21</v>
      </c>
      <c r="D17" s="20">
        <f>SUM(D18:D25)</f>
        <v>4362130.5199999996</v>
      </c>
      <c r="E17" s="21" t="s">
        <v>34</v>
      </c>
      <c r="F17" s="17">
        <v>65</v>
      </c>
      <c r="G17" s="22"/>
      <c r="H17" s="22"/>
    </row>
    <row r="18" spans="1:9" s="7" customFormat="1" ht="16.149999999999999" customHeight="1">
      <c r="A18" s="28" t="s">
        <v>35</v>
      </c>
      <c r="B18" s="14">
        <v>14</v>
      </c>
      <c r="C18" s="23">
        <f>SUMIF(科目余额表!$J:$J,资产负债表!A18,科目余额表!$V:$V)</f>
        <v>0</v>
      </c>
      <c r="D18" s="23"/>
      <c r="E18" s="21" t="s">
        <v>36</v>
      </c>
      <c r="F18" s="17">
        <v>66</v>
      </c>
      <c r="G18" s="22"/>
      <c r="H18" s="22">
        <v>29223553.479999997</v>
      </c>
    </row>
    <row r="19" spans="1:9" s="7" customFormat="1" ht="16.149999999999999" customHeight="1">
      <c r="A19" s="29" t="s">
        <v>37</v>
      </c>
      <c r="B19" s="14">
        <v>15</v>
      </c>
      <c r="C19" s="23">
        <f>SUMIF(科目余额表!$J:$J,资产负债表!A19,科目余额表!$W:$W)</f>
        <v>1420839.2999999998</v>
      </c>
      <c r="D19" s="23">
        <v>2716683.97</v>
      </c>
      <c r="E19" s="30" t="s">
        <v>38</v>
      </c>
      <c r="F19" s="17">
        <v>67</v>
      </c>
      <c r="G19" s="31">
        <f>SUM(G6:G18)</f>
        <v>144477279.43000001</v>
      </c>
      <c r="H19" s="31">
        <f>SUM(H6:H18)</f>
        <v>166106697.19999999</v>
      </c>
    </row>
    <row r="20" spans="1:9" s="7" customFormat="1" ht="16.149999999999999" customHeight="1">
      <c r="A20" s="29" t="s">
        <v>39</v>
      </c>
      <c r="B20" s="14">
        <v>16</v>
      </c>
      <c r="C20" s="23"/>
      <c r="D20" s="23"/>
      <c r="E20" s="30" t="s">
        <v>40</v>
      </c>
      <c r="F20" s="17">
        <v>68</v>
      </c>
      <c r="G20" s="22"/>
      <c r="H20" s="22"/>
    </row>
    <row r="21" spans="1:9" s="7" customFormat="1" ht="16.149999999999999" customHeight="1">
      <c r="A21" s="25" t="s">
        <v>41</v>
      </c>
      <c r="B21" s="14">
        <v>17</v>
      </c>
      <c r="C21" s="23"/>
      <c r="D21" s="23"/>
      <c r="E21" s="21" t="s">
        <v>42</v>
      </c>
      <c r="F21" s="17">
        <v>69</v>
      </c>
      <c r="G21" s="22">
        <f>-SUMIF(科目余额表!$J:$J,资产负债表!E21,科目余额表!$W:$W)</f>
        <v>7468903.5899999999</v>
      </c>
      <c r="H21" s="22">
        <v>8375327.9800000004</v>
      </c>
    </row>
    <row r="22" spans="1:9" s="7" customFormat="1" ht="16.149999999999999" customHeight="1">
      <c r="A22" s="25" t="s">
        <v>43</v>
      </c>
      <c r="B22" s="14">
        <v>18</v>
      </c>
      <c r="C22" s="23">
        <f>SUMIF(科目余额表!$J:$J,资产负债表!A22,科目余额表!$W:$W)</f>
        <v>0</v>
      </c>
      <c r="D22" s="23"/>
      <c r="E22" s="21" t="s">
        <v>44</v>
      </c>
      <c r="F22" s="17">
        <v>70</v>
      </c>
      <c r="G22" s="22"/>
      <c r="H22" s="22"/>
    </row>
    <row r="23" spans="1:9" s="7" customFormat="1" ht="16.149999999999999" customHeight="1">
      <c r="A23" s="25" t="s">
        <v>45</v>
      </c>
      <c r="B23" s="14">
        <v>19</v>
      </c>
      <c r="C23" s="23"/>
      <c r="D23" s="23"/>
      <c r="E23" s="21" t="s">
        <v>46</v>
      </c>
      <c r="F23" s="17">
        <v>71</v>
      </c>
      <c r="G23" s="22"/>
      <c r="H23" s="22"/>
      <c r="I23" s="24"/>
    </row>
    <row r="24" spans="1:9" s="7" customFormat="1" ht="16.149999999999999" customHeight="1">
      <c r="A24" s="25" t="s">
        <v>47</v>
      </c>
      <c r="B24" s="14">
        <v>20</v>
      </c>
      <c r="C24" s="23">
        <f>SUMIF(科目余额表!$J:$J,资产负债表!A24,科目余额表!$W:$W)</f>
        <v>51071.29</v>
      </c>
      <c r="D24" s="23">
        <v>187304.53</v>
      </c>
      <c r="E24" s="21" t="s">
        <v>48</v>
      </c>
      <c r="F24" s="17">
        <v>72</v>
      </c>
      <c r="G24" s="22"/>
      <c r="H24" s="22"/>
    </row>
    <row r="25" spans="1:9" s="7" customFormat="1" ht="16.149999999999999" customHeight="1">
      <c r="A25" s="25" t="s">
        <v>49</v>
      </c>
      <c r="B25" s="14">
        <v>21</v>
      </c>
      <c r="C25" s="23">
        <f>SUMIF(科目余额表!$J:$J,资产负债表!A25,科目余额表!$W:$W)</f>
        <v>1540519.62</v>
      </c>
      <c r="D25" s="23">
        <v>1458142.02</v>
      </c>
      <c r="E25" s="27" t="s">
        <v>50</v>
      </c>
      <c r="F25" s="17">
        <v>73</v>
      </c>
      <c r="G25" s="22"/>
      <c r="H25" s="22"/>
      <c r="I25" s="24"/>
    </row>
    <row r="26" spans="1:9" s="7" customFormat="1" ht="16.149999999999999" customHeight="1">
      <c r="A26" s="25" t="s">
        <v>51</v>
      </c>
      <c r="B26" s="14">
        <v>22</v>
      </c>
      <c r="C26" s="23"/>
      <c r="D26" s="23"/>
      <c r="E26" s="32" t="s">
        <v>52</v>
      </c>
      <c r="F26" s="17">
        <v>74</v>
      </c>
      <c r="G26" s="22"/>
      <c r="H26" s="22"/>
      <c r="I26" s="24"/>
    </row>
    <row r="27" spans="1:9" s="7" customFormat="1" ht="16.149999999999999" customHeight="1">
      <c r="A27" s="25" t="s">
        <v>53</v>
      </c>
      <c r="B27" s="14">
        <v>23</v>
      </c>
      <c r="C27" s="23"/>
      <c r="D27" s="23"/>
      <c r="E27" s="33" t="s">
        <v>54</v>
      </c>
      <c r="F27" s="17">
        <v>75</v>
      </c>
      <c r="G27" s="22"/>
      <c r="H27" s="22"/>
    </row>
    <row r="28" spans="1:9" s="7" customFormat="1" ht="16.149999999999999" customHeight="1">
      <c r="A28" s="25" t="s">
        <v>55</v>
      </c>
      <c r="B28" s="14">
        <v>24</v>
      </c>
      <c r="C28" s="23"/>
      <c r="D28" s="23"/>
      <c r="E28" s="34" t="s">
        <v>56</v>
      </c>
      <c r="F28" s="17">
        <v>76</v>
      </c>
      <c r="G28" s="22"/>
      <c r="H28" s="22"/>
    </row>
    <row r="29" spans="1:9" s="7" customFormat="1" ht="16.149999999999999" customHeight="1">
      <c r="A29" s="25" t="s">
        <v>57</v>
      </c>
      <c r="B29" s="14">
        <v>25</v>
      </c>
      <c r="C29" s="23">
        <f>SUMIF(科目余额表!$J:$J,资产负债表!A29,科目余额表!$W:$W)</f>
        <v>11007940.950000001</v>
      </c>
      <c r="D29" s="23">
        <v>11320000.039999999</v>
      </c>
      <c r="E29" s="35" t="s">
        <v>58</v>
      </c>
      <c r="F29" s="17">
        <v>77</v>
      </c>
      <c r="G29" s="31">
        <f>SUM(G21:G28)</f>
        <v>7468903.5899999999</v>
      </c>
      <c r="H29" s="31">
        <f>SUM(H21:H28)</f>
        <v>8375327.9800000004</v>
      </c>
    </row>
    <row r="30" spans="1:9" s="7" customFormat="1" ht="16.149999999999999" customHeight="1">
      <c r="A30" s="36" t="s">
        <v>59</v>
      </c>
      <c r="B30" s="14">
        <v>26</v>
      </c>
      <c r="C30" s="20">
        <f>SUM(C6,C10:C17,C26:C29)</f>
        <v>41212420.530000001</v>
      </c>
      <c r="D30" s="20">
        <f>SUM(D6,D10:D17,D26:D29)</f>
        <v>76446464.669999987</v>
      </c>
      <c r="E30" s="35" t="s">
        <v>60</v>
      </c>
      <c r="F30" s="17">
        <v>78</v>
      </c>
      <c r="G30" s="31">
        <f>G19+G29</f>
        <v>151946183.02000001</v>
      </c>
      <c r="H30" s="31">
        <f>H19+H29</f>
        <v>174482025.17999998</v>
      </c>
    </row>
    <row r="31" spans="1:9" s="7" customFormat="1" ht="16.149999999999999" customHeight="1">
      <c r="A31" s="37" t="s">
        <v>61</v>
      </c>
      <c r="B31" s="14">
        <v>27</v>
      </c>
      <c r="C31" s="23"/>
      <c r="D31" s="23"/>
      <c r="E31" s="35"/>
      <c r="F31" s="17">
        <v>79</v>
      </c>
      <c r="G31" s="31"/>
      <c r="H31" s="31"/>
    </row>
    <row r="32" spans="1:9" s="7" customFormat="1" ht="16.149999999999999" customHeight="1">
      <c r="A32" s="25" t="s">
        <v>62</v>
      </c>
      <c r="B32" s="14">
        <v>28</v>
      </c>
      <c r="C32" s="23"/>
      <c r="D32" s="23"/>
      <c r="E32" s="35"/>
      <c r="F32" s="17">
        <v>80</v>
      </c>
      <c r="G32" s="22"/>
      <c r="H32" s="22"/>
    </row>
    <row r="33" spans="1:9" s="7" customFormat="1" ht="16.149999999999999" customHeight="1">
      <c r="A33" s="25" t="s">
        <v>63</v>
      </c>
      <c r="B33" s="14">
        <v>29</v>
      </c>
      <c r="C33" s="23"/>
      <c r="D33" s="23"/>
      <c r="E33" s="35"/>
      <c r="F33" s="17">
        <v>81</v>
      </c>
      <c r="G33" s="38"/>
      <c r="H33" s="38"/>
    </row>
    <row r="34" spans="1:9" s="7" customFormat="1" ht="16.149999999999999" customHeight="1">
      <c r="A34" s="25" t="s">
        <v>64</v>
      </c>
      <c r="B34" s="14">
        <v>30</v>
      </c>
      <c r="C34" s="23"/>
      <c r="D34" s="23"/>
      <c r="E34" s="35"/>
      <c r="F34" s="17">
        <v>82</v>
      </c>
      <c r="G34" s="38"/>
      <c r="H34" s="38"/>
    </row>
    <row r="35" spans="1:9" s="7" customFormat="1" ht="16.149999999999999" customHeight="1">
      <c r="A35" s="25" t="s">
        <v>65</v>
      </c>
      <c r="B35" s="14">
        <v>31</v>
      </c>
      <c r="C35" s="23"/>
      <c r="D35" s="23"/>
      <c r="E35" s="35"/>
      <c r="F35" s="17">
        <v>83</v>
      </c>
      <c r="G35" s="22"/>
      <c r="H35" s="22"/>
    </row>
    <row r="36" spans="1:9" s="7" customFormat="1" ht="16.149999999999999" customHeight="1">
      <c r="A36" s="25" t="s">
        <v>66</v>
      </c>
      <c r="B36" s="14">
        <v>32</v>
      </c>
      <c r="C36" s="23"/>
      <c r="D36" s="23"/>
      <c r="E36" s="35"/>
      <c r="F36" s="17">
        <v>84</v>
      </c>
      <c r="G36" s="22"/>
      <c r="H36" s="22"/>
    </row>
    <row r="37" spans="1:9" s="7" customFormat="1" ht="16.149999999999999" customHeight="1">
      <c r="A37" s="25" t="s">
        <v>67</v>
      </c>
      <c r="B37" s="14">
        <v>33</v>
      </c>
      <c r="C37" s="23"/>
      <c r="D37" s="23"/>
      <c r="E37" s="35"/>
      <c r="F37" s="17">
        <v>85</v>
      </c>
      <c r="G37" s="22"/>
      <c r="H37" s="22"/>
    </row>
    <row r="38" spans="1:9" s="7" customFormat="1" ht="16.149999999999999" customHeight="1">
      <c r="A38" s="25" t="s">
        <v>68</v>
      </c>
      <c r="B38" s="14">
        <v>34</v>
      </c>
      <c r="C38" s="23"/>
      <c r="D38" s="23"/>
      <c r="E38" s="35"/>
      <c r="F38" s="17">
        <v>86</v>
      </c>
      <c r="G38" s="22"/>
      <c r="H38" s="22"/>
    </row>
    <row r="39" spans="1:9" s="7" customFormat="1" ht="16.149999999999999" customHeight="1">
      <c r="A39" s="25" t="s">
        <v>69</v>
      </c>
      <c r="B39" s="14">
        <v>35</v>
      </c>
      <c r="C39" s="23">
        <f>SUMIF(科目余额表!$J:$J,资产负债表!A39,科目余额表!$W:$W)</f>
        <v>44044785.199999996</v>
      </c>
      <c r="D39" s="23">
        <v>35955450.07</v>
      </c>
      <c r="E39" s="35"/>
      <c r="F39" s="17">
        <v>87</v>
      </c>
      <c r="G39" s="22"/>
      <c r="H39" s="22"/>
    </row>
    <row r="40" spans="1:9" s="7" customFormat="1" ht="16.149999999999999" customHeight="1">
      <c r="A40" s="25" t="s">
        <v>70</v>
      </c>
      <c r="B40" s="14">
        <v>36</v>
      </c>
      <c r="C40" s="23">
        <f>-SUMIF(科目余额表!$J:$J,资产负债表!A40,科目余额表!$W:$W)</f>
        <v>17865026.780000001</v>
      </c>
      <c r="D40" s="23">
        <v>11473338.77</v>
      </c>
      <c r="E40" s="35"/>
      <c r="F40" s="17">
        <v>88</v>
      </c>
      <c r="G40" s="22"/>
      <c r="H40" s="22"/>
    </row>
    <row r="41" spans="1:9" s="7" customFormat="1" ht="16.149999999999999" customHeight="1">
      <c r="A41" s="25" t="s">
        <v>71</v>
      </c>
      <c r="B41" s="14">
        <v>37</v>
      </c>
      <c r="C41" s="20">
        <f>C39-C40</f>
        <v>26179758.419999994</v>
      </c>
      <c r="D41" s="20">
        <f>D39-D40</f>
        <v>24482111.300000001</v>
      </c>
      <c r="E41" s="35"/>
      <c r="F41" s="17">
        <v>89</v>
      </c>
      <c r="G41" s="22"/>
      <c r="H41" s="22"/>
    </row>
    <row r="42" spans="1:9" s="7" customFormat="1" ht="16.149999999999999" customHeight="1">
      <c r="A42" s="25" t="s">
        <v>72</v>
      </c>
      <c r="B42" s="14">
        <v>38</v>
      </c>
      <c r="C42" s="23"/>
      <c r="D42" s="23"/>
      <c r="E42" s="35"/>
      <c r="F42" s="17">
        <v>90</v>
      </c>
      <c r="G42" s="22"/>
      <c r="H42" s="22"/>
      <c r="I42" s="24"/>
    </row>
    <row r="43" spans="1:9" s="7" customFormat="1" ht="16.149999999999999" customHeight="1">
      <c r="A43" s="25" t="s">
        <v>73</v>
      </c>
      <c r="B43" s="14">
        <v>39</v>
      </c>
      <c r="C43" s="20">
        <f>C41-C42</f>
        <v>26179758.419999994</v>
      </c>
      <c r="D43" s="20">
        <f>D41-D42</f>
        <v>24482111.300000001</v>
      </c>
      <c r="E43" s="35"/>
      <c r="F43" s="17">
        <v>91</v>
      </c>
      <c r="G43" s="22"/>
      <c r="H43" s="22"/>
    </row>
    <row r="44" spans="1:9" s="7" customFormat="1" ht="16.149999999999999" customHeight="1">
      <c r="A44" s="25" t="s">
        <v>74</v>
      </c>
      <c r="B44" s="14">
        <v>40</v>
      </c>
      <c r="C44" s="23"/>
      <c r="D44" s="23"/>
      <c r="E44" s="39"/>
      <c r="F44" s="17">
        <v>92</v>
      </c>
      <c r="G44" s="22"/>
      <c r="H44" s="22"/>
    </row>
    <row r="45" spans="1:9" s="7" customFormat="1" ht="16.149999999999999" customHeight="1">
      <c r="A45" s="25" t="s">
        <v>75</v>
      </c>
      <c r="B45" s="14">
        <v>41</v>
      </c>
      <c r="C45" s="20">
        <f>C43+C44</f>
        <v>26179758.419999994</v>
      </c>
      <c r="D45" s="20">
        <f>D43+D44</f>
        <v>24482111.300000001</v>
      </c>
      <c r="E45" s="34"/>
      <c r="F45" s="17">
        <v>93</v>
      </c>
      <c r="G45" s="22"/>
      <c r="H45" s="22"/>
    </row>
    <row r="46" spans="1:9" s="7" customFormat="1" ht="16.149999999999999" customHeight="1">
      <c r="A46" s="25" t="s">
        <v>76</v>
      </c>
      <c r="B46" s="14">
        <v>42</v>
      </c>
      <c r="C46" s="23">
        <f>SUMIF(科目余额表!$J:$J,资产负债表!A46,科目余额表!$W:$W)</f>
        <v>1362128.1999999993</v>
      </c>
      <c r="D46" s="23">
        <v>4469796.53</v>
      </c>
      <c r="E46" s="39"/>
      <c r="F46" s="17">
        <v>94</v>
      </c>
      <c r="G46" s="22"/>
      <c r="H46" s="22"/>
    </row>
    <row r="47" spans="1:9" s="7" customFormat="1" ht="16.149999999999999" customHeight="1">
      <c r="A47" s="25" t="s">
        <v>77</v>
      </c>
      <c r="B47" s="14">
        <v>43</v>
      </c>
      <c r="C47" s="23"/>
      <c r="D47" s="23"/>
      <c r="E47" s="39" t="s">
        <v>78</v>
      </c>
      <c r="F47" s="17">
        <v>95</v>
      </c>
      <c r="G47" s="22"/>
      <c r="H47" s="22"/>
    </row>
    <row r="48" spans="1:9" s="7" customFormat="1" ht="16.149999999999999" customHeight="1">
      <c r="A48" s="25" t="s">
        <v>79</v>
      </c>
      <c r="B48" s="14">
        <v>44</v>
      </c>
      <c r="C48" s="23">
        <f>SUMIF(科目余额表!$J:$J,资产负债表!A48,科目余额表!$W:$W)</f>
        <v>25401395.170000002</v>
      </c>
      <c r="D48" s="23"/>
      <c r="E48" s="34" t="s">
        <v>80</v>
      </c>
      <c r="F48" s="17">
        <v>96</v>
      </c>
      <c r="G48" s="22">
        <v>50000000</v>
      </c>
      <c r="H48" s="22">
        <v>50000000</v>
      </c>
    </row>
    <row r="49" spans="1:9" s="7" customFormat="1" ht="16.149999999999999" customHeight="1">
      <c r="A49" s="40" t="s">
        <v>81</v>
      </c>
      <c r="B49" s="14">
        <v>45</v>
      </c>
      <c r="C49" s="23"/>
      <c r="D49" s="23"/>
      <c r="E49" s="32" t="s">
        <v>82</v>
      </c>
      <c r="F49" s="17">
        <v>97</v>
      </c>
      <c r="G49" s="22"/>
      <c r="H49" s="22"/>
    </row>
    <row r="50" spans="1:9" s="7" customFormat="1" ht="16.149999999999999" customHeight="1">
      <c r="A50" s="29" t="s">
        <v>83</v>
      </c>
      <c r="B50" s="14">
        <v>46</v>
      </c>
      <c r="C50" s="23"/>
      <c r="D50" s="23"/>
      <c r="E50" s="32" t="s">
        <v>84</v>
      </c>
      <c r="F50" s="17">
        <v>98</v>
      </c>
      <c r="G50" s="22"/>
      <c r="H50" s="22"/>
    </row>
    <row r="51" spans="1:9" s="7" customFormat="1" ht="16.149999999999999" customHeight="1">
      <c r="A51" s="29" t="s">
        <v>85</v>
      </c>
      <c r="B51" s="14">
        <v>47</v>
      </c>
      <c r="C51" s="23"/>
      <c r="D51" s="23"/>
      <c r="E51" s="32" t="s">
        <v>86</v>
      </c>
      <c r="F51" s="17">
        <v>99</v>
      </c>
      <c r="G51" s="22"/>
      <c r="H51" s="22"/>
    </row>
    <row r="52" spans="1:9" s="7" customFormat="1" ht="16.149999999999999" customHeight="1">
      <c r="A52" s="25" t="s">
        <v>87</v>
      </c>
      <c r="B52" s="14">
        <v>48</v>
      </c>
      <c r="C52" s="23">
        <f>SUMIF(科目余额表!$J:$J,资产负债表!A52,科目余额表!$W:$W)</f>
        <v>5731519.7200000025</v>
      </c>
      <c r="D52" s="23">
        <v>40082456.170000002</v>
      </c>
      <c r="E52" s="32" t="s">
        <v>88</v>
      </c>
      <c r="F52" s="17">
        <v>100</v>
      </c>
      <c r="G52" s="22">
        <f>+H52+利润表!D31</f>
        <v>-75555554.409999967</v>
      </c>
      <c r="H52" s="22">
        <v>-58018671.240000002</v>
      </c>
      <c r="I52" s="24"/>
    </row>
    <row r="53" spans="1:9" s="7" customFormat="1" ht="16.149999999999999" customHeight="1">
      <c r="A53" s="25" t="s">
        <v>89</v>
      </c>
      <c r="B53" s="14">
        <v>49</v>
      </c>
      <c r="C53" s="23">
        <f>SUMIF(科目余额表!$J:$J,资产负债表!A53,科目余额表!$W:$W)</f>
        <v>26503406.57</v>
      </c>
      <c r="D53" s="23">
        <v>20982525.27</v>
      </c>
      <c r="E53" s="41" t="s">
        <v>90</v>
      </c>
      <c r="F53" s="17">
        <v>101</v>
      </c>
      <c r="G53" s="31">
        <f>SUM(G48:G52)</f>
        <v>-25555554.409999967</v>
      </c>
      <c r="H53" s="31">
        <f>SUM(H48:H52)</f>
        <v>-8018671.2400000021</v>
      </c>
    </row>
    <row r="54" spans="1:9" s="7" customFormat="1" ht="16.149999999999999" customHeight="1">
      <c r="A54" s="25" t="s">
        <v>91</v>
      </c>
      <c r="B54" s="14">
        <v>50</v>
      </c>
      <c r="C54" s="23"/>
      <c r="D54" s="23"/>
      <c r="E54" s="41" t="s">
        <v>92</v>
      </c>
      <c r="F54" s="17">
        <v>102</v>
      </c>
      <c r="G54" s="22"/>
      <c r="H54" s="22"/>
    </row>
    <row r="55" spans="1:9" s="7" customFormat="1" ht="16.149999999999999" customHeight="1">
      <c r="A55" s="19" t="s">
        <v>93</v>
      </c>
      <c r="B55" s="14">
        <v>51</v>
      </c>
      <c r="C55" s="20">
        <f>SUM(C32:C38,C45:C48,C50:C54)</f>
        <v>85178208.079999983</v>
      </c>
      <c r="D55" s="20">
        <f>SUM(D32:D38,D45:D48,D50:D54)</f>
        <v>90016889.269999996</v>
      </c>
      <c r="E55" s="35" t="s">
        <v>94</v>
      </c>
      <c r="F55" s="17">
        <v>103</v>
      </c>
      <c r="G55" s="31">
        <f>G53+G54</f>
        <v>-25555554.409999967</v>
      </c>
      <c r="H55" s="31">
        <f>H53+H54</f>
        <v>-8018671.2400000021</v>
      </c>
    </row>
    <row r="56" spans="1:9" s="7" customFormat="1" ht="16.149999999999999" customHeight="1" thickBot="1">
      <c r="A56" s="42" t="s">
        <v>95</v>
      </c>
      <c r="B56" s="43">
        <v>52</v>
      </c>
      <c r="C56" s="44">
        <f>C55+C30</f>
        <v>126390628.60999998</v>
      </c>
      <c r="D56" s="44">
        <f>D55+D30</f>
        <v>166463353.94</v>
      </c>
      <c r="E56" s="42" t="s">
        <v>96</v>
      </c>
      <c r="F56" s="43">
        <v>104</v>
      </c>
      <c r="G56" s="44">
        <f>G55+G30</f>
        <v>126390628.61000004</v>
      </c>
      <c r="H56" s="44">
        <f>H55+H30</f>
        <v>166463353.93999997</v>
      </c>
    </row>
    <row r="57" spans="1:9" s="7" customFormat="1" ht="16.149999999999999" customHeight="1">
      <c r="B57" s="45"/>
      <c r="C57" s="46"/>
      <c r="D57" s="47"/>
      <c r="E57" s="45" t="s">
        <v>97</v>
      </c>
      <c r="F57" s="48"/>
      <c r="G57" s="47">
        <f>G56-C56</f>
        <v>0</v>
      </c>
      <c r="H57" s="49">
        <f>H56-D56</f>
        <v>0</v>
      </c>
      <c r="I57" s="45"/>
    </row>
    <row r="58" spans="1:9" s="45" customFormat="1" ht="13.5" customHeight="1">
      <c r="A58" s="7" t="s">
        <v>98</v>
      </c>
      <c r="B58" s="50"/>
      <c r="C58" s="47"/>
      <c r="D58" s="51" t="s">
        <v>99</v>
      </c>
      <c r="F58" s="48"/>
      <c r="G58" s="47"/>
      <c r="H58" s="49" t="s">
        <v>100</v>
      </c>
      <c r="I58" s="52"/>
    </row>
    <row r="59" spans="1:9" s="52" customFormat="1">
      <c r="A59" s="53"/>
      <c r="B59" s="53"/>
      <c r="C59" s="54"/>
      <c r="D59" s="54"/>
      <c r="E59" s="53"/>
      <c r="F59" s="53"/>
      <c r="G59" s="54"/>
      <c r="H59" s="55"/>
      <c r="I59" s="53"/>
    </row>
    <row r="60" spans="1:9">
      <c r="H60" s="55"/>
    </row>
    <row r="61" spans="1:9">
      <c r="H61" s="55"/>
    </row>
    <row r="62" spans="1:9">
      <c r="H62" s="55"/>
    </row>
    <row r="63" spans="1:9">
      <c r="H63" s="55"/>
    </row>
    <row r="64" spans="1:9">
      <c r="H64" s="55"/>
    </row>
    <row r="65" spans="8:8">
      <c r="H65" s="55"/>
    </row>
    <row r="66" spans="8:8">
      <c r="H66" s="55"/>
    </row>
    <row r="67" spans="8:8">
      <c r="H67" s="55"/>
    </row>
    <row r="68" spans="8:8">
      <c r="H68" s="55"/>
    </row>
    <row r="69" spans="8:8">
      <c r="H69" s="55"/>
    </row>
    <row r="70" spans="8:8">
      <c r="H70" s="55"/>
    </row>
    <row r="71" spans="8:8">
      <c r="H71" s="55"/>
    </row>
    <row r="72" spans="8:8">
      <c r="H72" s="55"/>
    </row>
    <row r="73" spans="8:8">
      <c r="H73" s="55"/>
    </row>
    <row r="74" spans="8:8">
      <c r="H74" s="55"/>
    </row>
    <row r="75" spans="8:8">
      <c r="H75" s="55"/>
    </row>
    <row r="76" spans="8:8">
      <c r="H76" s="55"/>
    </row>
    <row r="77" spans="8:8">
      <c r="H77" s="55"/>
    </row>
    <row r="78" spans="8:8">
      <c r="H78" s="55"/>
    </row>
    <row r="79" spans="8:8">
      <c r="H79" s="55"/>
    </row>
    <row r="80" spans="8:8">
      <c r="H80" s="55"/>
    </row>
    <row r="81" spans="8:8">
      <c r="H81" s="55"/>
    </row>
    <row r="82" spans="8:8">
      <c r="H82" s="55"/>
    </row>
    <row r="83" spans="8:8">
      <c r="H83" s="55"/>
    </row>
    <row r="84" spans="8:8">
      <c r="H84" s="55"/>
    </row>
    <row r="85" spans="8:8">
      <c r="H85" s="55"/>
    </row>
    <row r="86" spans="8:8">
      <c r="H86" s="55"/>
    </row>
    <row r="87" spans="8:8">
      <c r="H87" s="55"/>
    </row>
    <row r="88" spans="8:8">
      <c r="H88" s="55"/>
    </row>
    <row r="89" spans="8:8">
      <c r="H89" s="55"/>
    </row>
    <row r="90" spans="8:8">
      <c r="H90" s="55"/>
    </row>
    <row r="91" spans="8:8">
      <c r="H91" s="55"/>
    </row>
    <row r="92" spans="8:8">
      <c r="H92" s="55"/>
    </row>
    <row r="93" spans="8:8">
      <c r="H93" s="55"/>
    </row>
    <row r="94" spans="8:8">
      <c r="H94" s="55"/>
    </row>
    <row r="95" spans="8:8">
      <c r="H95" s="55"/>
    </row>
    <row r="96" spans="8:8">
      <c r="H96" s="55"/>
    </row>
    <row r="97" spans="8:8">
      <c r="H97" s="55"/>
    </row>
    <row r="98" spans="8:8">
      <c r="H98" s="55"/>
    </row>
    <row r="99" spans="8:8">
      <c r="H99" s="55"/>
    </row>
    <row r="100" spans="8:8">
      <c r="H100" s="55"/>
    </row>
    <row r="101" spans="8:8">
      <c r="H101" s="55"/>
    </row>
    <row r="102" spans="8:8">
      <c r="H102" s="55"/>
    </row>
    <row r="103" spans="8:8">
      <c r="H103" s="55"/>
    </row>
    <row r="104" spans="8:8">
      <c r="H104" s="55"/>
    </row>
    <row r="105" spans="8:8">
      <c r="H105" s="55"/>
    </row>
    <row r="106" spans="8:8">
      <c r="H106" s="55"/>
    </row>
    <row r="107" spans="8:8">
      <c r="H107" s="55"/>
    </row>
    <row r="108" spans="8:8">
      <c r="H108" s="55"/>
    </row>
    <row r="109" spans="8:8">
      <c r="H109" s="55"/>
    </row>
    <row r="110" spans="8:8">
      <c r="H110" s="55"/>
    </row>
    <row r="111" spans="8:8">
      <c r="H111" s="55"/>
    </row>
    <row r="112" spans="8:8">
      <c r="H112" s="55"/>
    </row>
    <row r="113" spans="8:8">
      <c r="H113" s="55"/>
    </row>
    <row r="114" spans="8:8">
      <c r="H114" s="55"/>
    </row>
    <row r="115" spans="8:8">
      <c r="H115" s="55"/>
    </row>
    <row r="116" spans="8:8">
      <c r="H116" s="55"/>
    </row>
    <row r="117" spans="8:8">
      <c r="H117" s="55"/>
    </row>
    <row r="118" spans="8:8">
      <c r="H118" s="55"/>
    </row>
    <row r="119" spans="8:8">
      <c r="H119" s="55"/>
    </row>
    <row r="120" spans="8:8">
      <c r="H120" s="55"/>
    </row>
    <row r="121" spans="8:8">
      <c r="H121" s="55"/>
    </row>
    <row r="122" spans="8:8">
      <c r="H122" s="55"/>
    </row>
    <row r="123" spans="8:8">
      <c r="H123" s="55"/>
    </row>
    <row r="124" spans="8:8">
      <c r="H124" s="55"/>
    </row>
    <row r="125" spans="8:8">
      <c r="H125" s="55"/>
    </row>
    <row r="126" spans="8:8">
      <c r="H126" s="55"/>
    </row>
    <row r="127" spans="8:8">
      <c r="H127" s="55"/>
    </row>
    <row r="128" spans="8:8">
      <c r="H128" s="55"/>
    </row>
    <row r="129" spans="8:8">
      <c r="H129" s="55"/>
    </row>
    <row r="130" spans="8:8">
      <c r="H130" s="55"/>
    </row>
    <row r="131" spans="8:8">
      <c r="H131" s="55"/>
    </row>
    <row r="132" spans="8:8">
      <c r="H132" s="55"/>
    </row>
    <row r="133" spans="8:8">
      <c r="H133" s="55"/>
    </row>
    <row r="134" spans="8:8">
      <c r="H134" s="55"/>
    </row>
    <row r="135" spans="8:8">
      <c r="H135" s="55"/>
    </row>
    <row r="136" spans="8:8">
      <c r="H136" s="55"/>
    </row>
    <row r="137" spans="8:8">
      <c r="H137" s="55"/>
    </row>
    <row r="138" spans="8:8">
      <c r="H138" s="55"/>
    </row>
    <row r="139" spans="8:8">
      <c r="H139" s="55"/>
    </row>
    <row r="140" spans="8:8">
      <c r="H140" s="55"/>
    </row>
    <row r="141" spans="8:8">
      <c r="H141" s="55"/>
    </row>
    <row r="142" spans="8:8">
      <c r="H142" s="55"/>
    </row>
    <row r="143" spans="8:8">
      <c r="H143" s="55"/>
    </row>
    <row r="144" spans="8:8">
      <c r="H144" s="55"/>
    </row>
    <row r="145" spans="8:8">
      <c r="H145" s="55"/>
    </row>
    <row r="146" spans="8:8">
      <c r="H146" s="55"/>
    </row>
    <row r="147" spans="8:8">
      <c r="H147" s="55"/>
    </row>
    <row r="148" spans="8:8">
      <c r="H148" s="55"/>
    </row>
    <row r="149" spans="8:8">
      <c r="H149" s="55"/>
    </row>
    <row r="150" spans="8:8">
      <c r="H150" s="55"/>
    </row>
    <row r="151" spans="8:8">
      <c r="H151" s="55"/>
    </row>
    <row r="152" spans="8:8">
      <c r="H152" s="55"/>
    </row>
    <row r="153" spans="8:8">
      <c r="H153" s="55"/>
    </row>
    <row r="154" spans="8:8">
      <c r="H154" s="55"/>
    </row>
    <row r="155" spans="8:8">
      <c r="H155" s="55"/>
    </row>
    <row r="156" spans="8:8">
      <c r="H156" s="55"/>
    </row>
    <row r="157" spans="8:8">
      <c r="H157" s="55"/>
    </row>
    <row r="158" spans="8:8">
      <c r="H158" s="55"/>
    </row>
    <row r="159" spans="8:8">
      <c r="H159" s="55"/>
    </row>
    <row r="160" spans="8:8">
      <c r="H160" s="55"/>
    </row>
    <row r="161" spans="8:8">
      <c r="H161" s="55"/>
    </row>
    <row r="162" spans="8:8">
      <c r="H162" s="55"/>
    </row>
    <row r="163" spans="8:8">
      <c r="H163" s="55"/>
    </row>
    <row r="164" spans="8:8">
      <c r="H164" s="55"/>
    </row>
    <row r="165" spans="8:8">
      <c r="H165" s="55"/>
    </row>
    <row r="166" spans="8:8">
      <c r="H166" s="55"/>
    </row>
    <row r="167" spans="8:8">
      <c r="H167" s="55"/>
    </row>
    <row r="168" spans="8:8">
      <c r="H168" s="55"/>
    </row>
    <row r="169" spans="8:8">
      <c r="H169" s="55"/>
    </row>
    <row r="170" spans="8:8">
      <c r="H170" s="55"/>
    </row>
    <row r="171" spans="8:8">
      <c r="H171" s="55"/>
    </row>
    <row r="172" spans="8:8">
      <c r="H172" s="55"/>
    </row>
    <row r="173" spans="8:8">
      <c r="H173" s="55"/>
    </row>
    <row r="174" spans="8:8">
      <c r="H174" s="55"/>
    </row>
    <row r="175" spans="8:8">
      <c r="H175" s="55"/>
    </row>
    <row r="176" spans="8:8">
      <c r="H176" s="55"/>
    </row>
    <row r="177" spans="8:8">
      <c r="H177" s="55"/>
    </row>
    <row r="178" spans="8:8">
      <c r="H178" s="55"/>
    </row>
    <row r="179" spans="8:8">
      <c r="H179" s="55"/>
    </row>
    <row r="180" spans="8:8">
      <c r="H180" s="55"/>
    </row>
    <row r="181" spans="8:8">
      <c r="H181" s="55"/>
    </row>
    <row r="182" spans="8:8">
      <c r="H182" s="55"/>
    </row>
    <row r="183" spans="8:8">
      <c r="H183" s="55"/>
    </row>
  </sheetData>
  <sheetProtection algorithmName="SHA-512" hashValue="JdsOnbf7Gvw2A+3f3iMpongfx9go3i4phNod2iFDYuaYzknwVI7+g8DwzyugIg0cyqLyBRP3o1iEzWeLcTy3vA==" saltValue="pkX3mI59Cyrgj5SZPsUikQ==" spinCount="100000" sheet="1" objects="1" scenarios="1" formatColumns="0"/>
  <mergeCells count="1">
    <mergeCell ref="A1:H1"/>
  </mergeCells>
  <phoneticPr fontId="6" type="noConversion"/>
  <printOptions horizontalCentered="1" verticalCentered="1"/>
  <pageMargins left="0.31496062992125984" right="0.31496062992125984" top="0.59055118110236227" bottom="0.39370078740157483" header="0.15748031496062992" footer="0.15748031496062992"/>
  <pageSetup paperSize="9" scale="83" orientation="portrait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087A-63DE-4821-8281-2C199F32C7A5}">
  <dimension ref="A1:Z72"/>
  <sheetViews>
    <sheetView showGridLines="0" showZeros="0" zoomScaleNormal="100" workbookViewId="0">
      <pane ySplit="4" topLeftCell="A5" activePane="bottomLeft" state="frozenSplit"/>
      <selection pane="bottomLeft" activeCell="D17" sqref="D17"/>
      <selection activeCell="C48" sqref="C48"/>
    </sheetView>
  </sheetViews>
  <sheetFormatPr defaultRowHeight="17.45"/>
  <cols>
    <col min="1" max="1" width="36.5" style="131" customWidth="1"/>
    <col min="2" max="2" width="4" style="132" customWidth="1"/>
    <col min="3" max="3" width="12.5" style="129" customWidth="1"/>
    <col min="4" max="5" width="12.5" style="130" customWidth="1"/>
    <col min="6" max="6" width="33" style="129" customWidth="1"/>
    <col min="7" max="7" width="4.5" style="127" bestFit="1" customWidth="1"/>
    <col min="8" max="10" width="12.5" style="129" customWidth="1"/>
    <col min="11" max="11" width="19.375" style="116" customWidth="1"/>
    <col min="12" max="26" width="8.625" style="116"/>
    <col min="27" max="255" width="8.625" style="129"/>
    <col min="256" max="256" width="38.75" style="129" customWidth="1"/>
    <col min="257" max="257" width="4" style="129" customWidth="1"/>
    <col min="258" max="258" width="10" style="129" customWidth="1"/>
    <col min="259" max="259" width="12.375" style="129" customWidth="1"/>
    <col min="260" max="260" width="12.5" style="129" customWidth="1"/>
    <col min="261" max="261" width="27.5" style="129" customWidth="1"/>
    <col min="262" max="262" width="3.5" style="129" customWidth="1"/>
    <col min="263" max="263" width="10.125" style="129" customWidth="1"/>
    <col min="264" max="264" width="10.875" style="129" customWidth="1"/>
    <col min="265" max="265" width="11" style="129" customWidth="1"/>
    <col min="266" max="511" width="8.625" style="129"/>
    <col min="512" max="512" width="38.75" style="129" customWidth="1"/>
    <col min="513" max="513" width="4" style="129" customWidth="1"/>
    <col min="514" max="514" width="10" style="129" customWidth="1"/>
    <col min="515" max="515" width="12.375" style="129" customWidth="1"/>
    <col min="516" max="516" width="12.5" style="129" customWidth="1"/>
    <col min="517" max="517" width="27.5" style="129" customWidth="1"/>
    <col min="518" max="518" width="3.5" style="129" customWidth="1"/>
    <col min="519" max="519" width="10.125" style="129" customWidth="1"/>
    <col min="520" max="520" width="10.875" style="129" customWidth="1"/>
    <col min="521" max="521" width="11" style="129" customWidth="1"/>
    <col min="522" max="767" width="8.625" style="129"/>
    <col min="768" max="768" width="38.75" style="129" customWidth="1"/>
    <col min="769" max="769" width="4" style="129" customWidth="1"/>
    <col min="770" max="770" width="10" style="129" customWidth="1"/>
    <col min="771" max="771" width="12.375" style="129" customWidth="1"/>
    <col min="772" max="772" width="12.5" style="129" customWidth="1"/>
    <col min="773" max="773" width="27.5" style="129" customWidth="1"/>
    <col min="774" max="774" width="3.5" style="129" customWidth="1"/>
    <col min="775" max="775" width="10.125" style="129" customWidth="1"/>
    <col min="776" max="776" width="10.875" style="129" customWidth="1"/>
    <col min="777" max="777" width="11" style="129" customWidth="1"/>
    <col min="778" max="1023" width="8.625" style="129"/>
    <col min="1024" max="1024" width="38.75" style="129" customWidth="1"/>
    <col min="1025" max="1025" width="4" style="129" customWidth="1"/>
    <col min="1026" max="1026" width="10" style="129" customWidth="1"/>
    <col min="1027" max="1027" width="12.375" style="129" customWidth="1"/>
    <col min="1028" max="1028" width="12.5" style="129" customWidth="1"/>
    <col min="1029" max="1029" width="27.5" style="129" customWidth="1"/>
    <col min="1030" max="1030" width="3.5" style="129" customWidth="1"/>
    <col min="1031" max="1031" width="10.125" style="129" customWidth="1"/>
    <col min="1032" max="1032" width="10.875" style="129" customWidth="1"/>
    <col min="1033" max="1033" width="11" style="129" customWidth="1"/>
    <col min="1034" max="1279" width="8.625" style="129"/>
    <col min="1280" max="1280" width="38.75" style="129" customWidth="1"/>
    <col min="1281" max="1281" width="4" style="129" customWidth="1"/>
    <col min="1282" max="1282" width="10" style="129" customWidth="1"/>
    <col min="1283" max="1283" width="12.375" style="129" customWidth="1"/>
    <col min="1284" max="1284" width="12.5" style="129" customWidth="1"/>
    <col min="1285" max="1285" width="27.5" style="129" customWidth="1"/>
    <col min="1286" max="1286" width="3.5" style="129" customWidth="1"/>
    <col min="1287" max="1287" width="10.125" style="129" customWidth="1"/>
    <col min="1288" max="1288" width="10.875" style="129" customWidth="1"/>
    <col min="1289" max="1289" width="11" style="129" customWidth="1"/>
    <col min="1290" max="1535" width="8.625" style="129"/>
    <col min="1536" max="1536" width="38.75" style="129" customWidth="1"/>
    <col min="1537" max="1537" width="4" style="129" customWidth="1"/>
    <col min="1538" max="1538" width="10" style="129" customWidth="1"/>
    <col min="1539" max="1539" width="12.375" style="129" customWidth="1"/>
    <col min="1540" max="1540" width="12.5" style="129" customWidth="1"/>
    <col min="1541" max="1541" width="27.5" style="129" customWidth="1"/>
    <col min="1542" max="1542" width="3.5" style="129" customWidth="1"/>
    <col min="1543" max="1543" width="10.125" style="129" customWidth="1"/>
    <col min="1544" max="1544" width="10.875" style="129" customWidth="1"/>
    <col min="1545" max="1545" width="11" style="129" customWidth="1"/>
    <col min="1546" max="1791" width="8.625" style="129"/>
    <col min="1792" max="1792" width="38.75" style="129" customWidth="1"/>
    <col min="1793" max="1793" width="4" style="129" customWidth="1"/>
    <col min="1794" max="1794" width="10" style="129" customWidth="1"/>
    <col min="1795" max="1795" width="12.375" style="129" customWidth="1"/>
    <col min="1796" max="1796" width="12.5" style="129" customWidth="1"/>
    <col min="1797" max="1797" width="27.5" style="129" customWidth="1"/>
    <col min="1798" max="1798" width="3.5" style="129" customWidth="1"/>
    <col min="1799" max="1799" width="10.125" style="129" customWidth="1"/>
    <col min="1800" max="1800" width="10.875" style="129" customWidth="1"/>
    <col min="1801" max="1801" width="11" style="129" customWidth="1"/>
    <col min="1802" max="2047" width="8.625" style="129"/>
    <col min="2048" max="2048" width="38.75" style="129" customWidth="1"/>
    <col min="2049" max="2049" width="4" style="129" customWidth="1"/>
    <col min="2050" max="2050" width="10" style="129" customWidth="1"/>
    <col min="2051" max="2051" width="12.375" style="129" customWidth="1"/>
    <col min="2052" max="2052" width="12.5" style="129" customWidth="1"/>
    <col min="2053" max="2053" width="27.5" style="129" customWidth="1"/>
    <col min="2054" max="2054" width="3.5" style="129" customWidth="1"/>
    <col min="2055" max="2055" width="10.125" style="129" customWidth="1"/>
    <col min="2056" max="2056" width="10.875" style="129" customWidth="1"/>
    <col min="2057" max="2057" width="11" style="129" customWidth="1"/>
    <col min="2058" max="2303" width="8.625" style="129"/>
    <col min="2304" max="2304" width="38.75" style="129" customWidth="1"/>
    <col min="2305" max="2305" width="4" style="129" customWidth="1"/>
    <col min="2306" max="2306" width="10" style="129" customWidth="1"/>
    <col min="2307" max="2307" width="12.375" style="129" customWidth="1"/>
    <col min="2308" max="2308" width="12.5" style="129" customWidth="1"/>
    <col min="2309" max="2309" width="27.5" style="129" customWidth="1"/>
    <col min="2310" max="2310" width="3.5" style="129" customWidth="1"/>
    <col min="2311" max="2311" width="10.125" style="129" customWidth="1"/>
    <col min="2312" max="2312" width="10.875" style="129" customWidth="1"/>
    <col min="2313" max="2313" width="11" style="129" customWidth="1"/>
    <col min="2314" max="2559" width="8.625" style="129"/>
    <col min="2560" max="2560" width="38.75" style="129" customWidth="1"/>
    <col min="2561" max="2561" width="4" style="129" customWidth="1"/>
    <col min="2562" max="2562" width="10" style="129" customWidth="1"/>
    <col min="2563" max="2563" width="12.375" style="129" customWidth="1"/>
    <col min="2564" max="2564" width="12.5" style="129" customWidth="1"/>
    <col min="2565" max="2565" width="27.5" style="129" customWidth="1"/>
    <col min="2566" max="2566" width="3.5" style="129" customWidth="1"/>
    <col min="2567" max="2567" width="10.125" style="129" customWidth="1"/>
    <col min="2568" max="2568" width="10.875" style="129" customWidth="1"/>
    <col min="2569" max="2569" width="11" style="129" customWidth="1"/>
    <col min="2570" max="2815" width="8.625" style="129"/>
    <col min="2816" max="2816" width="38.75" style="129" customWidth="1"/>
    <col min="2817" max="2817" width="4" style="129" customWidth="1"/>
    <col min="2818" max="2818" width="10" style="129" customWidth="1"/>
    <col min="2819" max="2819" width="12.375" style="129" customWidth="1"/>
    <col min="2820" max="2820" width="12.5" style="129" customWidth="1"/>
    <col min="2821" max="2821" width="27.5" style="129" customWidth="1"/>
    <col min="2822" max="2822" width="3.5" style="129" customWidth="1"/>
    <col min="2823" max="2823" width="10.125" style="129" customWidth="1"/>
    <col min="2824" max="2824" width="10.875" style="129" customWidth="1"/>
    <col min="2825" max="2825" width="11" style="129" customWidth="1"/>
    <col min="2826" max="3071" width="8.625" style="129"/>
    <col min="3072" max="3072" width="38.75" style="129" customWidth="1"/>
    <col min="3073" max="3073" width="4" style="129" customWidth="1"/>
    <col min="3074" max="3074" width="10" style="129" customWidth="1"/>
    <col min="3075" max="3075" width="12.375" style="129" customWidth="1"/>
    <col min="3076" max="3076" width="12.5" style="129" customWidth="1"/>
    <col min="3077" max="3077" width="27.5" style="129" customWidth="1"/>
    <col min="3078" max="3078" width="3.5" style="129" customWidth="1"/>
    <col min="3079" max="3079" width="10.125" style="129" customWidth="1"/>
    <col min="3080" max="3080" width="10.875" style="129" customWidth="1"/>
    <col min="3081" max="3081" width="11" style="129" customWidth="1"/>
    <col min="3082" max="3327" width="8.625" style="129"/>
    <col min="3328" max="3328" width="38.75" style="129" customWidth="1"/>
    <col min="3329" max="3329" width="4" style="129" customWidth="1"/>
    <col min="3330" max="3330" width="10" style="129" customWidth="1"/>
    <col min="3331" max="3331" width="12.375" style="129" customWidth="1"/>
    <col min="3332" max="3332" width="12.5" style="129" customWidth="1"/>
    <col min="3333" max="3333" width="27.5" style="129" customWidth="1"/>
    <col min="3334" max="3334" width="3.5" style="129" customWidth="1"/>
    <col min="3335" max="3335" width="10.125" style="129" customWidth="1"/>
    <col min="3336" max="3336" width="10.875" style="129" customWidth="1"/>
    <col min="3337" max="3337" width="11" style="129" customWidth="1"/>
    <col min="3338" max="3583" width="8.625" style="129"/>
    <col min="3584" max="3584" width="38.75" style="129" customWidth="1"/>
    <col min="3585" max="3585" width="4" style="129" customWidth="1"/>
    <col min="3586" max="3586" width="10" style="129" customWidth="1"/>
    <col min="3587" max="3587" width="12.375" style="129" customWidth="1"/>
    <col min="3588" max="3588" width="12.5" style="129" customWidth="1"/>
    <col min="3589" max="3589" width="27.5" style="129" customWidth="1"/>
    <col min="3590" max="3590" width="3.5" style="129" customWidth="1"/>
    <col min="3591" max="3591" width="10.125" style="129" customWidth="1"/>
    <col min="3592" max="3592" width="10.875" style="129" customWidth="1"/>
    <col min="3593" max="3593" width="11" style="129" customWidth="1"/>
    <col min="3594" max="3839" width="8.625" style="129"/>
    <col min="3840" max="3840" width="38.75" style="129" customWidth="1"/>
    <col min="3841" max="3841" width="4" style="129" customWidth="1"/>
    <col min="3842" max="3842" width="10" style="129" customWidth="1"/>
    <col min="3843" max="3843" width="12.375" style="129" customWidth="1"/>
    <col min="3844" max="3844" width="12.5" style="129" customWidth="1"/>
    <col min="3845" max="3845" width="27.5" style="129" customWidth="1"/>
    <col min="3846" max="3846" width="3.5" style="129" customWidth="1"/>
    <col min="3847" max="3847" width="10.125" style="129" customWidth="1"/>
    <col min="3848" max="3848" width="10.875" style="129" customWidth="1"/>
    <col min="3849" max="3849" width="11" style="129" customWidth="1"/>
    <col min="3850" max="4095" width="8.625" style="129"/>
    <col min="4096" max="4096" width="38.75" style="129" customWidth="1"/>
    <col min="4097" max="4097" width="4" style="129" customWidth="1"/>
    <col min="4098" max="4098" width="10" style="129" customWidth="1"/>
    <col min="4099" max="4099" width="12.375" style="129" customWidth="1"/>
    <col min="4100" max="4100" width="12.5" style="129" customWidth="1"/>
    <col min="4101" max="4101" width="27.5" style="129" customWidth="1"/>
    <col min="4102" max="4102" width="3.5" style="129" customWidth="1"/>
    <col min="4103" max="4103" width="10.125" style="129" customWidth="1"/>
    <col min="4104" max="4104" width="10.875" style="129" customWidth="1"/>
    <col min="4105" max="4105" width="11" style="129" customWidth="1"/>
    <col min="4106" max="4351" width="8.625" style="129"/>
    <col min="4352" max="4352" width="38.75" style="129" customWidth="1"/>
    <col min="4353" max="4353" width="4" style="129" customWidth="1"/>
    <col min="4354" max="4354" width="10" style="129" customWidth="1"/>
    <col min="4355" max="4355" width="12.375" style="129" customWidth="1"/>
    <col min="4356" max="4356" width="12.5" style="129" customWidth="1"/>
    <col min="4357" max="4357" width="27.5" style="129" customWidth="1"/>
    <col min="4358" max="4358" width="3.5" style="129" customWidth="1"/>
    <col min="4359" max="4359" width="10.125" style="129" customWidth="1"/>
    <col min="4360" max="4360" width="10.875" style="129" customWidth="1"/>
    <col min="4361" max="4361" width="11" style="129" customWidth="1"/>
    <col min="4362" max="4607" width="8.625" style="129"/>
    <col min="4608" max="4608" width="38.75" style="129" customWidth="1"/>
    <col min="4609" max="4609" width="4" style="129" customWidth="1"/>
    <col min="4610" max="4610" width="10" style="129" customWidth="1"/>
    <col min="4611" max="4611" width="12.375" style="129" customWidth="1"/>
    <col min="4612" max="4612" width="12.5" style="129" customWidth="1"/>
    <col min="4613" max="4613" width="27.5" style="129" customWidth="1"/>
    <col min="4614" max="4614" width="3.5" style="129" customWidth="1"/>
    <col min="4615" max="4615" width="10.125" style="129" customWidth="1"/>
    <col min="4616" max="4616" width="10.875" style="129" customWidth="1"/>
    <col min="4617" max="4617" width="11" style="129" customWidth="1"/>
    <col min="4618" max="4863" width="8.625" style="129"/>
    <col min="4864" max="4864" width="38.75" style="129" customWidth="1"/>
    <col min="4865" max="4865" width="4" style="129" customWidth="1"/>
    <col min="4866" max="4866" width="10" style="129" customWidth="1"/>
    <col min="4867" max="4867" width="12.375" style="129" customWidth="1"/>
    <col min="4868" max="4868" width="12.5" style="129" customWidth="1"/>
    <col min="4869" max="4869" width="27.5" style="129" customWidth="1"/>
    <col min="4870" max="4870" width="3.5" style="129" customWidth="1"/>
    <col min="4871" max="4871" width="10.125" style="129" customWidth="1"/>
    <col min="4872" max="4872" width="10.875" style="129" customWidth="1"/>
    <col min="4873" max="4873" width="11" style="129" customWidth="1"/>
    <col min="4874" max="5119" width="8.625" style="129"/>
    <col min="5120" max="5120" width="38.75" style="129" customWidth="1"/>
    <col min="5121" max="5121" width="4" style="129" customWidth="1"/>
    <col min="5122" max="5122" width="10" style="129" customWidth="1"/>
    <col min="5123" max="5123" width="12.375" style="129" customWidth="1"/>
    <col min="5124" max="5124" width="12.5" style="129" customWidth="1"/>
    <col min="5125" max="5125" width="27.5" style="129" customWidth="1"/>
    <col min="5126" max="5126" width="3.5" style="129" customWidth="1"/>
    <col min="5127" max="5127" width="10.125" style="129" customWidth="1"/>
    <col min="5128" max="5128" width="10.875" style="129" customWidth="1"/>
    <col min="5129" max="5129" width="11" style="129" customWidth="1"/>
    <col min="5130" max="5375" width="8.625" style="129"/>
    <col min="5376" max="5376" width="38.75" style="129" customWidth="1"/>
    <col min="5377" max="5377" width="4" style="129" customWidth="1"/>
    <col min="5378" max="5378" width="10" style="129" customWidth="1"/>
    <col min="5379" max="5379" width="12.375" style="129" customWidth="1"/>
    <col min="5380" max="5380" width="12.5" style="129" customWidth="1"/>
    <col min="5381" max="5381" width="27.5" style="129" customWidth="1"/>
    <col min="5382" max="5382" width="3.5" style="129" customWidth="1"/>
    <col min="5383" max="5383" width="10.125" style="129" customWidth="1"/>
    <col min="5384" max="5384" width="10.875" style="129" customWidth="1"/>
    <col min="5385" max="5385" width="11" style="129" customWidth="1"/>
    <col min="5386" max="5631" width="8.625" style="129"/>
    <col min="5632" max="5632" width="38.75" style="129" customWidth="1"/>
    <col min="5633" max="5633" width="4" style="129" customWidth="1"/>
    <col min="5634" max="5634" width="10" style="129" customWidth="1"/>
    <col min="5635" max="5635" width="12.375" style="129" customWidth="1"/>
    <col min="5636" max="5636" width="12.5" style="129" customWidth="1"/>
    <col min="5637" max="5637" width="27.5" style="129" customWidth="1"/>
    <col min="5638" max="5638" width="3.5" style="129" customWidth="1"/>
    <col min="5639" max="5639" width="10.125" style="129" customWidth="1"/>
    <col min="5640" max="5640" width="10.875" style="129" customWidth="1"/>
    <col min="5641" max="5641" width="11" style="129" customWidth="1"/>
    <col min="5642" max="5887" width="8.625" style="129"/>
    <col min="5888" max="5888" width="38.75" style="129" customWidth="1"/>
    <col min="5889" max="5889" width="4" style="129" customWidth="1"/>
    <col min="5890" max="5890" width="10" style="129" customWidth="1"/>
    <col min="5891" max="5891" width="12.375" style="129" customWidth="1"/>
    <col min="5892" max="5892" width="12.5" style="129" customWidth="1"/>
    <col min="5893" max="5893" width="27.5" style="129" customWidth="1"/>
    <col min="5894" max="5894" width="3.5" style="129" customWidth="1"/>
    <col min="5895" max="5895" width="10.125" style="129" customWidth="1"/>
    <col min="5896" max="5896" width="10.875" style="129" customWidth="1"/>
    <col min="5897" max="5897" width="11" style="129" customWidth="1"/>
    <col min="5898" max="6143" width="8.625" style="129"/>
    <col min="6144" max="6144" width="38.75" style="129" customWidth="1"/>
    <col min="6145" max="6145" width="4" style="129" customWidth="1"/>
    <col min="6146" max="6146" width="10" style="129" customWidth="1"/>
    <col min="6147" max="6147" width="12.375" style="129" customWidth="1"/>
    <col min="6148" max="6148" width="12.5" style="129" customWidth="1"/>
    <col min="6149" max="6149" width="27.5" style="129" customWidth="1"/>
    <col min="6150" max="6150" width="3.5" style="129" customWidth="1"/>
    <col min="6151" max="6151" width="10.125" style="129" customWidth="1"/>
    <col min="6152" max="6152" width="10.875" style="129" customWidth="1"/>
    <col min="6153" max="6153" width="11" style="129" customWidth="1"/>
    <col min="6154" max="6399" width="8.625" style="129"/>
    <col min="6400" max="6400" width="38.75" style="129" customWidth="1"/>
    <col min="6401" max="6401" width="4" style="129" customWidth="1"/>
    <col min="6402" max="6402" width="10" style="129" customWidth="1"/>
    <col min="6403" max="6403" width="12.375" style="129" customWidth="1"/>
    <col min="6404" max="6404" width="12.5" style="129" customWidth="1"/>
    <col min="6405" max="6405" width="27.5" style="129" customWidth="1"/>
    <col min="6406" max="6406" width="3.5" style="129" customWidth="1"/>
    <col min="6407" max="6407" width="10.125" style="129" customWidth="1"/>
    <col min="6408" max="6408" width="10.875" style="129" customWidth="1"/>
    <col min="6409" max="6409" width="11" style="129" customWidth="1"/>
    <col min="6410" max="6655" width="8.625" style="129"/>
    <col min="6656" max="6656" width="38.75" style="129" customWidth="1"/>
    <col min="6657" max="6657" width="4" style="129" customWidth="1"/>
    <col min="6658" max="6658" width="10" style="129" customWidth="1"/>
    <col min="6659" max="6659" width="12.375" style="129" customWidth="1"/>
    <col min="6660" max="6660" width="12.5" style="129" customWidth="1"/>
    <col min="6661" max="6661" width="27.5" style="129" customWidth="1"/>
    <col min="6662" max="6662" width="3.5" style="129" customWidth="1"/>
    <col min="6663" max="6663" width="10.125" style="129" customWidth="1"/>
    <col min="6664" max="6664" width="10.875" style="129" customWidth="1"/>
    <col min="6665" max="6665" width="11" style="129" customWidth="1"/>
    <col min="6666" max="6911" width="8.625" style="129"/>
    <col min="6912" max="6912" width="38.75" style="129" customWidth="1"/>
    <col min="6913" max="6913" width="4" style="129" customWidth="1"/>
    <col min="6914" max="6914" width="10" style="129" customWidth="1"/>
    <col min="6915" max="6915" width="12.375" style="129" customWidth="1"/>
    <col min="6916" max="6916" width="12.5" style="129" customWidth="1"/>
    <col min="6917" max="6917" width="27.5" style="129" customWidth="1"/>
    <col min="6918" max="6918" width="3.5" style="129" customWidth="1"/>
    <col min="6919" max="6919" width="10.125" style="129" customWidth="1"/>
    <col min="6920" max="6920" width="10.875" style="129" customWidth="1"/>
    <col min="6921" max="6921" width="11" style="129" customWidth="1"/>
    <col min="6922" max="7167" width="8.625" style="129"/>
    <col min="7168" max="7168" width="38.75" style="129" customWidth="1"/>
    <col min="7169" max="7169" width="4" style="129" customWidth="1"/>
    <col min="7170" max="7170" width="10" style="129" customWidth="1"/>
    <col min="7171" max="7171" width="12.375" style="129" customWidth="1"/>
    <col min="7172" max="7172" width="12.5" style="129" customWidth="1"/>
    <col min="7173" max="7173" width="27.5" style="129" customWidth="1"/>
    <col min="7174" max="7174" width="3.5" style="129" customWidth="1"/>
    <col min="7175" max="7175" width="10.125" style="129" customWidth="1"/>
    <col min="7176" max="7176" width="10.875" style="129" customWidth="1"/>
    <col min="7177" max="7177" width="11" style="129" customWidth="1"/>
    <col min="7178" max="7423" width="8.625" style="129"/>
    <col min="7424" max="7424" width="38.75" style="129" customWidth="1"/>
    <col min="7425" max="7425" width="4" style="129" customWidth="1"/>
    <col min="7426" max="7426" width="10" style="129" customWidth="1"/>
    <col min="7427" max="7427" width="12.375" style="129" customWidth="1"/>
    <col min="7428" max="7428" width="12.5" style="129" customWidth="1"/>
    <col min="7429" max="7429" width="27.5" style="129" customWidth="1"/>
    <col min="7430" max="7430" width="3.5" style="129" customWidth="1"/>
    <col min="7431" max="7431" width="10.125" style="129" customWidth="1"/>
    <col min="7432" max="7432" width="10.875" style="129" customWidth="1"/>
    <col min="7433" max="7433" width="11" style="129" customWidth="1"/>
    <col min="7434" max="7679" width="8.625" style="129"/>
    <col min="7680" max="7680" width="38.75" style="129" customWidth="1"/>
    <col min="7681" max="7681" width="4" style="129" customWidth="1"/>
    <col min="7682" max="7682" width="10" style="129" customWidth="1"/>
    <col min="7683" max="7683" width="12.375" style="129" customWidth="1"/>
    <col min="7684" max="7684" width="12.5" style="129" customWidth="1"/>
    <col min="7685" max="7685" width="27.5" style="129" customWidth="1"/>
    <col min="7686" max="7686" width="3.5" style="129" customWidth="1"/>
    <col min="7687" max="7687" width="10.125" style="129" customWidth="1"/>
    <col min="7688" max="7688" width="10.875" style="129" customWidth="1"/>
    <col min="7689" max="7689" width="11" style="129" customWidth="1"/>
    <col min="7690" max="7935" width="8.625" style="129"/>
    <col min="7936" max="7936" width="38.75" style="129" customWidth="1"/>
    <col min="7937" max="7937" width="4" style="129" customWidth="1"/>
    <col min="7938" max="7938" width="10" style="129" customWidth="1"/>
    <col min="7939" max="7939" width="12.375" style="129" customWidth="1"/>
    <col min="7940" max="7940" width="12.5" style="129" customWidth="1"/>
    <col min="7941" max="7941" width="27.5" style="129" customWidth="1"/>
    <col min="7942" max="7942" width="3.5" style="129" customWidth="1"/>
    <col min="7943" max="7943" width="10.125" style="129" customWidth="1"/>
    <col min="7944" max="7944" width="10.875" style="129" customWidth="1"/>
    <col min="7945" max="7945" width="11" style="129" customWidth="1"/>
    <col min="7946" max="8191" width="8.625" style="129"/>
    <col min="8192" max="8192" width="38.75" style="129" customWidth="1"/>
    <col min="8193" max="8193" width="4" style="129" customWidth="1"/>
    <col min="8194" max="8194" width="10" style="129" customWidth="1"/>
    <col min="8195" max="8195" width="12.375" style="129" customWidth="1"/>
    <col min="8196" max="8196" width="12.5" style="129" customWidth="1"/>
    <col min="8197" max="8197" width="27.5" style="129" customWidth="1"/>
    <col min="8198" max="8198" width="3.5" style="129" customWidth="1"/>
    <col min="8199" max="8199" width="10.125" style="129" customWidth="1"/>
    <col min="8200" max="8200" width="10.875" style="129" customWidth="1"/>
    <col min="8201" max="8201" width="11" style="129" customWidth="1"/>
    <col min="8202" max="8447" width="8.625" style="129"/>
    <col min="8448" max="8448" width="38.75" style="129" customWidth="1"/>
    <col min="8449" max="8449" width="4" style="129" customWidth="1"/>
    <col min="8450" max="8450" width="10" style="129" customWidth="1"/>
    <col min="8451" max="8451" width="12.375" style="129" customWidth="1"/>
    <col min="8452" max="8452" width="12.5" style="129" customWidth="1"/>
    <col min="8453" max="8453" width="27.5" style="129" customWidth="1"/>
    <col min="8454" max="8454" width="3.5" style="129" customWidth="1"/>
    <col min="8455" max="8455" width="10.125" style="129" customWidth="1"/>
    <col min="8456" max="8456" width="10.875" style="129" customWidth="1"/>
    <col min="8457" max="8457" width="11" style="129" customWidth="1"/>
    <col min="8458" max="8703" width="8.625" style="129"/>
    <col min="8704" max="8704" width="38.75" style="129" customWidth="1"/>
    <col min="8705" max="8705" width="4" style="129" customWidth="1"/>
    <col min="8706" max="8706" width="10" style="129" customWidth="1"/>
    <col min="8707" max="8707" width="12.375" style="129" customWidth="1"/>
    <col min="8708" max="8708" width="12.5" style="129" customWidth="1"/>
    <col min="8709" max="8709" width="27.5" style="129" customWidth="1"/>
    <col min="8710" max="8710" width="3.5" style="129" customWidth="1"/>
    <col min="8711" max="8711" width="10.125" style="129" customWidth="1"/>
    <col min="8712" max="8712" width="10.875" style="129" customWidth="1"/>
    <col min="8713" max="8713" width="11" style="129" customWidth="1"/>
    <col min="8714" max="8959" width="8.625" style="129"/>
    <col min="8960" max="8960" width="38.75" style="129" customWidth="1"/>
    <col min="8961" max="8961" width="4" style="129" customWidth="1"/>
    <col min="8962" max="8962" width="10" style="129" customWidth="1"/>
    <col min="8963" max="8963" width="12.375" style="129" customWidth="1"/>
    <col min="8964" max="8964" width="12.5" style="129" customWidth="1"/>
    <col min="8965" max="8965" width="27.5" style="129" customWidth="1"/>
    <col min="8966" max="8966" width="3.5" style="129" customWidth="1"/>
    <col min="8967" max="8967" width="10.125" style="129" customWidth="1"/>
    <col min="8968" max="8968" width="10.875" style="129" customWidth="1"/>
    <col min="8969" max="8969" width="11" style="129" customWidth="1"/>
    <col min="8970" max="9215" width="8.625" style="129"/>
    <col min="9216" max="9216" width="38.75" style="129" customWidth="1"/>
    <col min="9217" max="9217" width="4" style="129" customWidth="1"/>
    <col min="9218" max="9218" width="10" style="129" customWidth="1"/>
    <col min="9219" max="9219" width="12.375" style="129" customWidth="1"/>
    <col min="9220" max="9220" width="12.5" style="129" customWidth="1"/>
    <col min="9221" max="9221" width="27.5" style="129" customWidth="1"/>
    <col min="9222" max="9222" width="3.5" style="129" customWidth="1"/>
    <col min="9223" max="9223" width="10.125" style="129" customWidth="1"/>
    <col min="9224" max="9224" width="10.875" style="129" customWidth="1"/>
    <col min="9225" max="9225" width="11" style="129" customWidth="1"/>
    <col min="9226" max="9471" width="8.625" style="129"/>
    <col min="9472" max="9472" width="38.75" style="129" customWidth="1"/>
    <col min="9473" max="9473" width="4" style="129" customWidth="1"/>
    <col min="9474" max="9474" width="10" style="129" customWidth="1"/>
    <col min="9475" max="9475" width="12.375" style="129" customWidth="1"/>
    <col min="9476" max="9476" width="12.5" style="129" customWidth="1"/>
    <col min="9477" max="9477" width="27.5" style="129" customWidth="1"/>
    <col min="9478" max="9478" width="3.5" style="129" customWidth="1"/>
    <col min="9479" max="9479" width="10.125" style="129" customWidth="1"/>
    <col min="9480" max="9480" width="10.875" style="129" customWidth="1"/>
    <col min="9481" max="9481" width="11" style="129" customWidth="1"/>
    <col min="9482" max="9727" width="8.625" style="129"/>
    <col min="9728" max="9728" width="38.75" style="129" customWidth="1"/>
    <col min="9729" max="9729" width="4" style="129" customWidth="1"/>
    <col min="9730" max="9730" width="10" style="129" customWidth="1"/>
    <col min="9731" max="9731" width="12.375" style="129" customWidth="1"/>
    <col min="9732" max="9732" width="12.5" style="129" customWidth="1"/>
    <col min="9733" max="9733" width="27.5" style="129" customWidth="1"/>
    <col min="9734" max="9734" width="3.5" style="129" customWidth="1"/>
    <col min="9735" max="9735" width="10.125" style="129" customWidth="1"/>
    <col min="9736" max="9736" width="10.875" style="129" customWidth="1"/>
    <col min="9737" max="9737" width="11" style="129" customWidth="1"/>
    <col min="9738" max="9983" width="8.625" style="129"/>
    <col min="9984" max="9984" width="38.75" style="129" customWidth="1"/>
    <col min="9985" max="9985" width="4" style="129" customWidth="1"/>
    <col min="9986" max="9986" width="10" style="129" customWidth="1"/>
    <col min="9987" max="9987" width="12.375" style="129" customWidth="1"/>
    <col min="9988" max="9988" width="12.5" style="129" customWidth="1"/>
    <col min="9989" max="9989" width="27.5" style="129" customWidth="1"/>
    <col min="9990" max="9990" width="3.5" style="129" customWidth="1"/>
    <col min="9991" max="9991" width="10.125" style="129" customWidth="1"/>
    <col min="9992" max="9992" width="10.875" style="129" customWidth="1"/>
    <col min="9993" max="9993" width="11" style="129" customWidth="1"/>
    <col min="9994" max="10239" width="8.625" style="129"/>
    <col min="10240" max="10240" width="38.75" style="129" customWidth="1"/>
    <col min="10241" max="10241" width="4" style="129" customWidth="1"/>
    <col min="10242" max="10242" width="10" style="129" customWidth="1"/>
    <col min="10243" max="10243" width="12.375" style="129" customWidth="1"/>
    <col min="10244" max="10244" width="12.5" style="129" customWidth="1"/>
    <col min="10245" max="10245" width="27.5" style="129" customWidth="1"/>
    <col min="10246" max="10246" width="3.5" style="129" customWidth="1"/>
    <col min="10247" max="10247" width="10.125" style="129" customWidth="1"/>
    <col min="10248" max="10248" width="10.875" style="129" customWidth="1"/>
    <col min="10249" max="10249" width="11" style="129" customWidth="1"/>
    <col min="10250" max="10495" width="8.625" style="129"/>
    <col min="10496" max="10496" width="38.75" style="129" customWidth="1"/>
    <col min="10497" max="10497" width="4" style="129" customWidth="1"/>
    <col min="10498" max="10498" width="10" style="129" customWidth="1"/>
    <col min="10499" max="10499" width="12.375" style="129" customWidth="1"/>
    <col min="10500" max="10500" width="12.5" style="129" customWidth="1"/>
    <col min="10501" max="10501" width="27.5" style="129" customWidth="1"/>
    <col min="10502" max="10502" width="3.5" style="129" customWidth="1"/>
    <col min="10503" max="10503" width="10.125" style="129" customWidth="1"/>
    <col min="10504" max="10504" width="10.875" style="129" customWidth="1"/>
    <col min="10505" max="10505" width="11" style="129" customWidth="1"/>
    <col min="10506" max="10751" width="8.625" style="129"/>
    <col min="10752" max="10752" width="38.75" style="129" customWidth="1"/>
    <col min="10753" max="10753" width="4" style="129" customWidth="1"/>
    <col min="10754" max="10754" width="10" style="129" customWidth="1"/>
    <col min="10755" max="10755" width="12.375" style="129" customWidth="1"/>
    <col min="10756" max="10756" width="12.5" style="129" customWidth="1"/>
    <col min="10757" max="10757" width="27.5" style="129" customWidth="1"/>
    <col min="10758" max="10758" width="3.5" style="129" customWidth="1"/>
    <col min="10759" max="10759" width="10.125" style="129" customWidth="1"/>
    <col min="10760" max="10760" width="10.875" style="129" customWidth="1"/>
    <col min="10761" max="10761" width="11" style="129" customWidth="1"/>
    <col min="10762" max="11007" width="8.625" style="129"/>
    <col min="11008" max="11008" width="38.75" style="129" customWidth="1"/>
    <col min="11009" max="11009" width="4" style="129" customWidth="1"/>
    <col min="11010" max="11010" width="10" style="129" customWidth="1"/>
    <col min="11011" max="11011" width="12.375" style="129" customWidth="1"/>
    <col min="11012" max="11012" width="12.5" style="129" customWidth="1"/>
    <col min="11013" max="11013" width="27.5" style="129" customWidth="1"/>
    <col min="11014" max="11014" width="3.5" style="129" customWidth="1"/>
    <col min="11015" max="11015" width="10.125" style="129" customWidth="1"/>
    <col min="11016" max="11016" width="10.875" style="129" customWidth="1"/>
    <col min="11017" max="11017" width="11" style="129" customWidth="1"/>
    <col min="11018" max="11263" width="8.625" style="129"/>
    <col min="11264" max="11264" width="38.75" style="129" customWidth="1"/>
    <col min="11265" max="11265" width="4" style="129" customWidth="1"/>
    <col min="11266" max="11266" width="10" style="129" customWidth="1"/>
    <col min="11267" max="11267" width="12.375" style="129" customWidth="1"/>
    <col min="11268" max="11268" width="12.5" style="129" customWidth="1"/>
    <col min="11269" max="11269" width="27.5" style="129" customWidth="1"/>
    <col min="11270" max="11270" width="3.5" style="129" customWidth="1"/>
    <col min="11271" max="11271" width="10.125" style="129" customWidth="1"/>
    <col min="11272" max="11272" width="10.875" style="129" customWidth="1"/>
    <col min="11273" max="11273" width="11" style="129" customWidth="1"/>
    <col min="11274" max="11519" width="8.625" style="129"/>
    <col min="11520" max="11520" width="38.75" style="129" customWidth="1"/>
    <col min="11521" max="11521" width="4" style="129" customWidth="1"/>
    <col min="11522" max="11522" width="10" style="129" customWidth="1"/>
    <col min="11523" max="11523" width="12.375" style="129" customWidth="1"/>
    <col min="11524" max="11524" width="12.5" style="129" customWidth="1"/>
    <col min="11525" max="11525" width="27.5" style="129" customWidth="1"/>
    <col min="11526" max="11526" width="3.5" style="129" customWidth="1"/>
    <col min="11527" max="11527" width="10.125" style="129" customWidth="1"/>
    <col min="11528" max="11528" width="10.875" style="129" customWidth="1"/>
    <col min="11529" max="11529" width="11" style="129" customWidth="1"/>
    <col min="11530" max="11775" width="8.625" style="129"/>
    <col min="11776" max="11776" width="38.75" style="129" customWidth="1"/>
    <col min="11777" max="11777" width="4" style="129" customWidth="1"/>
    <col min="11778" max="11778" width="10" style="129" customWidth="1"/>
    <col min="11779" max="11779" width="12.375" style="129" customWidth="1"/>
    <col min="11780" max="11780" width="12.5" style="129" customWidth="1"/>
    <col min="11781" max="11781" width="27.5" style="129" customWidth="1"/>
    <col min="11782" max="11782" width="3.5" style="129" customWidth="1"/>
    <col min="11783" max="11783" width="10.125" style="129" customWidth="1"/>
    <col min="11784" max="11784" width="10.875" style="129" customWidth="1"/>
    <col min="11785" max="11785" width="11" style="129" customWidth="1"/>
    <col min="11786" max="12031" width="8.625" style="129"/>
    <col min="12032" max="12032" width="38.75" style="129" customWidth="1"/>
    <col min="12033" max="12033" width="4" style="129" customWidth="1"/>
    <col min="12034" max="12034" width="10" style="129" customWidth="1"/>
    <col min="12035" max="12035" width="12.375" style="129" customWidth="1"/>
    <col min="12036" max="12036" width="12.5" style="129" customWidth="1"/>
    <col min="12037" max="12037" width="27.5" style="129" customWidth="1"/>
    <col min="12038" max="12038" width="3.5" style="129" customWidth="1"/>
    <col min="12039" max="12039" width="10.125" style="129" customWidth="1"/>
    <col min="12040" max="12040" width="10.875" style="129" customWidth="1"/>
    <col min="12041" max="12041" width="11" style="129" customWidth="1"/>
    <col min="12042" max="12287" width="8.625" style="129"/>
    <col min="12288" max="12288" width="38.75" style="129" customWidth="1"/>
    <col min="12289" max="12289" width="4" style="129" customWidth="1"/>
    <col min="12290" max="12290" width="10" style="129" customWidth="1"/>
    <col min="12291" max="12291" width="12.375" style="129" customWidth="1"/>
    <col min="12292" max="12292" width="12.5" style="129" customWidth="1"/>
    <col min="12293" max="12293" width="27.5" style="129" customWidth="1"/>
    <col min="12294" max="12294" width="3.5" style="129" customWidth="1"/>
    <col min="12295" max="12295" width="10.125" style="129" customWidth="1"/>
    <col min="12296" max="12296" width="10.875" style="129" customWidth="1"/>
    <col min="12297" max="12297" width="11" style="129" customWidth="1"/>
    <col min="12298" max="12543" width="8.625" style="129"/>
    <col min="12544" max="12544" width="38.75" style="129" customWidth="1"/>
    <col min="12545" max="12545" width="4" style="129" customWidth="1"/>
    <col min="12546" max="12546" width="10" style="129" customWidth="1"/>
    <col min="12547" max="12547" width="12.375" style="129" customWidth="1"/>
    <col min="12548" max="12548" width="12.5" style="129" customWidth="1"/>
    <col min="12549" max="12549" width="27.5" style="129" customWidth="1"/>
    <col min="12550" max="12550" width="3.5" style="129" customWidth="1"/>
    <col min="12551" max="12551" width="10.125" style="129" customWidth="1"/>
    <col min="12552" max="12552" width="10.875" style="129" customWidth="1"/>
    <col min="12553" max="12553" width="11" style="129" customWidth="1"/>
    <col min="12554" max="12799" width="8.625" style="129"/>
    <col min="12800" max="12800" width="38.75" style="129" customWidth="1"/>
    <col min="12801" max="12801" width="4" style="129" customWidth="1"/>
    <col min="12802" max="12802" width="10" style="129" customWidth="1"/>
    <col min="12803" max="12803" width="12.375" style="129" customWidth="1"/>
    <col min="12804" max="12804" width="12.5" style="129" customWidth="1"/>
    <col min="12805" max="12805" width="27.5" style="129" customWidth="1"/>
    <col min="12806" max="12806" width="3.5" style="129" customWidth="1"/>
    <col min="12807" max="12807" width="10.125" style="129" customWidth="1"/>
    <col min="12808" max="12808" width="10.875" style="129" customWidth="1"/>
    <col min="12809" max="12809" width="11" style="129" customWidth="1"/>
    <col min="12810" max="13055" width="8.625" style="129"/>
    <col min="13056" max="13056" width="38.75" style="129" customWidth="1"/>
    <col min="13057" max="13057" width="4" style="129" customWidth="1"/>
    <col min="13058" max="13058" width="10" style="129" customWidth="1"/>
    <col min="13059" max="13059" width="12.375" style="129" customWidth="1"/>
    <col min="13060" max="13060" width="12.5" style="129" customWidth="1"/>
    <col min="13061" max="13061" width="27.5" style="129" customWidth="1"/>
    <col min="13062" max="13062" width="3.5" style="129" customWidth="1"/>
    <col min="13063" max="13063" width="10.125" style="129" customWidth="1"/>
    <col min="13064" max="13064" width="10.875" style="129" customWidth="1"/>
    <col min="13065" max="13065" width="11" style="129" customWidth="1"/>
    <col min="13066" max="13311" width="8.625" style="129"/>
    <col min="13312" max="13312" width="38.75" style="129" customWidth="1"/>
    <col min="13313" max="13313" width="4" style="129" customWidth="1"/>
    <col min="13314" max="13314" width="10" style="129" customWidth="1"/>
    <col min="13315" max="13315" width="12.375" style="129" customWidth="1"/>
    <col min="13316" max="13316" width="12.5" style="129" customWidth="1"/>
    <col min="13317" max="13317" width="27.5" style="129" customWidth="1"/>
    <col min="13318" max="13318" width="3.5" style="129" customWidth="1"/>
    <col min="13319" max="13319" width="10.125" style="129" customWidth="1"/>
    <col min="13320" max="13320" width="10.875" style="129" customWidth="1"/>
    <col min="13321" max="13321" width="11" style="129" customWidth="1"/>
    <col min="13322" max="13567" width="8.625" style="129"/>
    <col min="13568" max="13568" width="38.75" style="129" customWidth="1"/>
    <col min="13569" max="13569" width="4" style="129" customWidth="1"/>
    <col min="13570" max="13570" width="10" style="129" customWidth="1"/>
    <col min="13571" max="13571" width="12.375" style="129" customWidth="1"/>
    <col min="13572" max="13572" width="12.5" style="129" customWidth="1"/>
    <col min="13573" max="13573" width="27.5" style="129" customWidth="1"/>
    <col min="13574" max="13574" width="3.5" style="129" customWidth="1"/>
    <col min="13575" max="13575" width="10.125" style="129" customWidth="1"/>
    <col min="13576" max="13576" width="10.875" style="129" customWidth="1"/>
    <col min="13577" max="13577" width="11" style="129" customWidth="1"/>
    <col min="13578" max="13823" width="8.625" style="129"/>
    <col min="13824" max="13824" width="38.75" style="129" customWidth="1"/>
    <col min="13825" max="13825" width="4" style="129" customWidth="1"/>
    <col min="13826" max="13826" width="10" style="129" customWidth="1"/>
    <col min="13827" max="13827" width="12.375" style="129" customWidth="1"/>
    <col min="13828" max="13828" width="12.5" style="129" customWidth="1"/>
    <col min="13829" max="13829" width="27.5" style="129" customWidth="1"/>
    <col min="13830" max="13830" width="3.5" style="129" customWidth="1"/>
    <col min="13831" max="13831" width="10.125" style="129" customWidth="1"/>
    <col min="13832" max="13832" width="10.875" style="129" customWidth="1"/>
    <col min="13833" max="13833" width="11" style="129" customWidth="1"/>
    <col min="13834" max="14079" width="8.625" style="129"/>
    <col min="14080" max="14080" width="38.75" style="129" customWidth="1"/>
    <col min="14081" max="14081" width="4" style="129" customWidth="1"/>
    <col min="14082" max="14082" width="10" style="129" customWidth="1"/>
    <col min="14083" max="14083" width="12.375" style="129" customWidth="1"/>
    <col min="14084" max="14084" width="12.5" style="129" customWidth="1"/>
    <col min="14085" max="14085" width="27.5" style="129" customWidth="1"/>
    <col min="14086" max="14086" width="3.5" style="129" customWidth="1"/>
    <col min="14087" max="14087" width="10.125" style="129" customWidth="1"/>
    <col min="14088" max="14088" width="10.875" style="129" customWidth="1"/>
    <col min="14089" max="14089" width="11" style="129" customWidth="1"/>
    <col min="14090" max="14335" width="8.625" style="129"/>
    <col min="14336" max="14336" width="38.75" style="129" customWidth="1"/>
    <col min="14337" max="14337" width="4" style="129" customWidth="1"/>
    <col min="14338" max="14338" width="10" style="129" customWidth="1"/>
    <col min="14339" max="14339" width="12.375" style="129" customWidth="1"/>
    <col min="14340" max="14340" width="12.5" style="129" customWidth="1"/>
    <col min="14341" max="14341" width="27.5" style="129" customWidth="1"/>
    <col min="14342" max="14342" width="3.5" style="129" customWidth="1"/>
    <col min="14343" max="14343" width="10.125" style="129" customWidth="1"/>
    <col min="14344" max="14344" width="10.875" style="129" customWidth="1"/>
    <col min="14345" max="14345" width="11" style="129" customWidth="1"/>
    <col min="14346" max="14591" width="8.625" style="129"/>
    <col min="14592" max="14592" width="38.75" style="129" customWidth="1"/>
    <col min="14593" max="14593" width="4" style="129" customWidth="1"/>
    <col min="14594" max="14594" width="10" style="129" customWidth="1"/>
    <col min="14595" max="14595" width="12.375" style="129" customWidth="1"/>
    <col min="14596" max="14596" width="12.5" style="129" customWidth="1"/>
    <col min="14597" max="14597" width="27.5" style="129" customWidth="1"/>
    <col min="14598" max="14598" width="3.5" style="129" customWidth="1"/>
    <col min="14599" max="14599" width="10.125" style="129" customWidth="1"/>
    <col min="14600" max="14600" width="10.875" style="129" customWidth="1"/>
    <col min="14601" max="14601" width="11" style="129" customWidth="1"/>
    <col min="14602" max="14847" width="8.625" style="129"/>
    <col min="14848" max="14848" width="38.75" style="129" customWidth="1"/>
    <col min="14849" max="14849" width="4" style="129" customWidth="1"/>
    <col min="14850" max="14850" width="10" style="129" customWidth="1"/>
    <col min="14851" max="14851" width="12.375" style="129" customWidth="1"/>
    <col min="14852" max="14852" width="12.5" style="129" customWidth="1"/>
    <col min="14853" max="14853" width="27.5" style="129" customWidth="1"/>
    <col min="14854" max="14854" width="3.5" style="129" customWidth="1"/>
    <col min="14855" max="14855" width="10.125" style="129" customWidth="1"/>
    <col min="14856" max="14856" width="10.875" style="129" customWidth="1"/>
    <col min="14857" max="14857" width="11" style="129" customWidth="1"/>
    <col min="14858" max="15103" width="8.625" style="129"/>
    <col min="15104" max="15104" width="38.75" style="129" customWidth="1"/>
    <col min="15105" max="15105" width="4" style="129" customWidth="1"/>
    <col min="15106" max="15106" width="10" style="129" customWidth="1"/>
    <col min="15107" max="15107" width="12.375" style="129" customWidth="1"/>
    <col min="15108" max="15108" width="12.5" style="129" customWidth="1"/>
    <col min="15109" max="15109" width="27.5" style="129" customWidth="1"/>
    <col min="15110" max="15110" width="3.5" style="129" customWidth="1"/>
    <col min="15111" max="15111" width="10.125" style="129" customWidth="1"/>
    <col min="15112" max="15112" width="10.875" style="129" customWidth="1"/>
    <col min="15113" max="15113" width="11" style="129" customWidth="1"/>
    <col min="15114" max="15359" width="8.625" style="129"/>
    <col min="15360" max="15360" width="38.75" style="129" customWidth="1"/>
    <col min="15361" max="15361" width="4" style="129" customWidth="1"/>
    <col min="15362" max="15362" width="10" style="129" customWidth="1"/>
    <col min="15363" max="15363" width="12.375" style="129" customWidth="1"/>
    <col min="15364" max="15364" width="12.5" style="129" customWidth="1"/>
    <col min="15365" max="15365" width="27.5" style="129" customWidth="1"/>
    <col min="15366" max="15366" width="3.5" style="129" customWidth="1"/>
    <col min="15367" max="15367" width="10.125" style="129" customWidth="1"/>
    <col min="15368" max="15368" width="10.875" style="129" customWidth="1"/>
    <col min="15369" max="15369" width="11" style="129" customWidth="1"/>
    <col min="15370" max="15615" width="8.625" style="129"/>
    <col min="15616" max="15616" width="38.75" style="129" customWidth="1"/>
    <col min="15617" max="15617" width="4" style="129" customWidth="1"/>
    <col min="15618" max="15618" width="10" style="129" customWidth="1"/>
    <col min="15619" max="15619" width="12.375" style="129" customWidth="1"/>
    <col min="15620" max="15620" width="12.5" style="129" customWidth="1"/>
    <col min="15621" max="15621" width="27.5" style="129" customWidth="1"/>
    <col min="15622" max="15622" width="3.5" style="129" customWidth="1"/>
    <col min="15623" max="15623" width="10.125" style="129" customWidth="1"/>
    <col min="15624" max="15624" width="10.875" style="129" customWidth="1"/>
    <col min="15625" max="15625" width="11" style="129" customWidth="1"/>
    <col min="15626" max="15871" width="8.625" style="129"/>
    <col min="15872" max="15872" width="38.75" style="129" customWidth="1"/>
    <col min="15873" max="15873" width="4" style="129" customWidth="1"/>
    <col min="15874" max="15874" width="10" style="129" customWidth="1"/>
    <col min="15875" max="15875" width="12.375" style="129" customWidth="1"/>
    <col min="15876" max="15876" width="12.5" style="129" customWidth="1"/>
    <col min="15877" max="15877" width="27.5" style="129" customWidth="1"/>
    <col min="15878" max="15878" width="3.5" style="129" customWidth="1"/>
    <col min="15879" max="15879" width="10.125" style="129" customWidth="1"/>
    <col min="15880" max="15880" width="10.875" style="129" customWidth="1"/>
    <col min="15881" max="15881" width="11" style="129" customWidth="1"/>
    <col min="15882" max="16127" width="8.625" style="129"/>
    <col min="16128" max="16128" width="38.75" style="129" customWidth="1"/>
    <col min="16129" max="16129" width="4" style="129" customWidth="1"/>
    <col min="16130" max="16130" width="10" style="129" customWidth="1"/>
    <col min="16131" max="16131" width="12.375" style="129" customWidth="1"/>
    <col min="16132" max="16132" width="12.5" style="129" customWidth="1"/>
    <col min="16133" max="16133" width="27.5" style="129" customWidth="1"/>
    <col min="16134" max="16134" width="3.5" style="129" customWidth="1"/>
    <col min="16135" max="16135" width="10.125" style="129" customWidth="1"/>
    <col min="16136" max="16136" width="10.875" style="129" customWidth="1"/>
    <col min="16137" max="16137" width="11" style="129" customWidth="1"/>
    <col min="16138" max="16384" width="8.625" style="129"/>
  </cols>
  <sheetData>
    <row r="1" spans="1:26" s="57" customFormat="1" ht="22.15">
      <c r="A1" s="344" t="s">
        <v>101</v>
      </c>
      <c r="B1" s="344"/>
      <c r="C1" s="344"/>
      <c r="D1" s="344"/>
      <c r="E1" s="344"/>
      <c r="F1" s="344"/>
      <c r="G1" s="344"/>
      <c r="H1" s="344"/>
      <c r="I1" s="344"/>
      <c r="J1" s="344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s="60" customFormat="1" ht="13.15">
      <c r="A2" s="58"/>
      <c r="B2" s="59"/>
      <c r="D2" s="61"/>
      <c r="E2" s="61"/>
      <c r="G2" s="62"/>
      <c r="J2" s="63" t="s">
        <v>102</v>
      </c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s="60" customFormat="1" ht="13.9" thickBot="1">
      <c r="A3" s="65" t="str">
        <f>[1]报表封面!B2</f>
        <v>编制单位：长春英纳法富晟汽车天窗系统有限公司</v>
      </c>
      <c r="B3" s="65"/>
      <c r="C3" s="65"/>
      <c r="D3" s="61"/>
      <c r="E3" s="66" t="str">
        <f>[1]报表封面!F8&amp;[1]报表封面!G8&amp;[1]报表封面!H8&amp;[1]报表封面!I8</f>
        <v>2025年12月</v>
      </c>
      <c r="J3" s="63" t="s">
        <v>2</v>
      </c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s="62" customFormat="1" ht="21" customHeight="1">
      <c r="A4" s="67" t="s">
        <v>103</v>
      </c>
      <c r="B4" s="68" t="s">
        <v>8</v>
      </c>
      <c r="C4" s="68" t="s">
        <v>104</v>
      </c>
      <c r="D4" s="68" t="s">
        <v>105</v>
      </c>
      <c r="E4" s="69" t="s">
        <v>106</v>
      </c>
      <c r="F4" s="70" t="s">
        <v>103</v>
      </c>
      <c r="G4" s="68" t="s">
        <v>8</v>
      </c>
      <c r="H4" s="70" t="s">
        <v>107</v>
      </c>
      <c r="I4" s="70" t="s">
        <v>105</v>
      </c>
      <c r="J4" s="71" t="s">
        <v>106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s="60" customFormat="1" ht="21" customHeight="1">
      <c r="A5" s="73" t="s">
        <v>108</v>
      </c>
      <c r="B5" s="74">
        <v>1</v>
      </c>
      <c r="C5" s="75">
        <f>C6+C7</f>
        <v>10733666.380000001</v>
      </c>
      <c r="D5" s="75">
        <f>D6+D7</f>
        <v>71116642.680000007</v>
      </c>
      <c r="E5" s="75">
        <f>E6+E7</f>
        <v>0</v>
      </c>
      <c r="F5" s="76" t="s">
        <v>109</v>
      </c>
      <c r="G5" s="77">
        <v>31</v>
      </c>
      <c r="H5" s="78">
        <f>C31+C34</f>
        <v>-236892.85000000219</v>
      </c>
      <c r="I5" s="78">
        <f t="shared" ref="I5:J5" si="0">D31+D34</f>
        <v>-17536883.169999957</v>
      </c>
      <c r="J5" s="79">
        <f t="shared" si="0"/>
        <v>0</v>
      </c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s="60" customFormat="1" ht="21" customHeight="1">
      <c r="A6" s="80" t="s">
        <v>110</v>
      </c>
      <c r="B6" s="74">
        <v>2</v>
      </c>
      <c r="C6" s="26">
        <f>SUMIF(科目余额表!$J:$J,利润表!A6,科目余额表!W:W)</f>
        <v>7863069.9700000007</v>
      </c>
      <c r="D6" s="81">
        <f>SUMIF(科目余额表!$J:$J,利润表!A6,科目余额表!X:X)</f>
        <v>66261621.57</v>
      </c>
      <c r="E6" s="82"/>
      <c r="F6" s="83" t="s">
        <v>111</v>
      </c>
      <c r="G6" s="77">
        <v>32</v>
      </c>
      <c r="H6" s="81">
        <f>C32</f>
        <v>0</v>
      </c>
      <c r="I6" s="81">
        <f t="shared" ref="I6:J6" si="1">D32</f>
        <v>0</v>
      </c>
      <c r="J6" s="84">
        <f t="shared" si="1"/>
        <v>0</v>
      </c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s="60" customFormat="1" ht="21" customHeight="1">
      <c r="A7" s="80" t="s">
        <v>112</v>
      </c>
      <c r="B7" s="74">
        <v>3</v>
      </c>
      <c r="C7" s="81">
        <f>SUMIF(科目余额表!$J:$J,利润表!A7,科目余额表!W:W)</f>
        <v>2870596.41</v>
      </c>
      <c r="D7" s="82">
        <f>SUMIF(科目余额表!$J:$J,利润表!A7,科目余额表!X:X)</f>
        <v>4855021.1100000003</v>
      </c>
      <c r="E7" s="82"/>
      <c r="F7" s="83" t="s">
        <v>113</v>
      </c>
      <c r="G7" s="77">
        <v>33</v>
      </c>
      <c r="H7" s="79">
        <f>H5-H6</f>
        <v>-236892.85000000219</v>
      </c>
      <c r="I7" s="79">
        <f t="shared" ref="I7:J7" si="2">I5-I6</f>
        <v>-17536883.169999957</v>
      </c>
      <c r="J7" s="79">
        <f t="shared" si="2"/>
        <v>0</v>
      </c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s="60" customFormat="1" ht="21" customHeight="1">
      <c r="A8" s="73" t="s">
        <v>114</v>
      </c>
      <c r="B8" s="74">
        <v>4</v>
      </c>
      <c r="C8" s="75">
        <f>C9+C10</f>
        <v>9207479.3600000031</v>
      </c>
      <c r="D8" s="75">
        <f t="shared" ref="D8:E8" si="3">D9+D10</f>
        <v>75771376.049999967</v>
      </c>
      <c r="E8" s="75">
        <f t="shared" si="3"/>
        <v>0</v>
      </c>
      <c r="F8" s="85" t="s">
        <v>115</v>
      </c>
      <c r="G8" s="77">
        <v>34</v>
      </c>
      <c r="H8" s="86"/>
      <c r="I8" s="87"/>
      <c r="J8" s="86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s="60" customFormat="1" ht="21" customHeight="1">
      <c r="A9" s="80" t="s">
        <v>116</v>
      </c>
      <c r="B9" s="74">
        <v>5</v>
      </c>
      <c r="C9" s="26">
        <f>-SUMIF(科目余额表!$J:$J,利润表!A9,科目余额表!W:W)</f>
        <v>6342841.6200000029</v>
      </c>
      <c r="D9" s="26">
        <f>-SUMIF(科目余额表!$J:$J,利润表!A9,科目余额表!X:X)</f>
        <v>70934238.309999973</v>
      </c>
      <c r="E9" s="82"/>
      <c r="F9" s="60" t="s">
        <v>117</v>
      </c>
      <c r="G9" s="77">
        <v>35</v>
      </c>
      <c r="H9" s="88"/>
      <c r="I9" s="89"/>
      <c r="J9" s="86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s="60" customFormat="1" ht="21" customHeight="1">
      <c r="A10" s="90" t="s">
        <v>118</v>
      </c>
      <c r="B10" s="74">
        <v>6</v>
      </c>
      <c r="C10" s="81">
        <f>-SUMIF(科目余额表!$J:$J,利润表!A10,科目余额表!W:W)</f>
        <v>2864637.74</v>
      </c>
      <c r="D10" s="82">
        <f>-SUMIF(科目余额表!$J:$J,利润表!A10,科目余额表!X:X)</f>
        <v>4837137.74</v>
      </c>
      <c r="E10" s="82"/>
      <c r="F10" s="91"/>
      <c r="G10" s="77">
        <v>36</v>
      </c>
      <c r="H10" s="92"/>
      <c r="I10" s="93"/>
      <c r="J10" s="92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s="60" customFormat="1" ht="21" customHeight="1">
      <c r="A11" s="73" t="s">
        <v>119</v>
      </c>
      <c r="B11" s="74">
        <v>7</v>
      </c>
      <c r="C11" s="81">
        <f>-SUMIF(科目余额表!$J:$J,利润表!A11,科目余额表!W:W)</f>
        <v>47600.75</v>
      </c>
      <c r="D11" s="81">
        <f>-SUMIF(科目余额表!$J:$J,利润表!A11,科目余额表!X:X)</f>
        <v>75125.59</v>
      </c>
      <c r="E11" s="81"/>
      <c r="F11" s="94"/>
      <c r="G11" s="77">
        <v>37</v>
      </c>
      <c r="H11" s="86"/>
      <c r="I11" s="87"/>
      <c r="J11" s="86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s="60" customFormat="1" ht="21" customHeight="1">
      <c r="A12" s="73" t="s">
        <v>120</v>
      </c>
      <c r="B12" s="74">
        <v>8</v>
      </c>
      <c r="C12" s="81">
        <f>-SUMIF(科目余额表!$J:$J,利润表!A12,科目余额表!W:W)</f>
        <v>0</v>
      </c>
      <c r="D12" s="81">
        <f>-SUMIF(科目余额表!$J:$J,利润表!A12,科目余额表!X:X)</f>
        <v>0</v>
      </c>
      <c r="E12" s="81"/>
      <c r="F12" s="91" t="s">
        <v>121</v>
      </c>
      <c r="G12" s="77">
        <v>38</v>
      </c>
      <c r="H12" s="95">
        <f>SUM(H13:H21)</f>
        <v>0</v>
      </c>
      <c r="I12" s="95">
        <f>SUM(I13:I21)</f>
        <v>0.83</v>
      </c>
      <c r="J12" s="95">
        <f>SUM(J13:J21)</f>
        <v>0</v>
      </c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s="60" customFormat="1" ht="21" customHeight="1">
      <c r="A13" s="73" t="s">
        <v>122</v>
      </c>
      <c r="B13" s="74">
        <v>9</v>
      </c>
      <c r="C13" s="81">
        <f>-SUMIF(科目余额表!$J:$J,利润表!A13,科目余额表!W:W)</f>
        <v>1000804.7</v>
      </c>
      <c r="D13" s="81">
        <f>-SUMIF(科目余额表!$J:$J,利润表!A13,科目余额表!X:X)</f>
        <v>12320862.880000001</v>
      </c>
      <c r="E13" s="81"/>
      <c r="F13" s="96" t="s">
        <v>123</v>
      </c>
      <c r="G13" s="77">
        <v>39</v>
      </c>
      <c r="H13" s="86"/>
      <c r="I13" s="87"/>
      <c r="J13" s="86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s="60" customFormat="1" ht="21" customHeight="1">
      <c r="A14" s="73" t="s">
        <v>124</v>
      </c>
      <c r="B14" s="74">
        <v>10</v>
      </c>
      <c r="C14" s="81">
        <f>-SUMIF(科目余额表!$J:$J,利润表!A14,科目余额表!W:W)</f>
        <v>272923.57999999996</v>
      </c>
      <c r="D14" s="81">
        <f>-SUMIF(科目余额表!$J:$J,利润表!A14,科目余额表!X:X)</f>
        <v>4970224.7199999988</v>
      </c>
      <c r="E14" s="81"/>
      <c r="F14" s="97" t="s">
        <v>125</v>
      </c>
      <c r="G14" s="77">
        <v>40</v>
      </c>
      <c r="H14" s="87"/>
      <c r="I14" s="87"/>
      <c r="J14" s="86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s="60" customFormat="1" ht="21" customHeight="1">
      <c r="A15" s="73" t="s">
        <v>126</v>
      </c>
      <c r="B15" s="74">
        <v>11</v>
      </c>
      <c r="C15" s="81">
        <f>-SUMIF(科目余额表!$J:$J,利润表!A15,科目余额表!W:W)</f>
        <v>62191.129999999983</v>
      </c>
      <c r="D15" s="81">
        <f>-SUMIF(科目余额表!$J:$J,利润表!A15,科目余额表!X:X)</f>
        <v>906746.54</v>
      </c>
      <c r="E15" s="81"/>
      <c r="F15" s="97" t="s">
        <v>127</v>
      </c>
      <c r="G15" s="77">
        <v>41</v>
      </c>
      <c r="H15" s="87"/>
      <c r="I15" s="87"/>
      <c r="J15" s="86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s="60" customFormat="1" ht="21" customHeight="1">
      <c r="A16" s="73" t="s">
        <v>128</v>
      </c>
      <c r="B16" s="74">
        <v>12</v>
      </c>
      <c r="C16" s="81">
        <f>-科目余额表!W588</f>
        <v>83222.389999999985</v>
      </c>
      <c r="D16" s="81">
        <f>-科目余额表!X588</f>
        <v>947883.05</v>
      </c>
      <c r="E16" s="81"/>
      <c r="F16" s="96" t="s">
        <v>129</v>
      </c>
      <c r="G16" s="77">
        <v>42</v>
      </c>
      <c r="H16" s="87"/>
      <c r="I16" s="87"/>
      <c r="J16" s="86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s="60" customFormat="1" ht="21" customHeight="1">
      <c r="A17" s="73" t="s">
        <v>130</v>
      </c>
      <c r="B17" s="74">
        <v>13</v>
      </c>
      <c r="C17" s="81">
        <f>-科目余额表!W587</f>
        <v>-7360.49</v>
      </c>
      <c r="D17" s="81">
        <f>-科目余额表!X587</f>
        <v>-54828.439999999995</v>
      </c>
      <c r="E17" s="81"/>
      <c r="F17" s="96" t="s">
        <v>131</v>
      </c>
      <c r="G17" s="77">
        <v>43</v>
      </c>
      <c r="H17" s="87"/>
      <c r="I17" s="87">
        <v>0.83</v>
      </c>
      <c r="J17" s="86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s="60" customFormat="1" ht="21" customHeight="1">
      <c r="A18" s="73" t="s">
        <v>132</v>
      </c>
      <c r="B18" s="74">
        <v>14</v>
      </c>
      <c r="C18" s="81">
        <f>-SUMIF(科目余额表!$J:$J,利润表!A18,科目余额表!W:W)</f>
        <v>0</v>
      </c>
      <c r="D18" s="81">
        <f>SUMIF(科目余额表!$J:$J,利润表!A18,科目余额表!X:X)</f>
        <v>3705.34</v>
      </c>
      <c r="E18" s="81"/>
      <c r="F18" s="96"/>
      <c r="G18" s="77">
        <v>44</v>
      </c>
      <c r="H18" s="87"/>
      <c r="I18" s="87"/>
      <c r="J18" s="86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s="60" customFormat="1" ht="21" customHeight="1">
      <c r="A19" s="73" t="s">
        <v>133</v>
      </c>
      <c r="B19" s="74">
        <v>15</v>
      </c>
      <c r="C19" s="81">
        <f>-SUMIF(科目余额表!$J:$J,利润表!A19,科目余额表!W:W)</f>
        <v>0</v>
      </c>
      <c r="D19" s="81">
        <f>-SUMIF(科目余额表!$J:$J,利润表!A19,科目余额表!X:X)</f>
        <v>0</v>
      </c>
      <c r="E19" s="81"/>
      <c r="F19" s="96"/>
      <c r="G19" s="77">
        <v>45</v>
      </c>
      <c r="H19" s="87"/>
      <c r="I19" s="87"/>
      <c r="J19" s="86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s="60" customFormat="1" ht="21" customHeight="1">
      <c r="A20" s="73" t="s">
        <v>134</v>
      </c>
      <c r="B20" s="74">
        <v>16</v>
      </c>
      <c r="C20" s="81"/>
      <c r="D20" s="81"/>
      <c r="E20" s="81"/>
      <c r="F20" s="96"/>
      <c r="G20" s="77">
        <v>46</v>
      </c>
      <c r="H20" s="87"/>
      <c r="I20" s="87"/>
      <c r="J20" s="86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s="60" customFormat="1" ht="21" customHeight="1">
      <c r="A21" s="73" t="s">
        <v>135</v>
      </c>
      <c r="B21" s="74">
        <v>17</v>
      </c>
      <c r="C21" s="81"/>
      <c r="D21" s="81"/>
      <c r="E21" s="81"/>
      <c r="F21" s="94"/>
      <c r="G21" s="77">
        <v>47</v>
      </c>
      <c r="H21" s="87"/>
      <c r="I21" s="87"/>
      <c r="J21" s="86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s="60" customFormat="1" ht="21" customHeight="1">
      <c r="A22" s="73" t="s">
        <v>136</v>
      </c>
      <c r="B22" s="74">
        <v>18</v>
      </c>
      <c r="C22" s="81"/>
      <c r="D22" s="81"/>
      <c r="E22" s="81"/>
      <c r="F22" s="91" t="s">
        <v>137</v>
      </c>
      <c r="G22" s="77">
        <v>48</v>
      </c>
      <c r="H22" s="98">
        <f>SUM(H23:H29)</f>
        <v>0</v>
      </c>
      <c r="I22" s="98">
        <f>SUM(I23:I29)</f>
        <v>0</v>
      </c>
      <c r="J22" s="95">
        <f>SUM(J23:J29)</f>
        <v>0</v>
      </c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s="60" customFormat="1" ht="21" customHeight="1">
      <c r="A23" s="73" t="s">
        <v>138</v>
      </c>
      <c r="B23" s="74">
        <v>19</v>
      </c>
      <c r="C23" s="81"/>
      <c r="D23" s="81"/>
      <c r="E23" s="81"/>
      <c r="F23" s="97" t="s">
        <v>139</v>
      </c>
      <c r="G23" s="77">
        <v>49</v>
      </c>
      <c r="H23" s="87"/>
      <c r="I23" s="87"/>
      <c r="J23" s="86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s="60" customFormat="1" ht="21" customHeight="1">
      <c r="A24" s="73" t="s">
        <v>140</v>
      </c>
      <c r="B24" s="74">
        <v>20</v>
      </c>
      <c r="C24" s="81">
        <f>SUMIF(科目余额表!$J:$J,利润表!A24,科目余额表!W:W)</f>
        <v>-133777.53999999998</v>
      </c>
      <c r="D24" s="81">
        <f>SUMIF(科目余额表!$J:$J,利润表!A24,科目余额表!X:X)</f>
        <v>-133777.53999999998</v>
      </c>
      <c r="E24" s="81"/>
      <c r="F24" s="97" t="s">
        <v>141</v>
      </c>
      <c r="G24" s="77">
        <v>50</v>
      </c>
      <c r="H24" s="81"/>
      <c r="I24" s="87"/>
      <c r="J24" s="86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s="60" customFormat="1" ht="21" customHeight="1">
      <c r="A25" s="73" t="s">
        <v>142</v>
      </c>
      <c r="B25" s="74">
        <v>21</v>
      </c>
      <c r="C25" s="93">
        <f>-SUMIF(科目余额表!$J:$J,利润表!A25,科目余额表!W:W)</f>
        <v>0</v>
      </c>
      <c r="D25" s="93">
        <f>-SUMIF(科目余额表!$J:$J,利润表!A25,科目余额表!X:X)</f>
        <v>0</v>
      </c>
      <c r="E25" s="93"/>
      <c r="F25" s="97" t="s">
        <v>143</v>
      </c>
      <c r="G25" s="77">
        <v>51</v>
      </c>
      <c r="H25" s="87"/>
      <c r="I25" s="87"/>
      <c r="J25" s="86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s="60" customFormat="1" ht="21" customHeight="1">
      <c r="A26" s="73" t="s">
        <v>144</v>
      </c>
      <c r="B26" s="74">
        <v>22</v>
      </c>
      <c r="C26" s="99">
        <f>C5-C8-C11-C12-C13-C14-C15+C18+C19+C22+C23+C24+C25</f>
        <v>8889.3199999978242</v>
      </c>
      <c r="D26" s="99">
        <f>D5-D8-D11-D12-D13-D14-D15+D18+D19+D22+D23+D24+D25</f>
        <v>-23057765.299999956</v>
      </c>
      <c r="E26" s="99">
        <f>E5-E8-E11-E12-E13-E14-E15+E18+E19+E22+E23+E24+E25</f>
        <v>0</v>
      </c>
      <c r="F26" s="97" t="s">
        <v>145</v>
      </c>
      <c r="G26" s="77">
        <v>52</v>
      </c>
      <c r="H26" s="87"/>
      <c r="I26" s="87"/>
      <c r="J26" s="86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s="60" customFormat="1" ht="21" customHeight="1">
      <c r="A27" s="73" t="s">
        <v>146</v>
      </c>
      <c r="B27" s="74">
        <v>23</v>
      </c>
      <c r="C27" s="93">
        <f>-SUMIF(科目余额表!$J:$J,利润表!A27,科目余额表!W:W)</f>
        <v>0</v>
      </c>
      <c r="D27" s="93">
        <f>SUMIF(科目余额表!$J:$J,利润表!A27,科目余额表!X:X)</f>
        <v>0.83</v>
      </c>
      <c r="E27" s="93"/>
      <c r="F27" s="97" t="s">
        <v>147</v>
      </c>
      <c r="G27" s="77">
        <v>53</v>
      </c>
      <c r="H27" s="87"/>
      <c r="I27" s="87"/>
      <c r="J27" s="86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s="60" customFormat="1" ht="21" customHeight="1">
      <c r="A28" s="73" t="s">
        <v>148</v>
      </c>
      <c r="B28" s="74">
        <v>24</v>
      </c>
      <c r="C28" s="93">
        <f>-SUMIF(科目余额表!$J:$J,利润表!A28,科目余额表!W:W)</f>
        <v>0</v>
      </c>
      <c r="D28" s="93">
        <f>-SUMIF(科目余额表!$J:$J,利润表!A28,科目余额表!X:X)</f>
        <v>0</v>
      </c>
      <c r="E28" s="93"/>
      <c r="F28" s="97" t="s">
        <v>149</v>
      </c>
      <c r="G28" s="77">
        <v>54</v>
      </c>
      <c r="H28" s="87"/>
      <c r="I28" s="87"/>
      <c r="J28" s="86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s="60" customFormat="1" ht="21" customHeight="1">
      <c r="A29" s="73" t="s">
        <v>150</v>
      </c>
      <c r="B29" s="74">
        <v>25</v>
      </c>
      <c r="C29" s="75">
        <f>C26+C27-C28</f>
        <v>8889.3199999978242</v>
      </c>
      <c r="D29" s="75">
        <f t="shared" ref="D29:E29" si="4">D26+D27-D28</f>
        <v>-23057764.469999958</v>
      </c>
      <c r="E29" s="75">
        <f t="shared" si="4"/>
        <v>0</v>
      </c>
      <c r="F29" s="97" t="s">
        <v>151</v>
      </c>
      <c r="G29" s="77">
        <v>55</v>
      </c>
      <c r="H29" s="87"/>
      <c r="I29" s="87"/>
      <c r="J29" s="86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s="60" customFormat="1" ht="21" customHeight="1">
      <c r="A30" s="73" t="s">
        <v>152</v>
      </c>
      <c r="B30" s="74">
        <v>26</v>
      </c>
      <c r="C30" s="93">
        <f>-SUMIF(科目余额表!$J:$J,利润表!A30,科目余额表!W:W)</f>
        <v>245782.17</v>
      </c>
      <c r="D30" s="93">
        <f>-SUMIF(科目余额表!$J:$J,利润表!A30,科目余额表!X:X)</f>
        <v>-5520881.2999999998</v>
      </c>
      <c r="E30" s="93"/>
      <c r="F30" s="91"/>
      <c r="G30" s="77">
        <v>56</v>
      </c>
      <c r="H30" s="87"/>
      <c r="I30" s="87"/>
      <c r="J30" s="86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s="60" customFormat="1" ht="21" customHeight="1">
      <c r="A31" s="73" t="s">
        <v>153</v>
      </c>
      <c r="B31" s="74">
        <v>27</v>
      </c>
      <c r="C31" s="75">
        <f>C29-C30</f>
        <v>-236892.85000000219</v>
      </c>
      <c r="D31" s="75">
        <f t="shared" ref="D31:E31" si="5">D29-D30</f>
        <v>-17536883.169999957</v>
      </c>
      <c r="E31" s="75">
        <f t="shared" si="5"/>
        <v>0</v>
      </c>
      <c r="F31" s="91"/>
      <c r="G31" s="77">
        <v>57</v>
      </c>
      <c r="H31" s="87"/>
      <c r="I31" s="87"/>
      <c r="J31" s="86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s="60" customFormat="1" ht="21" customHeight="1">
      <c r="A32" s="73" t="s">
        <v>154</v>
      </c>
      <c r="B32" s="74">
        <v>28</v>
      </c>
      <c r="C32" s="93"/>
      <c r="D32" s="93"/>
      <c r="E32" s="93"/>
      <c r="F32" s="91"/>
      <c r="G32" s="77">
        <v>58</v>
      </c>
      <c r="H32" s="87"/>
      <c r="I32" s="87"/>
      <c r="J32" s="86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s="60" customFormat="1" ht="21" customHeight="1">
      <c r="A33" s="100" t="s">
        <v>155</v>
      </c>
      <c r="B33" s="74">
        <v>29</v>
      </c>
      <c r="C33" s="75">
        <f>C31-C32</f>
        <v>-236892.85000000219</v>
      </c>
      <c r="D33" s="75">
        <f t="shared" ref="D33:E33" si="6">D31-D32</f>
        <v>-17536883.169999957</v>
      </c>
      <c r="E33" s="75">
        <f t="shared" si="6"/>
        <v>0</v>
      </c>
      <c r="F33" s="91"/>
      <c r="G33" s="77">
        <v>59</v>
      </c>
      <c r="H33" s="87"/>
      <c r="I33" s="87"/>
      <c r="J33" s="86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s="106" customFormat="1" ht="21" customHeight="1" thickBot="1">
      <c r="A34" s="101" t="s">
        <v>156</v>
      </c>
      <c r="B34" s="102">
        <v>30</v>
      </c>
      <c r="C34" s="103"/>
      <c r="D34" s="103"/>
      <c r="E34" s="103"/>
      <c r="F34" s="101"/>
      <c r="G34" s="102">
        <v>60</v>
      </c>
      <c r="H34" s="103"/>
      <c r="I34" s="103"/>
      <c r="J34" s="104"/>
      <c r="K34" s="6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spans="1:26" s="60" customFormat="1" ht="18" customHeight="1">
      <c r="A35" s="106" t="s">
        <v>97</v>
      </c>
      <c r="B35" s="106"/>
      <c r="C35" s="106"/>
      <c r="D35" s="106"/>
      <c r="E35" s="106"/>
      <c r="F35" s="107"/>
      <c r="G35" s="108"/>
      <c r="H35" s="109"/>
      <c r="I35" s="109"/>
      <c r="J35" s="110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s="60" customFormat="1" ht="18" customHeight="1">
      <c r="A36" s="111" t="s">
        <v>98</v>
      </c>
      <c r="B36" s="62"/>
      <c r="C36" s="112"/>
      <c r="D36" s="106"/>
      <c r="E36" s="113" t="s">
        <v>99</v>
      </c>
      <c r="G36" s="58"/>
      <c r="I36" s="60" t="s">
        <v>100</v>
      </c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s="120" customFormat="1" ht="12.75" customHeight="1">
      <c r="A37" s="114"/>
      <c r="B37" s="115"/>
      <c r="C37" s="116"/>
      <c r="D37" s="117"/>
      <c r="E37" s="117"/>
      <c r="F37" s="64"/>
      <c r="G37" s="118"/>
      <c r="H37" s="64"/>
      <c r="I37" s="64"/>
      <c r="J37" s="64"/>
      <c r="K37" s="119"/>
    </row>
    <row r="38" spans="1:26" s="116" customFormat="1" ht="19.149999999999999">
      <c r="A38" s="114"/>
      <c r="B38" s="115"/>
      <c r="D38" s="117"/>
      <c r="E38" s="117"/>
      <c r="G38" s="121"/>
      <c r="K38" s="119"/>
    </row>
    <row r="39" spans="1:26" s="116" customFormat="1" ht="19.149999999999999">
      <c r="A39" s="114"/>
      <c r="B39" s="115"/>
      <c r="D39" s="117"/>
      <c r="E39" s="117"/>
      <c r="G39" s="121"/>
      <c r="K39" s="119"/>
    </row>
    <row r="40" spans="1:26" s="116" customFormat="1" ht="19.149999999999999">
      <c r="A40" s="114"/>
      <c r="B40" s="122"/>
      <c r="C40" s="123"/>
      <c r="D40" s="124"/>
      <c r="E40" s="124"/>
      <c r="G40" s="121"/>
      <c r="K40" s="119"/>
    </row>
    <row r="41" spans="1:26" s="123" customFormat="1" ht="19.149999999999999">
      <c r="A41" s="114"/>
      <c r="B41" s="122"/>
      <c r="D41" s="124"/>
      <c r="E41" s="124"/>
      <c r="F41" s="116"/>
      <c r="G41" s="121"/>
      <c r="H41" s="116"/>
      <c r="I41" s="116"/>
      <c r="J41" s="116"/>
      <c r="K41" s="119"/>
    </row>
    <row r="42" spans="1:26" s="123" customFormat="1" ht="19.149999999999999">
      <c r="A42" s="114"/>
      <c r="B42" s="122"/>
      <c r="D42" s="124"/>
      <c r="E42" s="124"/>
      <c r="F42" s="116"/>
      <c r="G42" s="121"/>
      <c r="H42" s="116"/>
      <c r="I42" s="116"/>
      <c r="J42" s="116"/>
      <c r="K42" s="119"/>
    </row>
    <row r="43" spans="1:26" s="123" customFormat="1" ht="19.149999999999999">
      <c r="A43" s="114"/>
      <c r="B43" s="122"/>
      <c r="D43" s="124"/>
      <c r="E43" s="124"/>
      <c r="F43" s="116"/>
      <c r="G43" s="121"/>
      <c r="H43" s="116"/>
      <c r="I43" s="116"/>
      <c r="J43" s="116"/>
      <c r="K43" s="119"/>
    </row>
    <row r="44" spans="1:26" s="123" customFormat="1" ht="19.149999999999999">
      <c r="A44" s="114"/>
      <c r="B44" s="122"/>
      <c r="D44" s="124"/>
      <c r="E44" s="124"/>
      <c r="F44" s="116"/>
      <c r="G44" s="121"/>
      <c r="H44" s="116"/>
      <c r="I44" s="116"/>
      <c r="J44" s="116"/>
      <c r="K44" s="119"/>
    </row>
    <row r="45" spans="1:26" s="123" customFormat="1" ht="19.149999999999999">
      <c r="A45" s="114"/>
      <c r="B45" s="122"/>
      <c r="D45" s="124"/>
      <c r="E45" s="124"/>
      <c r="F45" s="116"/>
      <c r="G45" s="121"/>
      <c r="H45" s="116"/>
      <c r="I45" s="116"/>
      <c r="J45" s="116"/>
    </row>
    <row r="46" spans="1:26" s="123" customFormat="1" ht="19.149999999999999">
      <c r="A46" s="114"/>
      <c r="B46" s="122"/>
      <c r="D46" s="124"/>
      <c r="E46" s="124"/>
      <c r="F46" s="116"/>
      <c r="G46" s="125"/>
      <c r="H46" s="116"/>
      <c r="I46" s="116"/>
      <c r="J46" s="116"/>
    </row>
    <row r="47" spans="1:26" s="123" customFormat="1" ht="19.149999999999999">
      <c r="A47" s="114"/>
      <c r="B47" s="122"/>
      <c r="D47" s="124"/>
      <c r="E47" s="124"/>
      <c r="F47" s="116"/>
      <c r="G47" s="125"/>
      <c r="H47" s="116"/>
      <c r="I47" s="116"/>
      <c r="J47" s="116"/>
    </row>
    <row r="48" spans="1:26" s="123" customFormat="1" ht="19.149999999999999">
      <c r="A48" s="126"/>
      <c r="B48" s="122"/>
      <c r="D48" s="124"/>
      <c r="E48" s="124"/>
      <c r="F48" s="116"/>
      <c r="G48" s="125"/>
      <c r="H48" s="116"/>
      <c r="I48" s="116"/>
      <c r="J48" s="116"/>
    </row>
    <row r="49" spans="1:10" s="123" customFormat="1" ht="19.149999999999999">
      <c r="A49" s="126"/>
      <c r="B49" s="122"/>
      <c r="D49" s="124"/>
      <c r="E49" s="124"/>
      <c r="F49" s="116"/>
      <c r="G49" s="125"/>
      <c r="H49" s="116"/>
      <c r="I49" s="116"/>
      <c r="J49" s="116"/>
    </row>
    <row r="50" spans="1:10" s="123" customFormat="1" ht="19.149999999999999">
      <c r="A50" s="126"/>
      <c r="B50" s="122"/>
      <c r="D50" s="124"/>
      <c r="E50" s="124"/>
      <c r="F50" s="116"/>
      <c r="G50" s="125"/>
      <c r="H50" s="116"/>
      <c r="I50" s="116"/>
      <c r="J50" s="116"/>
    </row>
    <row r="51" spans="1:10" s="123" customFormat="1" ht="19.149999999999999">
      <c r="A51" s="126"/>
      <c r="B51" s="115"/>
      <c r="C51" s="116"/>
      <c r="D51" s="117"/>
      <c r="E51" s="117"/>
      <c r="F51" s="116"/>
      <c r="G51" s="125"/>
      <c r="H51" s="116"/>
      <c r="I51" s="116"/>
      <c r="J51" s="116"/>
    </row>
    <row r="52" spans="1:10" s="116" customFormat="1">
      <c r="A52" s="126"/>
      <c r="B52" s="115"/>
      <c r="D52" s="117"/>
      <c r="E52" s="117"/>
      <c r="G52" s="125"/>
    </row>
    <row r="53" spans="1:10" s="116" customFormat="1">
      <c r="A53" s="126"/>
      <c r="B53" s="115"/>
      <c r="D53" s="117"/>
      <c r="E53" s="117"/>
      <c r="G53" s="125"/>
    </row>
    <row r="54" spans="1:10" s="116" customFormat="1">
      <c r="A54" s="126"/>
      <c r="B54" s="115"/>
      <c r="D54" s="117"/>
      <c r="E54" s="117"/>
      <c r="G54" s="125"/>
    </row>
    <row r="55" spans="1:10" s="116" customFormat="1">
      <c r="A55" s="126"/>
      <c r="B55" s="115"/>
      <c r="D55" s="117"/>
      <c r="E55" s="117"/>
      <c r="G55" s="125"/>
    </row>
    <row r="56" spans="1:10" s="116" customFormat="1">
      <c r="A56" s="126"/>
      <c r="B56" s="115"/>
      <c r="D56" s="117"/>
      <c r="E56" s="117"/>
      <c r="G56" s="125"/>
    </row>
    <row r="57" spans="1:10" s="116" customFormat="1">
      <c r="A57" s="126"/>
      <c r="B57" s="115"/>
      <c r="D57" s="117"/>
      <c r="E57" s="117"/>
      <c r="G57" s="125"/>
    </row>
    <row r="58" spans="1:10" s="116" customFormat="1">
      <c r="A58" s="126"/>
      <c r="B58" s="115"/>
      <c r="D58" s="117"/>
      <c r="E58" s="117"/>
      <c r="G58" s="125"/>
    </row>
    <row r="59" spans="1:10" s="116" customFormat="1">
      <c r="A59" s="126"/>
      <c r="B59" s="115"/>
      <c r="D59" s="117"/>
      <c r="E59" s="117"/>
      <c r="G59" s="125"/>
    </row>
    <row r="60" spans="1:10">
      <c r="A60" s="127"/>
      <c r="B60" s="128"/>
      <c r="G60" s="131"/>
    </row>
    <row r="61" spans="1:10">
      <c r="A61" s="127"/>
      <c r="B61" s="128"/>
      <c r="G61" s="131"/>
    </row>
    <row r="62" spans="1:10">
      <c r="A62" s="127"/>
      <c r="B62" s="128"/>
      <c r="G62" s="131"/>
    </row>
    <row r="63" spans="1:10">
      <c r="A63" s="127"/>
      <c r="B63" s="128"/>
      <c r="G63" s="131"/>
    </row>
    <row r="64" spans="1:10">
      <c r="A64" s="127"/>
      <c r="B64" s="128"/>
      <c r="G64" s="131"/>
    </row>
    <row r="65" spans="1:7">
      <c r="A65" s="127"/>
      <c r="B65" s="128"/>
      <c r="G65" s="131"/>
    </row>
    <row r="66" spans="1:7">
      <c r="A66" s="127"/>
      <c r="B66" s="128"/>
      <c r="G66" s="131"/>
    </row>
    <row r="67" spans="1:7">
      <c r="A67" s="127"/>
      <c r="B67" s="128"/>
      <c r="G67" s="131"/>
    </row>
    <row r="68" spans="1:7">
      <c r="A68" s="127"/>
      <c r="B68" s="128"/>
    </row>
    <row r="69" spans="1:7">
      <c r="A69" s="127"/>
      <c r="B69" s="128"/>
    </row>
    <row r="70" spans="1:7">
      <c r="B70" s="128"/>
    </row>
    <row r="71" spans="1:7">
      <c r="B71" s="128"/>
    </row>
    <row r="72" spans="1:7">
      <c r="B72" s="128"/>
    </row>
  </sheetData>
  <sheetProtection algorithmName="SHA-512" hashValue="9RDPWIIXgh02lny0EAKsYoN1RtPPMXRrmxGJjRSqWOWYxbZyEruVfCjtYs64ITvuuihnChbyjurwr/f450Rw6w==" saltValue="ril3hn03rS5TeC+kuH49pg==" spinCount="100000" sheet="1" objects="1" scenarios="1" formatColumns="0"/>
  <mergeCells count="1">
    <mergeCell ref="A1:J1"/>
  </mergeCells>
  <phoneticPr fontId="6" type="noConversion"/>
  <printOptions horizontalCentered="1"/>
  <pageMargins left="0.74803149606299213" right="0.74803149606299213" top="0.78740157480314965" bottom="0.19685039370078741" header="0.51181102362204722" footer="0.51181102362204722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BB27-B46B-4FD9-848C-73528BF6C39E}">
  <sheetPr>
    <pageSetUpPr fitToPage="1"/>
  </sheetPr>
  <dimension ref="A1:K48"/>
  <sheetViews>
    <sheetView showGridLines="0" showZeros="0" workbookViewId="0">
      <pane ySplit="5" topLeftCell="A28" activePane="bottomLeft" state="frozen"/>
      <selection pane="bottomLeft" activeCell="K33" sqref="K33"/>
      <selection activeCell="C48" sqref="C48"/>
    </sheetView>
  </sheetViews>
  <sheetFormatPr defaultColWidth="8.25" defaultRowHeight="15.6"/>
  <cols>
    <col min="1" max="1" width="44.125" style="133" bestFit="1" customWidth="1"/>
    <col min="2" max="2" width="6.25" style="133" customWidth="1"/>
    <col min="3" max="4" width="14.75" style="166" customWidth="1"/>
    <col min="5" max="16384" width="8.25" style="133"/>
  </cols>
  <sheetData>
    <row r="1" spans="1:4" ht="21.75" customHeight="1">
      <c r="A1" s="345" t="s">
        <v>157</v>
      </c>
      <c r="B1" s="345"/>
      <c r="C1" s="345"/>
      <c r="D1" s="345"/>
    </row>
    <row r="2" spans="1:4" s="134" customFormat="1" ht="13.5" customHeight="1">
      <c r="A2" s="346" t="s">
        <v>158</v>
      </c>
      <c r="B2" s="346"/>
      <c r="C2" s="346"/>
      <c r="D2" s="346"/>
    </row>
    <row r="3" spans="1:4" s="134" customFormat="1" ht="13.5" customHeight="1" thickBot="1">
      <c r="A3" s="135" t="str">
        <f>[1]报表封面!B2</f>
        <v>编制单位：长春英纳法富晟汽车天窗系统有限公司</v>
      </c>
      <c r="B3" s="136" t="str">
        <f>利润表!E3</f>
        <v>2025年12月</v>
      </c>
      <c r="C3" s="137"/>
      <c r="D3" s="138" t="s">
        <v>2</v>
      </c>
    </row>
    <row r="4" spans="1:4" s="139" customFormat="1" ht="13.5" customHeight="1" thickBot="1">
      <c r="A4" s="347" t="s">
        <v>159</v>
      </c>
      <c r="B4" s="349" t="s">
        <v>4</v>
      </c>
      <c r="C4" s="351" t="s">
        <v>160</v>
      </c>
      <c r="D4" s="352"/>
    </row>
    <row r="5" spans="1:4" s="139" customFormat="1" ht="15" customHeight="1">
      <c r="A5" s="348"/>
      <c r="B5" s="350"/>
      <c r="C5" s="140" t="s">
        <v>161</v>
      </c>
      <c r="D5" s="140" t="s">
        <v>162</v>
      </c>
    </row>
    <row r="6" spans="1:4" s="134" customFormat="1" ht="19.5" customHeight="1">
      <c r="A6" s="141" t="s">
        <v>163</v>
      </c>
      <c r="B6" s="142">
        <v>1</v>
      </c>
      <c r="C6" s="143"/>
      <c r="D6" s="144"/>
    </row>
    <row r="7" spans="1:4" s="134" customFormat="1" ht="19.5" customHeight="1">
      <c r="A7" s="145" t="s">
        <v>164</v>
      </c>
      <c r="B7" s="142">
        <v>2</v>
      </c>
      <c r="C7" s="143">
        <f>16211077.34-2946420.91</f>
        <v>13264656.43</v>
      </c>
      <c r="D7" s="143">
        <f>13264656.43+69589058.01</f>
        <v>82853714.439999998</v>
      </c>
    </row>
    <row r="8" spans="1:4" s="134" customFormat="1" ht="19.5" customHeight="1">
      <c r="A8" s="145" t="s">
        <v>165</v>
      </c>
      <c r="B8" s="142">
        <v>3</v>
      </c>
      <c r="C8" s="143"/>
      <c r="D8" s="144"/>
    </row>
    <row r="9" spans="1:4" s="134" customFormat="1" ht="19.5" customHeight="1">
      <c r="A9" s="145" t="s">
        <v>166</v>
      </c>
      <c r="B9" s="142">
        <v>4</v>
      </c>
      <c r="C9" s="143">
        <v>8560.49</v>
      </c>
      <c r="D9" s="144">
        <f>8560.49+67834.76</f>
        <v>76395.25</v>
      </c>
    </row>
    <row r="10" spans="1:4" s="134" customFormat="1" ht="19.5" customHeight="1">
      <c r="A10" s="141" t="s">
        <v>167</v>
      </c>
      <c r="B10" s="142">
        <v>5</v>
      </c>
      <c r="C10" s="146">
        <f>ROUND(SUM(C7:C9),2)</f>
        <v>13273216.92</v>
      </c>
      <c r="D10" s="146">
        <f>ROUND(SUM(D7:D9),2)</f>
        <v>82930109.689999998</v>
      </c>
    </row>
    <row r="11" spans="1:4" s="134" customFormat="1" ht="19.5" customHeight="1">
      <c r="A11" s="145" t="s">
        <v>168</v>
      </c>
      <c r="B11" s="142">
        <v>6</v>
      </c>
      <c r="C11" s="143">
        <f>-1093127.64+4193296.84999999</f>
        <v>3100169.2099999897</v>
      </c>
      <c r="D11" s="144">
        <f>3100169.21+46151771.7</f>
        <v>49251940.910000004</v>
      </c>
    </row>
    <row r="12" spans="1:4" s="134" customFormat="1" ht="19.5" customHeight="1">
      <c r="A12" s="145" t="s">
        <v>169</v>
      </c>
      <c r="B12" s="142">
        <v>7</v>
      </c>
      <c r="C12" s="143">
        <v>1215049.8999999999</v>
      </c>
      <c r="D12" s="144">
        <f>1215049.9+10099480.01</f>
        <v>11314529.91</v>
      </c>
    </row>
    <row r="13" spans="1:4" s="134" customFormat="1" ht="19.5" customHeight="1">
      <c r="A13" s="145" t="s">
        <v>170</v>
      </c>
      <c r="B13" s="142">
        <v>8</v>
      </c>
      <c r="C13" s="143">
        <v>42342.68</v>
      </c>
      <c r="D13" s="144">
        <f>42342.68+695055.81</f>
        <v>737398.49000000011</v>
      </c>
    </row>
    <row r="14" spans="1:4" s="134" customFormat="1" ht="19.5" customHeight="1">
      <c r="A14" s="147" t="s">
        <v>171</v>
      </c>
      <c r="B14" s="142">
        <v>9</v>
      </c>
      <c r="C14" s="148">
        <f>-1853293.27+3039546.87</f>
        <v>1186253.6000000001</v>
      </c>
      <c r="D14" s="149">
        <f>1186253.6+12753028.42</f>
        <v>13939282.02</v>
      </c>
    </row>
    <row r="15" spans="1:4" s="134" customFormat="1" ht="19.5" customHeight="1">
      <c r="A15" s="150" t="s">
        <v>172</v>
      </c>
      <c r="B15" s="142">
        <v>10</v>
      </c>
      <c r="C15" s="151">
        <f>ROUND(SUM(C11:C14),2)</f>
        <v>5543815.3899999997</v>
      </c>
      <c r="D15" s="151">
        <f>ROUND(SUM(D11:D14),2)</f>
        <v>75243151.329999998</v>
      </c>
    </row>
    <row r="16" spans="1:4" s="134" customFormat="1" ht="19.5" customHeight="1">
      <c r="A16" s="150" t="s">
        <v>173</v>
      </c>
      <c r="B16" s="142">
        <v>11</v>
      </c>
      <c r="C16" s="152">
        <f>ROUND(C10-C15,2)</f>
        <v>7729401.5300000003</v>
      </c>
      <c r="D16" s="151">
        <f>ROUND(D10-D15,2)</f>
        <v>7686958.3600000003</v>
      </c>
    </row>
    <row r="17" spans="1:4" s="134" customFormat="1" ht="19.5" customHeight="1">
      <c r="A17" s="150" t="s">
        <v>174</v>
      </c>
      <c r="B17" s="142">
        <v>12</v>
      </c>
      <c r="C17" s="148"/>
      <c r="D17" s="149"/>
    </row>
    <row r="18" spans="1:4" s="134" customFormat="1" ht="19.5" customHeight="1">
      <c r="A18" s="147" t="s">
        <v>175</v>
      </c>
      <c r="B18" s="142">
        <v>13</v>
      </c>
      <c r="C18" s="148"/>
      <c r="D18" s="149"/>
    </row>
    <row r="19" spans="1:4" s="134" customFormat="1" ht="19.5" customHeight="1">
      <c r="A19" s="147" t="s">
        <v>176</v>
      </c>
      <c r="B19" s="142">
        <v>14</v>
      </c>
      <c r="C19" s="148"/>
      <c r="D19" s="149"/>
    </row>
    <row r="20" spans="1:4" s="134" customFormat="1" ht="19.5" customHeight="1">
      <c r="A20" s="147" t="s">
        <v>177</v>
      </c>
      <c r="B20" s="142">
        <v>15</v>
      </c>
      <c r="C20" s="148"/>
      <c r="D20" s="149"/>
    </row>
    <row r="21" spans="1:4" s="134" customFormat="1" ht="19.5" customHeight="1">
      <c r="A21" s="147" t="s">
        <v>178</v>
      </c>
      <c r="B21" s="142">
        <v>16</v>
      </c>
      <c r="C21" s="148"/>
      <c r="D21" s="149"/>
    </row>
    <row r="22" spans="1:4" s="134" customFormat="1" ht="19.5" customHeight="1">
      <c r="A22" s="147" t="s">
        <v>179</v>
      </c>
      <c r="B22" s="142">
        <v>17</v>
      </c>
      <c r="C22" s="148"/>
      <c r="D22" s="149"/>
    </row>
    <row r="23" spans="1:4" s="134" customFormat="1" ht="19.5" customHeight="1">
      <c r="A23" s="150" t="s">
        <v>167</v>
      </c>
      <c r="B23" s="142">
        <v>18</v>
      </c>
      <c r="C23" s="152">
        <f>ROUND(SUM(C18:C22),2)</f>
        <v>0</v>
      </c>
      <c r="D23" s="151">
        <f>ROUND(SUM(D18:D22),2)</f>
        <v>0</v>
      </c>
    </row>
    <row r="24" spans="1:4" s="134" customFormat="1" ht="19.5" customHeight="1">
      <c r="A24" s="147" t="s">
        <v>180</v>
      </c>
      <c r="B24" s="142">
        <v>19</v>
      </c>
      <c r="C24" s="148">
        <v>66715.199999999997</v>
      </c>
      <c r="D24" s="149">
        <f>66715.2+4071352.74</f>
        <v>4138067.9400000004</v>
      </c>
    </row>
    <row r="25" spans="1:4" s="134" customFormat="1" ht="19.5" customHeight="1">
      <c r="A25" s="147" t="s">
        <v>181</v>
      </c>
      <c r="B25" s="142">
        <v>20</v>
      </c>
      <c r="C25" s="148"/>
      <c r="D25" s="149"/>
    </row>
    <row r="26" spans="1:4" s="134" customFormat="1" ht="19.5" customHeight="1">
      <c r="A26" s="147" t="s">
        <v>182</v>
      </c>
      <c r="B26" s="142">
        <v>21</v>
      </c>
      <c r="C26" s="148"/>
      <c r="D26" s="149"/>
    </row>
    <row r="27" spans="1:4" s="134" customFormat="1" ht="19.5" customHeight="1">
      <c r="A27" s="147" t="s">
        <v>183</v>
      </c>
      <c r="B27" s="142">
        <v>22</v>
      </c>
      <c r="C27" s="148"/>
      <c r="D27" s="149"/>
    </row>
    <row r="28" spans="1:4" s="134" customFormat="1" ht="19.5" customHeight="1">
      <c r="A28" s="150" t="s">
        <v>172</v>
      </c>
      <c r="B28" s="142">
        <v>23</v>
      </c>
      <c r="C28" s="152">
        <f>ROUND(SUM(C24:C27),2)</f>
        <v>66715.199999999997</v>
      </c>
      <c r="D28" s="151">
        <f>ROUND(SUM(D24:D27),2)</f>
        <v>4138067.94</v>
      </c>
    </row>
    <row r="29" spans="1:4" s="134" customFormat="1" ht="19.5" customHeight="1">
      <c r="A29" s="150" t="s">
        <v>184</v>
      </c>
      <c r="B29" s="142">
        <v>24</v>
      </c>
      <c r="C29" s="152">
        <f>ROUND(C23-C28,2)</f>
        <v>-66715.199999999997</v>
      </c>
      <c r="D29" s="151">
        <f>ROUND(D23-D28,2)</f>
        <v>-4138067.94</v>
      </c>
    </row>
    <row r="30" spans="1:4" s="134" customFormat="1" ht="19.5" customHeight="1">
      <c r="A30" s="150" t="s">
        <v>185</v>
      </c>
      <c r="B30" s="142">
        <v>25</v>
      </c>
      <c r="C30" s="148"/>
      <c r="D30" s="149"/>
    </row>
    <row r="31" spans="1:4" s="134" customFormat="1" ht="19.5" customHeight="1">
      <c r="A31" s="147" t="s">
        <v>186</v>
      </c>
      <c r="B31" s="142">
        <v>26</v>
      </c>
      <c r="C31" s="148"/>
      <c r="D31" s="149"/>
    </row>
    <row r="32" spans="1:4" s="134" customFormat="1" ht="19.5" customHeight="1">
      <c r="A32" s="147" t="s">
        <v>187</v>
      </c>
      <c r="B32" s="142">
        <v>27</v>
      </c>
      <c r="C32" s="148">
        <v>1489158.08</v>
      </c>
      <c r="D32" s="149">
        <f>1489158.08+37609081.52</f>
        <v>39098239.600000001</v>
      </c>
    </row>
    <row r="33" spans="1:11" s="134" customFormat="1" ht="19.5" customHeight="1">
      <c r="A33" s="147" t="s">
        <v>188</v>
      </c>
      <c r="B33" s="142">
        <v>28</v>
      </c>
      <c r="C33" s="148"/>
      <c r="D33" s="149"/>
    </row>
    <row r="34" spans="1:11" s="134" customFormat="1" ht="19.5" customHeight="1">
      <c r="A34" s="150" t="s">
        <v>167</v>
      </c>
      <c r="B34" s="142">
        <v>29</v>
      </c>
      <c r="C34" s="152">
        <f>ROUND(SUM(C31,C32:C33),2)</f>
        <v>1489158.08</v>
      </c>
      <c r="D34" s="151">
        <f>ROUND(SUM(D31,D32:D33),2)</f>
        <v>39098239.600000001</v>
      </c>
    </row>
    <row r="35" spans="1:11" s="134" customFormat="1" ht="19.5" customHeight="1">
      <c r="A35" s="147" t="s">
        <v>189</v>
      </c>
      <c r="B35" s="142">
        <v>30</v>
      </c>
      <c r="C35" s="148">
        <v>1903960.12</v>
      </c>
      <c r="D35" s="149">
        <f>1903960.12+42628610.41</f>
        <v>44532570.529999994</v>
      </c>
    </row>
    <row r="36" spans="1:11" s="134" customFormat="1" ht="19.5" customHeight="1">
      <c r="A36" s="147" t="s">
        <v>190</v>
      </c>
      <c r="B36" s="142">
        <v>31</v>
      </c>
      <c r="C36" s="148">
        <v>220024.42</v>
      </c>
      <c r="D36" s="149">
        <f>220024.42+723777.72</f>
        <v>943802.14</v>
      </c>
    </row>
    <row r="37" spans="1:11" s="134" customFormat="1" ht="19.5" customHeight="1">
      <c r="A37" s="147" t="s">
        <v>191</v>
      </c>
      <c r="B37" s="142">
        <v>32</v>
      </c>
      <c r="C37" s="148"/>
      <c r="D37" s="149"/>
    </row>
    <row r="38" spans="1:11" s="134" customFormat="1" ht="19.5" customHeight="1">
      <c r="A38" s="150" t="s">
        <v>172</v>
      </c>
      <c r="B38" s="142">
        <v>33</v>
      </c>
      <c r="C38" s="152">
        <f>ROUND(SUM(C35:C36,C37),2)</f>
        <v>2123984.54</v>
      </c>
      <c r="D38" s="151">
        <f>ROUND(SUM(D35:D36,D37),2)</f>
        <v>45476372.670000002</v>
      </c>
    </row>
    <row r="39" spans="1:11" s="134" customFormat="1" ht="19.5" customHeight="1">
      <c r="A39" s="150" t="s">
        <v>192</v>
      </c>
      <c r="B39" s="142">
        <v>34</v>
      </c>
      <c r="C39" s="152">
        <f>ROUND(C34-C38,2)</f>
        <v>-634826.46</v>
      </c>
      <c r="D39" s="151">
        <f>ROUND(D34-D38,2)</f>
        <v>-6378133.0700000003</v>
      </c>
    </row>
    <row r="40" spans="1:11" s="134" customFormat="1" ht="19.5" customHeight="1">
      <c r="A40" s="150" t="s">
        <v>193</v>
      </c>
      <c r="B40" s="142">
        <v>35</v>
      </c>
      <c r="C40" s="148"/>
      <c r="D40" s="149"/>
    </row>
    <row r="41" spans="1:11" s="134" customFormat="1" ht="19.5" customHeight="1" thickBot="1">
      <c r="A41" s="101" t="s">
        <v>194</v>
      </c>
      <c r="B41" s="153">
        <v>36</v>
      </c>
      <c r="C41" s="154">
        <f>ROUND(C16+C29+C39+C40,2)</f>
        <v>7027859.8700000001</v>
      </c>
      <c r="D41" s="154">
        <f>ROUND(D16+D29+D39+D40,2)</f>
        <v>-2829242.65</v>
      </c>
    </row>
    <row r="42" spans="1:11" s="155" customFormat="1" ht="15.75" customHeight="1">
      <c r="B42" s="156"/>
      <c r="C42" s="157"/>
      <c r="D42" s="158"/>
    </row>
    <row r="43" spans="1:11" s="155" customFormat="1" ht="13.5" customHeight="1">
      <c r="A43" s="155" t="s">
        <v>195</v>
      </c>
      <c r="B43" s="159" t="s">
        <v>196</v>
      </c>
      <c r="C43" s="160"/>
      <c r="D43" s="161" t="s">
        <v>197</v>
      </c>
    </row>
    <row r="44" spans="1:11" s="162" customFormat="1" ht="17.45">
      <c r="B44" s="156"/>
      <c r="C44" s="163"/>
      <c r="D44" s="164"/>
      <c r="J44" s="165"/>
      <c r="K44" s="165"/>
    </row>
    <row r="48" spans="1:11" ht="18.600000000000001" customHeight="1"/>
  </sheetData>
  <sheetProtection algorithmName="SHA-512" hashValue="3t9XeVwMiGwBmPwEXyKW0+mrogGGywQWp0GcHlsM/nzXQrv6ZjH3GEZb+lB3d0DXroViAV3xc1/mgRGbHY78jQ==" saltValue="LBnCnfMRqDJSLCMuHk0jRA==" spinCount="100000" sheet="1" objects="1" scenarios="1" formatColumns="0"/>
  <mergeCells count="5">
    <mergeCell ref="A1:D1"/>
    <mergeCell ref="A2:D2"/>
    <mergeCell ref="A4:A5"/>
    <mergeCell ref="B4:B5"/>
    <mergeCell ref="C4:D4"/>
  </mergeCells>
  <phoneticPr fontId="6" type="noConversion"/>
  <printOptions horizontalCentered="1"/>
  <pageMargins left="0" right="0" top="0" bottom="0" header="0.47244094488188981" footer="0.31496062992125984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00B9-74D8-4E88-A2C4-7A3C8FDA159B}">
  <sheetPr>
    <pageSetUpPr fitToPage="1"/>
  </sheetPr>
  <dimension ref="A1:K36"/>
  <sheetViews>
    <sheetView showGridLines="0" showZeros="0" zoomScaleSheetLayoutView="75" workbookViewId="0">
      <pane xSplit="1" ySplit="4" topLeftCell="B5" activePane="bottomRight" state="frozen"/>
      <selection pane="bottomRight" activeCell="H17" sqref="H17"/>
      <selection pane="bottomLeft" activeCell="C48" sqref="C48"/>
      <selection pane="topRight" activeCell="C48" sqref="C48"/>
    </sheetView>
  </sheetViews>
  <sheetFormatPr defaultRowHeight="17.45"/>
  <cols>
    <col min="1" max="1" width="53.125" style="167" customWidth="1"/>
    <col min="2" max="2" width="6.375" style="203" customWidth="1"/>
    <col min="3" max="3" width="14.75" style="203" customWidth="1"/>
    <col min="4" max="4" width="14.75" style="167" customWidth="1"/>
    <col min="5" max="11" width="8.625" style="53"/>
    <col min="12" max="256" width="8.625" style="167"/>
    <col min="257" max="257" width="53.125" style="167" customWidth="1"/>
    <col min="258" max="258" width="6.375" style="167" customWidth="1"/>
    <col min="259" max="259" width="11.75" style="167" customWidth="1"/>
    <col min="260" max="260" width="14.5" style="167" customWidth="1"/>
    <col min="261" max="512" width="8.625" style="167"/>
    <col min="513" max="513" width="53.125" style="167" customWidth="1"/>
    <col min="514" max="514" width="6.375" style="167" customWidth="1"/>
    <col min="515" max="515" width="11.75" style="167" customWidth="1"/>
    <col min="516" max="516" width="14.5" style="167" customWidth="1"/>
    <col min="517" max="768" width="8.625" style="167"/>
    <col min="769" max="769" width="53.125" style="167" customWidth="1"/>
    <col min="770" max="770" width="6.375" style="167" customWidth="1"/>
    <col min="771" max="771" width="11.75" style="167" customWidth="1"/>
    <col min="772" max="772" width="14.5" style="167" customWidth="1"/>
    <col min="773" max="1024" width="8.625" style="167"/>
    <col min="1025" max="1025" width="53.125" style="167" customWidth="1"/>
    <col min="1026" max="1026" width="6.375" style="167" customWidth="1"/>
    <col min="1027" max="1027" width="11.75" style="167" customWidth="1"/>
    <col min="1028" max="1028" width="14.5" style="167" customWidth="1"/>
    <col min="1029" max="1280" width="8.625" style="167"/>
    <col min="1281" max="1281" width="53.125" style="167" customWidth="1"/>
    <col min="1282" max="1282" width="6.375" style="167" customWidth="1"/>
    <col min="1283" max="1283" width="11.75" style="167" customWidth="1"/>
    <col min="1284" max="1284" width="14.5" style="167" customWidth="1"/>
    <col min="1285" max="1536" width="8.625" style="167"/>
    <col min="1537" max="1537" width="53.125" style="167" customWidth="1"/>
    <col min="1538" max="1538" width="6.375" style="167" customWidth="1"/>
    <col min="1539" max="1539" width="11.75" style="167" customWidth="1"/>
    <col min="1540" max="1540" width="14.5" style="167" customWidth="1"/>
    <col min="1541" max="1792" width="8.625" style="167"/>
    <col min="1793" max="1793" width="53.125" style="167" customWidth="1"/>
    <col min="1794" max="1794" width="6.375" style="167" customWidth="1"/>
    <col min="1795" max="1795" width="11.75" style="167" customWidth="1"/>
    <col min="1796" max="1796" width="14.5" style="167" customWidth="1"/>
    <col min="1797" max="2048" width="8.625" style="167"/>
    <col min="2049" max="2049" width="53.125" style="167" customWidth="1"/>
    <col min="2050" max="2050" width="6.375" style="167" customWidth="1"/>
    <col min="2051" max="2051" width="11.75" style="167" customWidth="1"/>
    <col min="2052" max="2052" width="14.5" style="167" customWidth="1"/>
    <col min="2053" max="2304" width="8.625" style="167"/>
    <col min="2305" max="2305" width="53.125" style="167" customWidth="1"/>
    <col min="2306" max="2306" width="6.375" style="167" customWidth="1"/>
    <col min="2307" max="2307" width="11.75" style="167" customWidth="1"/>
    <col min="2308" max="2308" width="14.5" style="167" customWidth="1"/>
    <col min="2309" max="2560" width="8.625" style="167"/>
    <col min="2561" max="2561" width="53.125" style="167" customWidth="1"/>
    <col min="2562" max="2562" width="6.375" style="167" customWidth="1"/>
    <col min="2563" max="2563" width="11.75" style="167" customWidth="1"/>
    <col min="2564" max="2564" width="14.5" style="167" customWidth="1"/>
    <col min="2565" max="2816" width="8.625" style="167"/>
    <col min="2817" max="2817" width="53.125" style="167" customWidth="1"/>
    <col min="2818" max="2818" width="6.375" style="167" customWidth="1"/>
    <col min="2819" max="2819" width="11.75" style="167" customWidth="1"/>
    <col min="2820" max="2820" width="14.5" style="167" customWidth="1"/>
    <col min="2821" max="3072" width="8.625" style="167"/>
    <col min="3073" max="3073" width="53.125" style="167" customWidth="1"/>
    <col min="3074" max="3074" width="6.375" style="167" customWidth="1"/>
    <col min="3075" max="3075" width="11.75" style="167" customWidth="1"/>
    <col min="3076" max="3076" width="14.5" style="167" customWidth="1"/>
    <col min="3077" max="3328" width="8.625" style="167"/>
    <col min="3329" max="3329" width="53.125" style="167" customWidth="1"/>
    <col min="3330" max="3330" width="6.375" style="167" customWidth="1"/>
    <col min="3331" max="3331" width="11.75" style="167" customWidth="1"/>
    <col min="3332" max="3332" width="14.5" style="167" customWidth="1"/>
    <col min="3333" max="3584" width="8.625" style="167"/>
    <col min="3585" max="3585" width="53.125" style="167" customWidth="1"/>
    <col min="3586" max="3586" width="6.375" style="167" customWidth="1"/>
    <col min="3587" max="3587" width="11.75" style="167" customWidth="1"/>
    <col min="3588" max="3588" width="14.5" style="167" customWidth="1"/>
    <col min="3589" max="3840" width="8.625" style="167"/>
    <col min="3841" max="3841" width="53.125" style="167" customWidth="1"/>
    <col min="3842" max="3842" width="6.375" style="167" customWidth="1"/>
    <col min="3843" max="3843" width="11.75" style="167" customWidth="1"/>
    <col min="3844" max="3844" width="14.5" style="167" customWidth="1"/>
    <col min="3845" max="4096" width="8.625" style="167"/>
    <col min="4097" max="4097" width="53.125" style="167" customWidth="1"/>
    <col min="4098" max="4098" width="6.375" style="167" customWidth="1"/>
    <col min="4099" max="4099" width="11.75" style="167" customWidth="1"/>
    <col min="4100" max="4100" width="14.5" style="167" customWidth="1"/>
    <col min="4101" max="4352" width="8.625" style="167"/>
    <col min="4353" max="4353" width="53.125" style="167" customWidth="1"/>
    <col min="4354" max="4354" width="6.375" style="167" customWidth="1"/>
    <col min="4355" max="4355" width="11.75" style="167" customWidth="1"/>
    <col min="4356" max="4356" width="14.5" style="167" customWidth="1"/>
    <col min="4357" max="4608" width="8.625" style="167"/>
    <col min="4609" max="4609" width="53.125" style="167" customWidth="1"/>
    <col min="4610" max="4610" width="6.375" style="167" customWidth="1"/>
    <col min="4611" max="4611" width="11.75" style="167" customWidth="1"/>
    <col min="4612" max="4612" width="14.5" style="167" customWidth="1"/>
    <col min="4613" max="4864" width="8.625" style="167"/>
    <col min="4865" max="4865" width="53.125" style="167" customWidth="1"/>
    <col min="4866" max="4866" width="6.375" style="167" customWidth="1"/>
    <col min="4867" max="4867" width="11.75" style="167" customWidth="1"/>
    <col min="4868" max="4868" width="14.5" style="167" customWidth="1"/>
    <col min="4869" max="5120" width="8.625" style="167"/>
    <col min="5121" max="5121" width="53.125" style="167" customWidth="1"/>
    <col min="5122" max="5122" width="6.375" style="167" customWidth="1"/>
    <col min="5123" max="5123" width="11.75" style="167" customWidth="1"/>
    <col min="5124" max="5124" width="14.5" style="167" customWidth="1"/>
    <col min="5125" max="5376" width="8.625" style="167"/>
    <col min="5377" max="5377" width="53.125" style="167" customWidth="1"/>
    <col min="5378" max="5378" width="6.375" style="167" customWidth="1"/>
    <col min="5379" max="5379" width="11.75" style="167" customWidth="1"/>
    <col min="5380" max="5380" width="14.5" style="167" customWidth="1"/>
    <col min="5381" max="5632" width="8.625" style="167"/>
    <col min="5633" max="5633" width="53.125" style="167" customWidth="1"/>
    <col min="5634" max="5634" width="6.375" style="167" customWidth="1"/>
    <col min="5635" max="5635" width="11.75" style="167" customWidth="1"/>
    <col min="5636" max="5636" width="14.5" style="167" customWidth="1"/>
    <col min="5637" max="5888" width="8.625" style="167"/>
    <col min="5889" max="5889" width="53.125" style="167" customWidth="1"/>
    <col min="5890" max="5890" width="6.375" style="167" customWidth="1"/>
    <col min="5891" max="5891" width="11.75" style="167" customWidth="1"/>
    <col min="5892" max="5892" width="14.5" style="167" customWidth="1"/>
    <col min="5893" max="6144" width="8.625" style="167"/>
    <col min="6145" max="6145" width="53.125" style="167" customWidth="1"/>
    <col min="6146" max="6146" width="6.375" style="167" customWidth="1"/>
    <col min="6147" max="6147" width="11.75" style="167" customWidth="1"/>
    <col min="6148" max="6148" width="14.5" style="167" customWidth="1"/>
    <col min="6149" max="6400" width="8.625" style="167"/>
    <col min="6401" max="6401" width="53.125" style="167" customWidth="1"/>
    <col min="6402" max="6402" width="6.375" style="167" customWidth="1"/>
    <col min="6403" max="6403" width="11.75" style="167" customWidth="1"/>
    <col min="6404" max="6404" width="14.5" style="167" customWidth="1"/>
    <col min="6405" max="6656" width="8.625" style="167"/>
    <col min="6657" max="6657" width="53.125" style="167" customWidth="1"/>
    <col min="6658" max="6658" width="6.375" style="167" customWidth="1"/>
    <col min="6659" max="6659" width="11.75" style="167" customWidth="1"/>
    <col min="6660" max="6660" width="14.5" style="167" customWidth="1"/>
    <col min="6661" max="6912" width="8.625" style="167"/>
    <col min="6913" max="6913" width="53.125" style="167" customWidth="1"/>
    <col min="6914" max="6914" width="6.375" style="167" customWidth="1"/>
    <col min="6915" max="6915" width="11.75" style="167" customWidth="1"/>
    <col min="6916" max="6916" width="14.5" style="167" customWidth="1"/>
    <col min="6917" max="7168" width="8.625" style="167"/>
    <col min="7169" max="7169" width="53.125" style="167" customWidth="1"/>
    <col min="7170" max="7170" width="6.375" style="167" customWidth="1"/>
    <col min="7171" max="7171" width="11.75" style="167" customWidth="1"/>
    <col min="7172" max="7172" width="14.5" style="167" customWidth="1"/>
    <col min="7173" max="7424" width="8.625" style="167"/>
    <col min="7425" max="7425" width="53.125" style="167" customWidth="1"/>
    <col min="7426" max="7426" width="6.375" style="167" customWidth="1"/>
    <col min="7427" max="7427" width="11.75" style="167" customWidth="1"/>
    <col min="7428" max="7428" width="14.5" style="167" customWidth="1"/>
    <col min="7429" max="7680" width="8.625" style="167"/>
    <col min="7681" max="7681" width="53.125" style="167" customWidth="1"/>
    <col min="7682" max="7682" width="6.375" style="167" customWidth="1"/>
    <col min="7683" max="7683" width="11.75" style="167" customWidth="1"/>
    <col min="7684" max="7684" width="14.5" style="167" customWidth="1"/>
    <col min="7685" max="7936" width="8.625" style="167"/>
    <col min="7937" max="7937" width="53.125" style="167" customWidth="1"/>
    <col min="7938" max="7938" width="6.375" style="167" customWidth="1"/>
    <col min="7939" max="7939" width="11.75" style="167" customWidth="1"/>
    <col min="7940" max="7940" width="14.5" style="167" customWidth="1"/>
    <col min="7941" max="8192" width="8.625" style="167"/>
    <col min="8193" max="8193" width="53.125" style="167" customWidth="1"/>
    <col min="8194" max="8194" width="6.375" style="167" customWidth="1"/>
    <col min="8195" max="8195" width="11.75" style="167" customWidth="1"/>
    <col min="8196" max="8196" width="14.5" style="167" customWidth="1"/>
    <col min="8197" max="8448" width="8.625" style="167"/>
    <col min="8449" max="8449" width="53.125" style="167" customWidth="1"/>
    <col min="8450" max="8450" width="6.375" style="167" customWidth="1"/>
    <col min="8451" max="8451" width="11.75" style="167" customWidth="1"/>
    <col min="8452" max="8452" width="14.5" style="167" customWidth="1"/>
    <col min="8453" max="8704" width="8.625" style="167"/>
    <col min="8705" max="8705" width="53.125" style="167" customWidth="1"/>
    <col min="8706" max="8706" width="6.375" style="167" customWidth="1"/>
    <col min="8707" max="8707" width="11.75" style="167" customWidth="1"/>
    <col min="8708" max="8708" width="14.5" style="167" customWidth="1"/>
    <col min="8709" max="8960" width="8.625" style="167"/>
    <col min="8961" max="8961" width="53.125" style="167" customWidth="1"/>
    <col min="8962" max="8962" width="6.375" style="167" customWidth="1"/>
    <col min="8963" max="8963" width="11.75" style="167" customWidth="1"/>
    <col min="8964" max="8964" width="14.5" style="167" customWidth="1"/>
    <col min="8965" max="9216" width="8.625" style="167"/>
    <col min="9217" max="9217" width="53.125" style="167" customWidth="1"/>
    <col min="9218" max="9218" width="6.375" style="167" customWidth="1"/>
    <col min="9219" max="9219" width="11.75" style="167" customWidth="1"/>
    <col min="9220" max="9220" width="14.5" style="167" customWidth="1"/>
    <col min="9221" max="9472" width="8.625" style="167"/>
    <col min="9473" max="9473" width="53.125" style="167" customWidth="1"/>
    <col min="9474" max="9474" width="6.375" style="167" customWidth="1"/>
    <col min="9475" max="9475" width="11.75" style="167" customWidth="1"/>
    <col min="9476" max="9476" width="14.5" style="167" customWidth="1"/>
    <col min="9477" max="9728" width="8.625" style="167"/>
    <col min="9729" max="9729" width="53.125" style="167" customWidth="1"/>
    <col min="9730" max="9730" width="6.375" style="167" customWidth="1"/>
    <col min="9731" max="9731" width="11.75" style="167" customWidth="1"/>
    <col min="9732" max="9732" width="14.5" style="167" customWidth="1"/>
    <col min="9733" max="9984" width="8.625" style="167"/>
    <col min="9985" max="9985" width="53.125" style="167" customWidth="1"/>
    <col min="9986" max="9986" width="6.375" style="167" customWidth="1"/>
    <col min="9987" max="9987" width="11.75" style="167" customWidth="1"/>
    <col min="9988" max="9988" width="14.5" style="167" customWidth="1"/>
    <col min="9989" max="10240" width="8.625" style="167"/>
    <col min="10241" max="10241" width="53.125" style="167" customWidth="1"/>
    <col min="10242" max="10242" width="6.375" style="167" customWidth="1"/>
    <col min="10243" max="10243" width="11.75" style="167" customWidth="1"/>
    <col min="10244" max="10244" width="14.5" style="167" customWidth="1"/>
    <col min="10245" max="10496" width="8.625" style="167"/>
    <col min="10497" max="10497" width="53.125" style="167" customWidth="1"/>
    <col min="10498" max="10498" width="6.375" style="167" customWidth="1"/>
    <col min="10499" max="10499" width="11.75" style="167" customWidth="1"/>
    <col min="10500" max="10500" width="14.5" style="167" customWidth="1"/>
    <col min="10501" max="10752" width="8.625" style="167"/>
    <col min="10753" max="10753" width="53.125" style="167" customWidth="1"/>
    <col min="10754" max="10754" width="6.375" style="167" customWidth="1"/>
    <col min="10755" max="10755" width="11.75" style="167" customWidth="1"/>
    <col min="10756" max="10756" width="14.5" style="167" customWidth="1"/>
    <col min="10757" max="11008" width="8.625" style="167"/>
    <col min="11009" max="11009" width="53.125" style="167" customWidth="1"/>
    <col min="11010" max="11010" width="6.375" style="167" customWidth="1"/>
    <col min="11011" max="11011" width="11.75" style="167" customWidth="1"/>
    <col min="11012" max="11012" width="14.5" style="167" customWidth="1"/>
    <col min="11013" max="11264" width="8.625" style="167"/>
    <col min="11265" max="11265" width="53.125" style="167" customWidth="1"/>
    <col min="11266" max="11266" width="6.375" style="167" customWidth="1"/>
    <col min="11267" max="11267" width="11.75" style="167" customWidth="1"/>
    <col min="11268" max="11268" width="14.5" style="167" customWidth="1"/>
    <col min="11269" max="11520" width="8.625" style="167"/>
    <col min="11521" max="11521" width="53.125" style="167" customWidth="1"/>
    <col min="11522" max="11522" width="6.375" style="167" customWidth="1"/>
    <col min="11523" max="11523" width="11.75" style="167" customWidth="1"/>
    <col min="11524" max="11524" width="14.5" style="167" customWidth="1"/>
    <col min="11525" max="11776" width="8.625" style="167"/>
    <col min="11777" max="11777" width="53.125" style="167" customWidth="1"/>
    <col min="11778" max="11778" width="6.375" style="167" customWidth="1"/>
    <col min="11779" max="11779" width="11.75" style="167" customWidth="1"/>
    <col min="11780" max="11780" width="14.5" style="167" customWidth="1"/>
    <col min="11781" max="12032" width="8.625" style="167"/>
    <col min="12033" max="12033" width="53.125" style="167" customWidth="1"/>
    <col min="12034" max="12034" width="6.375" style="167" customWidth="1"/>
    <col min="12035" max="12035" width="11.75" style="167" customWidth="1"/>
    <col min="12036" max="12036" width="14.5" style="167" customWidth="1"/>
    <col min="12037" max="12288" width="8.625" style="167"/>
    <col min="12289" max="12289" width="53.125" style="167" customWidth="1"/>
    <col min="12290" max="12290" width="6.375" style="167" customWidth="1"/>
    <col min="12291" max="12291" width="11.75" style="167" customWidth="1"/>
    <col min="12292" max="12292" width="14.5" style="167" customWidth="1"/>
    <col min="12293" max="12544" width="8.625" style="167"/>
    <col min="12545" max="12545" width="53.125" style="167" customWidth="1"/>
    <col min="12546" max="12546" width="6.375" style="167" customWidth="1"/>
    <col min="12547" max="12547" width="11.75" style="167" customWidth="1"/>
    <col min="12548" max="12548" width="14.5" style="167" customWidth="1"/>
    <col min="12549" max="12800" width="8.625" style="167"/>
    <col min="12801" max="12801" width="53.125" style="167" customWidth="1"/>
    <col min="12802" max="12802" width="6.375" style="167" customWidth="1"/>
    <col min="12803" max="12803" width="11.75" style="167" customWidth="1"/>
    <col min="12804" max="12804" width="14.5" style="167" customWidth="1"/>
    <col min="12805" max="13056" width="8.625" style="167"/>
    <col min="13057" max="13057" width="53.125" style="167" customWidth="1"/>
    <col min="13058" max="13058" width="6.375" style="167" customWidth="1"/>
    <col min="13059" max="13059" width="11.75" style="167" customWidth="1"/>
    <col min="13060" max="13060" width="14.5" style="167" customWidth="1"/>
    <col min="13061" max="13312" width="8.625" style="167"/>
    <col min="13313" max="13313" width="53.125" style="167" customWidth="1"/>
    <col min="13314" max="13314" width="6.375" style="167" customWidth="1"/>
    <col min="13315" max="13315" width="11.75" style="167" customWidth="1"/>
    <col min="13316" max="13316" width="14.5" style="167" customWidth="1"/>
    <col min="13317" max="13568" width="8.625" style="167"/>
    <col min="13569" max="13569" width="53.125" style="167" customWidth="1"/>
    <col min="13570" max="13570" width="6.375" style="167" customWidth="1"/>
    <col min="13571" max="13571" width="11.75" style="167" customWidth="1"/>
    <col min="13572" max="13572" width="14.5" style="167" customWidth="1"/>
    <col min="13573" max="13824" width="8.625" style="167"/>
    <col min="13825" max="13825" width="53.125" style="167" customWidth="1"/>
    <col min="13826" max="13826" width="6.375" style="167" customWidth="1"/>
    <col min="13827" max="13827" width="11.75" style="167" customWidth="1"/>
    <col min="13828" max="13828" width="14.5" style="167" customWidth="1"/>
    <col min="13829" max="14080" width="8.625" style="167"/>
    <col min="14081" max="14081" width="53.125" style="167" customWidth="1"/>
    <col min="14082" max="14082" width="6.375" style="167" customWidth="1"/>
    <col min="14083" max="14083" width="11.75" style="167" customWidth="1"/>
    <col min="14084" max="14084" width="14.5" style="167" customWidth="1"/>
    <col min="14085" max="14336" width="8.625" style="167"/>
    <col min="14337" max="14337" width="53.125" style="167" customWidth="1"/>
    <col min="14338" max="14338" width="6.375" style="167" customWidth="1"/>
    <col min="14339" max="14339" width="11.75" style="167" customWidth="1"/>
    <col min="14340" max="14340" width="14.5" style="167" customWidth="1"/>
    <col min="14341" max="14592" width="8.625" style="167"/>
    <col min="14593" max="14593" width="53.125" style="167" customWidth="1"/>
    <col min="14594" max="14594" width="6.375" style="167" customWidth="1"/>
    <col min="14595" max="14595" width="11.75" style="167" customWidth="1"/>
    <col min="14596" max="14596" width="14.5" style="167" customWidth="1"/>
    <col min="14597" max="14848" width="8.625" style="167"/>
    <col min="14849" max="14849" width="53.125" style="167" customWidth="1"/>
    <col min="14850" max="14850" width="6.375" style="167" customWidth="1"/>
    <col min="14851" max="14851" width="11.75" style="167" customWidth="1"/>
    <col min="14852" max="14852" width="14.5" style="167" customWidth="1"/>
    <col min="14853" max="15104" width="8.625" style="167"/>
    <col min="15105" max="15105" width="53.125" style="167" customWidth="1"/>
    <col min="15106" max="15106" width="6.375" style="167" customWidth="1"/>
    <col min="15107" max="15107" width="11.75" style="167" customWidth="1"/>
    <col min="15108" max="15108" width="14.5" style="167" customWidth="1"/>
    <col min="15109" max="15360" width="8.625" style="167"/>
    <col min="15361" max="15361" width="53.125" style="167" customWidth="1"/>
    <col min="15362" max="15362" width="6.375" style="167" customWidth="1"/>
    <col min="15363" max="15363" width="11.75" style="167" customWidth="1"/>
    <col min="15364" max="15364" width="14.5" style="167" customWidth="1"/>
    <col min="15365" max="15616" width="8.625" style="167"/>
    <col min="15617" max="15617" width="53.125" style="167" customWidth="1"/>
    <col min="15618" max="15618" width="6.375" style="167" customWidth="1"/>
    <col min="15619" max="15619" width="11.75" style="167" customWidth="1"/>
    <col min="15620" max="15620" width="14.5" style="167" customWidth="1"/>
    <col min="15621" max="15872" width="8.625" style="167"/>
    <col min="15873" max="15873" width="53.125" style="167" customWidth="1"/>
    <col min="15874" max="15874" width="6.375" style="167" customWidth="1"/>
    <col min="15875" max="15875" width="11.75" style="167" customWidth="1"/>
    <col min="15876" max="15876" width="14.5" style="167" customWidth="1"/>
    <col min="15877" max="16128" width="8.625" style="167"/>
    <col min="16129" max="16129" width="53.125" style="167" customWidth="1"/>
    <col min="16130" max="16130" width="6.375" style="167" customWidth="1"/>
    <col min="16131" max="16131" width="11.75" style="167" customWidth="1"/>
    <col min="16132" max="16132" width="14.5" style="167" customWidth="1"/>
    <col min="16133" max="16384" width="8.625" style="167"/>
  </cols>
  <sheetData>
    <row r="1" spans="1:11" ht="22.15">
      <c r="A1" s="353" t="s">
        <v>198</v>
      </c>
      <c r="B1" s="353"/>
      <c r="C1" s="353"/>
      <c r="D1" s="353"/>
    </row>
    <row r="2" spans="1:11" s="170" customFormat="1" ht="21.75" customHeight="1">
      <c r="A2" s="168"/>
      <c r="B2" s="168"/>
      <c r="C2" s="168"/>
      <c r="D2" s="169" t="s">
        <v>199</v>
      </c>
      <c r="E2" s="52"/>
      <c r="F2" s="52"/>
      <c r="G2" s="52"/>
      <c r="H2" s="52"/>
      <c r="I2" s="52"/>
      <c r="J2" s="52"/>
      <c r="K2" s="52"/>
    </row>
    <row r="3" spans="1:11" s="170" customFormat="1" ht="17.100000000000001" customHeight="1" thickBot="1">
      <c r="A3" s="171" t="str">
        <f>[1]报表封面!B2</f>
        <v>编制单位：长春英纳法富晟汽车天窗系统有限公司</v>
      </c>
      <c r="B3" s="172" t="str">
        <f>利润表!E3</f>
        <v>2025年12月</v>
      </c>
      <c r="C3" s="173"/>
      <c r="D3" s="169" t="s">
        <v>200</v>
      </c>
      <c r="E3" s="52"/>
      <c r="F3" s="52"/>
      <c r="G3" s="52"/>
      <c r="H3" s="52"/>
      <c r="I3" s="52"/>
      <c r="J3" s="52"/>
      <c r="K3" s="52"/>
    </row>
    <row r="4" spans="1:11" s="178" customFormat="1" ht="28.5" customHeight="1">
      <c r="A4" s="174" t="s">
        <v>201</v>
      </c>
      <c r="B4" s="175" t="s">
        <v>4</v>
      </c>
      <c r="C4" s="175" t="s">
        <v>161</v>
      </c>
      <c r="D4" s="176" t="s">
        <v>162</v>
      </c>
      <c r="E4" s="177"/>
      <c r="F4" s="177"/>
      <c r="G4" s="177"/>
      <c r="H4" s="177"/>
      <c r="I4" s="177"/>
      <c r="J4" s="177"/>
      <c r="K4" s="177"/>
    </row>
    <row r="5" spans="1:11" s="170" customFormat="1" ht="21.75" customHeight="1">
      <c r="A5" s="179" t="s">
        <v>202</v>
      </c>
      <c r="B5" s="180">
        <v>1</v>
      </c>
      <c r="C5" s="181" t="s">
        <v>203</v>
      </c>
      <c r="D5" s="181" t="s">
        <v>203</v>
      </c>
      <c r="E5" s="52"/>
      <c r="F5" s="52"/>
      <c r="G5" s="52"/>
      <c r="H5" s="52"/>
      <c r="I5" s="52"/>
      <c r="J5" s="52"/>
      <c r="K5" s="52"/>
    </row>
    <row r="6" spans="1:11" s="170" customFormat="1" ht="21.75" customHeight="1">
      <c r="A6" s="179" t="s">
        <v>204</v>
      </c>
      <c r="B6" s="180">
        <v>2</v>
      </c>
      <c r="C6" s="182">
        <v>-236892.8499999996</v>
      </c>
      <c r="D6" s="183">
        <v>-17536883.170000002</v>
      </c>
      <c r="E6" s="52"/>
      <c r="F6" s="52"/>
      <c r="G6" s="52"/>
      <c r="H6" s="52"/>
      <c r="I6" s="52"/>
      <c r="J6" s="52"/>
      <c r="K6" s="52"/>
    </row>
    <row r="7" spans="1:11" s="170" customFormat="1" ht="21.75" customHeight="1">
      <c r="A7" s="184" t="s">
        <v>205</v>
      </c>
      <c r="B7" s="180">
        <v>3</v>
      </c>
      <c r="C7" s="185"/>
      <c r="D7" s="22"/>
      <c r="E7" s="52"/>
      <c r="F7" s="52"/>
      <c r="G7" s="52"/>
      <c r="H7" s="52"/>
      <c r="I7" s="52"/>
      <c r="J7" s="52"/>
      <c r="K7" s="52"/>
    </row>
    <row r="8" spans="1:11" s="170" customFormat="1" ht="21.75" customHeight="1">
      <c r="A8" s="184" t="s">
        <v>206</v>
      </c>
      <c r="B8" s="180">
        <v>4</v>
      </c>
      <c r="C8" s="185">
        <v>-570535.47000000009</v>
      </c>
      <c r="D8" s="22">
        <v>-6919260.2499999991</v>
      </c>
      <c r="E8" s="52"/>
      <c r="F8" s="52"/>
      <c r="G8" s="52"/>
      <c r="H8" s="52"/>
      <c r="I8" s="52"/>
      <c r="J8" s="52"/>
      <c r="K8" s="52"/>
    </row>
    <row r="9" spans="1:11" s="170" customFormat="1" ht="21.75" customHeight="1">
      <c r="A9" s="186" t="s">
        <v>207</v>
      </c>
      <c r="B9" s="180">
        <v>5</v>
      </c>
      <c r="C9" s="185"/>
      <c r="D9" s="22"/>
      <c r="E9" s="52"/>
      <c r="F9" s="52"/>
      <c r="G9" s="52"/>
      <c r="H9" s="52"/>
      <c r="I9" s="52"/>
      <c r="J9" s="52"/>
      <c r="K9" s="52"/>
    </row>
    <row r="10" spans="1:11" s="170" customFormat="1" ht="21.75" customHeight="1">
      <c r="A10" s="187" t="s">
        <v>208</v>
      </c>
      <c r="B10" s="180">
        <v>6</v>
      </c>
      <c r="C10" s="185"/>
      <c r="D10" s="22"/>
      <c r="E10" s="52"/>
      <c r="F10" s="52"/>
      <c r="G10" s="52"/>
      <c r="H10" s="52"/>
      <c r="I10" s="52"/>
      <c r="J10" s="52"/>
      <c r="K10" s="52"/>
    </row>
    <row r="11" spans="1:11" s="170" customFormat="1" ht="21.75" customHeight="1">
      <c r="A11" s="184" t="s">
        <v>209</v>
      </c>
      <c r="B11" s="180">
        <v>7</v>
      </c>
      <c r="C11" s="185">
        <v>-262442.08999999997</v>
      </c>
      <c r="D11" s="22">
        <v>-4962968.1999999993</v>
      </c>
      <c r="E11" s="52"/>
      <c r="F11" s="52"/>
      <c r="G11" s="52"/>
      <c r="H11" s="52"/>
      <c r="I11" s="52"/>
      <c r="J11" s="52"/>
      <c r="K11" s="52"/>
    </row>
    <row r="12" spans="1:11" s="170" customFormat="1" ht="21.75" customHeight="1">
      <c r="A12" s="184" t="s">
        <v>210</v>
      </c>
      <c r="B12" s="180">
        <v>8</v>
      </c>
      <c r="C12" s="185">
        <v>-382101.3</v>
      </c>
      <c r="D12" s="22">
        <v>-4585215.5999999987</v>
      </c>
      <c r="E12" s="52"/>
      <c r="F12" s="52"/>
      <c r="G12" s="52"/>
      <c r="H12" s="52"/>
      <c r="I12" s="52"/>
      <c r="J12" s="52"/>
      <c r="K12" s="52"/>
    </row>
    <row r="13" spans="1:11" s="170" customFormat="1" ht="21.75" customHeight="1">
      <c r="A13" s="184" t="s">
        <v>211</v>
      </c>
      <c r="B13" s="180">
        <v>9</v>
      </c>
      <c r="C13" s="185"/>
      <c r="D13" s="22"/>
      <c r="E13" s="52"/>
      <c r="F13" s="52"/>
      <c r="G13" s="52"/>
      <c r="H13" s="52"/>
      <c r="I13" s="52"/>
      <c r="J13" s="52"/>
      <c r="K13" s="52"/>
    </row>
    <row r="14" spans="1:11" s="170" customFormat="1" ht="21.75" customHeight="1">
      <c r="A14" s="184" t="s">
        <v>212</v>
      </c>
      <c r="B14" s="180">
        <v>10</v>
      </c>
      <c r="C14" s="185"/>
      <c r="D14" s="22"/>
      <c r="E14" s="52"/>
      <c r="F14" s="52"/>
      <c r="G14" s="52"/>
      <c r="H14" s="52"/>
      <c r="I14" s="52"/>
      <c r="J14" s="52"/>
      <c r="K14" s="52"/>
    </row>
    <row r="15" spans="1:11" s="170" customFormat="1" ht="21.75" customHeight="1">
      <c r="A15" s="184" t="s">
        <v>213</v>
      </c>
      <c r="B15" s="180">
        <v>11</v>
      </c>
      <c r="C15" s="185"/>
      <c r="D15" s="22"/>
      <c r="E15" s="52"/>
      <c r="F15" s="52"/>
      <c r="G15" s="52"/>
      <c r="H15" s="52"/>
      <c r="I15" s="52"/>
      <c r="J15" s="52"/>
      <c r="K15" s="52"/>
    </row>
    <row r="16" spans="1:11" s="170" customFormat="1" ht="21.75" customHeight="1">
      <c r="A16" s="184" t="s">
        <v>214</v>
      </c>
      <c r="B16" s="180">
        <v>12</v>
      </c>
      <c r="C16" s="185">
        <v>62191.12999999999</v>
      </c>
      <c r="D16" s="22">
        <v>906746.54</v>
      </c>
      <c r="E16" s="52"/>
      <c r="F16" s="52"/>
      <c r="G16" s="52"/>
      <c r="H16" s="52"/>
      <c r="I16" s="52"/>
      <c r="J16" s="52"/>
      <c r="K16" s="52"/>
    </row>
    <row r="17" spans="1:11" s="170" customFormat="1" ht="21.75" customHeight="1">
      <c r="A17" s="184" t="s">
        <v>215</v>
      </c>
      <c r="B17" s="180">
        <v>13</v>
      </c>
      <c r="C17" s="185"/>
      <c r="D17" s="22"/>
      <c r="E17" s="52"/>
      <c r="F17" s="52"/>
      <c r="G17" s="52"/>
      <c r="H17" s="52"/>
      <c r="I17" s="52"/>
      <c r="J17" s="52"/>
      <c r="K17" s="52"/>
    </row>
    <row r="18" spans="1:11" s="170" customFormat="1" ht="21.75" customHeight="1">
      <c r="A18" s="184" t="s">
        <v>216</v>
      </c>
      <c r="B18" s="180">
        <v>14</v>
      </c>
      <c r="C18" s="185"/>
      <c r="D18" s="22"/>
      <c r="E18" s="52"/>
      <c r="F18" s="52"/>
      <c r="G18" s="52"/>
      <c r="H18" s="52"/>
      <c r="I18" s="52"/>
      <c r="J18" s="52"/>
      <c r="K18" s="52"/>
    </row>
    <row r="19" spans="1:11" s="170" customFormat="1" ht="21.75" customHeight="1">
      <c r="A19" s="184" t="s">
        <v>217</v>
      </c>
      <c r="B19" s="180">
        <v>15</v>
      </c>
      <c r="C19" s="185"/>
      <c r="D19" s="22"/>
      <c r="E19" s="52"/>
      <c r="F19" s="52"/>
      <c r="G19" s="52"/>
      <c r="H19" s="52"/>
      <c r="I19" s="52"/>
      <c r="J19" s="52"/>
      <c r="K19" s="52"/>
    </row>
    <row r="20" spans="1:11" s="170" customFormat="1" ht="21.75" customHeight="1">
      <c r="A20" s="184" t="s">
        <v>218</v>
      </c>
      <c r="B20" s="180">
        <v>16</v>
      </c>
      <c r="C20" s="185">
        <v>-512794.66999999975</v>
      </c>
      <c r="D20" s="22">
        <v>1215922.7699999998</v>
      </c>
      <c r="E20" s="52"/>
      <c r="F20" s="52"/>
      <c r="G20" s="52"/>
      <c r="H20" s="52"/>
      <c r="I20" s="52"/>
      <c r="J20" s="52"/>
      <c r="K20" s="52"/>
    </row>
    <row r="21" spans="1:11" s="170" customFormat="1" ht="21.75" customHeight="1">
      <c r="A21" s="184" t="s">
        <v>219</v>
      </c>
      <c r="B21" s="180">
        <v>17</v>
      </c>
      <c r="C21" s="185">
        <v>4075813.4900000012</v>
      </c>
      <c r="D21" s="22">
        <v>32320119.900000006</v>
      </c>
      <c r="E21" s="52"/>
      <c r="F21" s="52"/>
      <c r="G21" s="52"/>
      <c r="H21" s="52"/>
      <c r="I21" s="52"/>
      <c r="J21" s="52"/>
      <c r="K21" s="52"/>
    </row>
    <row r="22" spans="1:11" s="170" customFormat="1" ht="21.75" customHeight="1">
      <c r="A22" s="184" t="s">
        <v>220</v>
      </c>
      <c r="B22" s="180">
        <v>18</v>
      </c>
      <c r="C22" s="185">
        <v>-1126870.4500000095</v>
      </c>
      <c r="D22" s="22">
        <v>-5728398.4499999974</v>
      </c>
      <c r="E22" s="52"/>
      <c r="F22" s="52"/>
      <c r="G22" s="52"/>
      <c r="H22" s="52"/>
      <c r="I22" s="52"/>
      <c r="J22" s="52"/>
      <c r="K22" s="52"/>
    </row>
    <row r="23" spans="1:11" s="170" customFormat="1" ht="21.75" customHeight="1">
      <c r="A23" s="184" t="s">
        <v>221</v>
      </c>
      <c r="B23" s="180">
        <v>19</v>
      </c>
      <c r="C23" s="185">
        <v>6683033.7400000077</v>
      </c>
      <c r="D23" s="22">
        <v>12976894.819999993</v>
      </c>
      <c r="E23" s="52"/>
      <c r="F23" s="52"/>
      <c r="G23" s="52"/>
      <c r="H23" s="52"/>
      <c r="I23" s="52"/>
      <c r="J23" s="52"/>
      <c r="K23" s="52"/>
    </row>
    <row r="24" spans="1:11" s="170" customFormat="1" ht="23.25" customHeight="1" thickBot="1">
      <c r="A24" s="188" t="s">
        <v>173</v>
      </c>
      <c r="B24" s="189">
        <v>20</v>
      </c>
      <c r="C24" s="190">
        <f>SUM(C6:C23)</f>
        <v>7729401.5299999993</v>
      </c>
      <c r="D24" s="190">
        <f>SUM(D6:D23)</f>
        <v>7686958.3600000013</v>
      </c>
      <c r="E24" s="52"/>
      <c r="F24" s="52"/>
      <c r="G24" s="52"/>
      <c r="H24" s="52"/>
      <c r="I24" s="52"/>
      <c r="J24" s="52"/>
      <c r="K24" s="52"/>
    </row>
    <row r="25" spans="1:11" s="170" customFormat="1" ht="12" customHeight="1">
      <c r="A25" s="191"/>
      <c r="B25" s="192"/>
      <c r="C25" s="192"/>
      <c r="D25" s="193"/>
      <c r="E25" s="194"/>
      <c r="F25" s="195"/>
      <c r="G25" s="195"/>
      <c r="H25" s="47"/>
      <c r="I25" s="52"/>
      <c r="J25" s="52"/>
      <c r="K25" s="52"/>
    </row>
    <row r="26" spans="1:11" s="198" customFormat="1" ht="13.15">
      <c r="A26" s="196" t="s">
        <v>222</v>
      </c>
      <c r="B26" s="196"/>
      <c r="C26" s="196"/>
      <c r="D26" s="197" t="s">
        <v>100</v>
      </c>
      <c r="E26" s="195"/>
      <c r="F26" s="195"/>
      <c r="G26" s="195"/>
      <c r="H26" s="195"/>
      <c r="I26" s="195"/>
      <c r="J26" s="195"/>
      <c r="K26" s="195"/>
    </row>
    <row r="27" spans="1:11" s="53" customFormat="1" ht="17.100000000000001" customHeight="1">
      <c r="A27" s="199"/>
      <c r="B27" s="200"/>
      <c r="C27" s="200"/>
      <c r="D27" s="201"/>
    </row>
    <row r="28" spans="1:11" s="53" customFormat="1">
      <c r="B28" s="202"/>
      <c r="C28" s="202"/>
    </row>
    <row r="29" spans="1:11" s="53" customFormat="1">
      <c r="B29" s="202"/>
      <c r="C29" s="202"/>
    </row>
    <row r="30" spans="1:11" s="53" customFormat="1">
      <c r="B30" s="202"/>
      <c r="C30" s="202"/>
    </row>
    <row r="31" spans="1:11" s="53" customFormat="1">
      <c r="B31" s="202"/>
      <c r="C31" s="202"/>
    </row>
    <row r="32" spans="1:11" s="53" customFormat="1">
      <c r="B32" s="202"/>
      <c r="C32" s="202"/>
    </row>
    <row r="33" spans="2:3" s="53" customFormat="1">
      <c r="B33" s="202"/>
      <c r="C33" s="202"/>
    </row>
    <row r="34" spans="2:3" s="53" customFormat="1">
      <c r="B34" s="202"/>
      <c r="C34" s="202"/>
    </row>
    <row r="35" spans="2:3" s="53" customFormat="1">
      <c r="B35" s="202"/>
      <c r="C35" s="202"/>
    </row>
    <row r="36" spans="2:3" s="53" customFormat="1">
      <c r="B36" s="202"/>
      <c r="C36" s="202"/>
    </row>
  </sheetData>
  <sheetProtection algorithmName="SHA-512" hashValue="3AW40CgQ8k4CaP9Y/125DhuOthG00mUThyXEFjkLlL3znfcc0U6VnH8dMO1OXRRALxWyfrGcKrN/X41hCTtbOg==" saltValue="aC0Pqvo4pVlE+75K6CnJhw==" spinCount="100000" sheet="1" objects="1" scenarios="1" formatColumns="0"/>
  <mergeCells count="1">
    <mergeCell ref="A1:D1"/>
  </mergeCells>
  <phoneticPr fontId="6" type="noConversion"/>
  <printOptions horizontalCentered="1"/>
  <pageMargins left="0.74803149606299213" right="0.74803149606299213" top="0.55118110236220474" bottom="0.55118110236220474" header="0.51181102362204722" footer="0.51181102362204722"/>
  <pageSetup paperSize="9" scale="8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FC11-2CFD-4EE2-A285-249009554949}">
  <sheetPr>
    <pageSetUpPr fitToPage="1"/>
  </sheetPr>
  <dimension ref="A1:AF690"/>
  <sheetViews>
    <sheetView showGridLines="0" workbookViewId="0">
      <pane ySplit="5" topLeftCell="A527" activePane="bottomLeft" state="frozen"/>
      <selection pane="bottomLeft" activeCell="V1" sqref="L1:V1048576"/>
      <selection activeCell="C48" sqref="C48"/>
    </sheetView>
  </sheetViews>
  <sheetFormatPr defaultColWidth="8.25" defaultRowHeight="13.15"/>
  <cols>
    <col min="1" max="1" width="0.875" style="204" customWidth="1"/>
    <col min="2" max="2" width="9.25" style="205" customWidth="1"/>
    <col min="3" max="3" width="24.125" style="205" bestFit="1" customWidth="1"/>
    <col min="4" max="4" width="11" style="206" customWidth="1"/>
    <col min="5" max="5" width="10.75" style="206" customWidth="1"/>
    <col min="6" max="6" width="13" style="206" customWidth="1"/>
    <col min="7" max="7" width="21.25" style="205" bestFit="1" customWidth="1"/>
    <col min="8" max="8" width="4.125" style="205" bestFit="1" customWidth="1"/>
    <col min="9" max="9" width="8.25" style="207"/>
    <col min="10" max="32" width="8.25" style="208"/>
    <col min="33" max="16384" width="8.25" style="205"/>
  </cols>
  <sheetData>
    <row r="1" spans="1:32" ht="6" customHeight="1"/>
    <row r="2" spans="1:32" ht="14.25" customHeight="1">
      <c r="B2" s="209">
        <f>[1]报表封面!D2</f>
        <v>0</v>
      </c>
      <c r="G2" s="210"/>
    </row>
    <row r="3" spans="1:32" ht="15.6">
      <c r="B3" s="211" t="s">
        <v>223</v>
      </c>
      <c r="H3" s="212" t="s">
        <v>224</v>
      </c>
    </row>
    <row r="4" spans="1:32">
      <c r="H4" s="210" t="s">
        <v>225</v>
      </c>
    </row>
    <row r="5" spans="1:32" ht="13.9" thickBot="1">
      <c r="B5" s="213" t="s">
        <v>226</v>
      </c>
      <c r="C5" s="213" t="s">
        <v>227</v>
      </c>
      <c r="D5" s="213" t="s">
        <v>228</v>
      </c>
      <c r="E5" s="213" t="s">
        <v>229</v>
      </c>
      <c r="F5" s="213" t="s">
        <v>230</v>
      </c>
      <c r="G5" s="213" t="s">
        <v>231</v>
      </c>
      <c r="H5" s="213" t="s">
        <v>232</v>
      </c>
      <c r="I5" s="214"/>
      <c r="J5" s="207" t="s">
        <v>233</v>
      </c>
      <c r="K5" s="208" t="s">
        <v>234</v>
      </c>
      <c r="L5" s="208" t="s">
        <v>235</v>
      </c>
      <c r="M5" s="208" t="s">
        <v>236</v>
      </c>
      <c r="N5" s="208" t="s">
        <v>237</v>
      </c>
      <c r="O5" s="208" t="s">
        <v>238</v>
      </c>
      <c r="P5" s="208" t="s">
        <v>239</v>
      </c>
      <c r="Q5" s="208" t="s">
        <v>240</v>
      </c>
      <c r="R5" s="208" t="s">
        <v>241</v>
      </c>
      <c r="S5" s="208" t="s">
        <v>242</v>
      </c>
      <c r="T5" s="208" t="s">
        <v>243</v>
      </c>
      <c r="U5" s="208" t="s">
        <v>244</v>
      </c>
      <c r="V5" s="208" t="s">
        <v>245</v>
      </c>
      <c r="W5" s="208" t="s">
        <v>246</v>
      </c>
      <c r="X5" s="208" t="s">
        <v>247</v>
      </c>
    </row>
    <row r="6" spans="1:32" s="214" customFormat="1" ht="11.65" customHeight="1" thickTop="1">
      <c r="A6" s="215"/>
      <c r="B6" s="216">
        <v>10000</v>
      </c>
      <c r="C6" s="214" t="s">
        <v>248</v>
      </c>
      <c r="D6" s="217">
        <v>0</v>
      </c>
      <c r="E6" s="217">
        <v>0</v>
      </c>
      <c r="F6" s="218">
        <f>D6+E6</f>
        <v>0</v>
      </c>
      <c r="G6" s="214" t="s">
        <v>249</v>
      </c>
      <c r="H6" s="219" t="s">
        <v>250</v>
      </c>
      <c r="J6" s="207" t="s">
        <v>13</v>
      </c>
      <c r="K6" s="207"/>
      <c r="L6" s="207">
        <f>IFERROR(SUMIF(data!$E:$E,科目余额表!$B6,data!H:H),0)</f>
        <v>0</v>
      </c>
      <c r="M6" s="207">
        <f>IFERROR(SUMIF(data!$E:$E,科目余额表!$B6,data!I:I),0)</f>
        <v>0</v>
      </c>
      <c r="N6" s="207">
        <f>IFERROR(SUMIF(data!$E:$E,科目余额表!$B6,data!J:J),0)</f>
        <v>0</v>
      </c>
      <c r="O6" s="207">
        <f>IFERROR(SUMIF(data!$E:$E,科目余额表!$B6,data!K:K),0)</f>
        <v>0</v>
      </c>
      <c r="P6" s="207">
        <f>IFERROR(SUMIF(data!$E:$E,科目余额表!$B6,data!L:L),0)</f>
        <v>0</v>
      </c>
      <c r="Q6" s="207">
        <f>IFERROR(SUMIF(data!$E:$E,科目余额表!$B6,data!M:M),0)</f>
        <v>0</v>
      </c>
      <c r="R6" s="207">
        <f>IFERROR(SUMIF(data!$E:$E,科目余额表!$B6,data!N:N),0)</f>
        <v>0</v>
      </c>
      <c r="S6" s="207">
        <f>IFERROR(SUMIF(data!$E:$E,科目余额表!$B6,data!O:O),0)</f>
        <v>0</v>
      </c>
      <c r="T6" s="207">
        <f>IFERROR(SUMIF(data!$E:$E,科目余额表!$B6,data!P:P),0)</f>
        <v>0</v>
      </c>
      <c r="U6" s="207">
        <f>IFERROR(SUMIF(data!$E:$E,科目余额表!$B6,data!Q:Q),0)</f>
        <v>0</v>
      </c>
      <c r="V6" s="207">
        <f>IFERROR(SUMIF(data!$E:$E,科目余额表!$B6,data!R:R),0)</f>
        <v>0</v>
      </c>
      <c r="W6" s="207">
        <f>IFERROR(SUMIF(data!$E:$E,科目余额表!$B6,data!S:S),0)</f>
        <v>0</v>
      </c>
      <c r="X6" s="207"/>
      <c r="Y6" s="207"/>
      <c r="Z6" s="207"/>
      <c r="AA6" s="207"/>
      <c r="AB6" s="207"/>
      <c r="AC6" s="207"/>
      <c r="AD6" s="207"/>
      <c r="AE6" s="207"/>
      <c r="AF6" s="207"/>
    </row>
    <row r="7" spans="1:32" s="214" customFormat="1" ht="11.65" customHeight="1">
      <c r="A7" s="215"/>
      <c r="B7" s="216">
        <v>10001</v>
      </c>
      <c r="C7" s="214" t="s">
        <v>251</v>
      </c>
      <c r="D7" s="217">
        <v>0</v>
      </c>
      <c r="E7" s="217">
        <v>0</v>
      </c>
      <c r="F7" s="218">
        <f t="shared" ref="F7:F70" si="0">D7+E7</f>
        <v>0</v>
      </c>
      <c r="G7" s="214" t="s">
        <v>249</v>
      </c>
      <c r="H7" s="219" t="s">
        <v>250</v>
      </c>
      <c r="J7" s="207" t="s">
        <v>13</v>
      </c>
      <c r="K7" s="207"/>
      <c r="L7" s="207">
        <f>IFERROR(SUMIF(data!$E:$E,科目余额表!$B7,data!H:H),0)</f>
        <v>0</v>
      </c>
      <c r="M7" s="207">
        <f>IFERROR(SUMIF(data!$E:$E,科目余额表!$B7,data!I:I),0)</f>
        <v>0</v>
      </c>
      <c r="N7" s="207">
        <f>IFERROR(SUMIF(data!$E:$E,科目余额表!$B7,data!J:J),0)</f>
        <v>0</v>
      </c>
      <c r="O7" s="207">
        <f>IFERROR(SUMIF(data!$E:$E,科目余额表!$B7,data!K:K),0)</f>
        <v>0</v>
      </c>
      <c r="P7" s="207">
        <f>IFERROR(SUMIF(data!$E:$E,科目余额表!$B7,data!L:L),0)</f>
        <v>0</v>
      </c>
      <c r="Q7" s="207">
        <f>IFERROR(SUMIF(data!$E:$E,科目余额表!$B7,data!M:M),0)</f>
        <v>0</v>
      </c>
      <c r="R7" s="207">
        <f>IFERROR(SUMIF(data!$E:$E,科目余额表!$B7,data!N:N),0)</f>
        <v>0</v>
      </c>
      <c r="S7" s="207">
        <f>IFERROR(SUMIF(data!$E:$E,科目余额表!$B7,data!O:O),0)</f>
        <v>0</v>
      </c>
      <c r="T7" s="207">
        <f>IFERROR(SUMIF(data!$E:$E,科目余额表!$B7,data!P:P),0)</f>
        <v>0</v>
      </c>
      <c r="U7" s="207">
        <f>IFERROR(SUMIF(data!$E:$E,科目余额表!$B7,data!Q:Q),0)</f>
        <v>0</v>
      </c>
      <c r="V7" s="207">
        <f>IFERROR(SUMIF(data!$E:$E,科目余额表!$B7,data!R:R),0)</f>
        <v>0</v>
      </c>
      <c r="W7" s="207">
        <f>IFERROR(SUMIF(data!$E:$E,科目余额表!$B7,data!S:S),0)</f>
        <v>0</v>
      </c>
      <c r="X7" s="207"/>
      <c r="Y7" s="207"/>
      <c r="Z7" s="207"/>
      <c r="AA7" s="207"/>
      <c r="AB7" s="207"/>
      <c r="AC7" s="207"/>
      <c r="AD7" s="207"/>
      <c r="AE7" s="207"/>
      <c r="AF7" s="207"/>
    </row>
    <row r="8" spans="1:32" s="214" customFormat="1" ht="11.65" customHeight="1">
      <c r="A8" s="215"/>
      <c r="B8" s="216">
        <v>10002</v>
      </c>
      <c r="C8" s="214" t="s">
        <v>252</v>
      </c>
      <c r="D8" s="217">
        <v>0</v>
      </c>
      <c r="E8" s="217">
        <v>0</v>
      </c>
      <c r="F8" s="218">
        <f t="shared" si="0"/>
        <v>0</v>
      </c>
      <c r="G8" s="214" t="s">
        <v>249</v>
      </c>
      <c r="H8" s="219" t="s">
        <v>250</v>
      </c>
      <c r="J8" s="207" t="s">
        <v>13</v>
      </c>
      <c r="K8" s="207"/>
      <c r="L8" s="207">
        <f>IFERROR(SUMIF(data!$E:$E,科目余额表!$B8,data!H:H),0)</f>
        <v>0</v>
      </c>
      <c r="M8" s="207">
        <f>IFERROR(SUMIF(data!$E:$E,科目余额表!$B8,data!I:I),0)</f>
        <v>0</v>
      </c>
      <c r="N8" s="207">
        <f>IFERROR(SUMIF(data!$E:$E,科目余额表!$B8,data!J:J),0)</f>
        <v>0</v>
      </c>
      <c r="O8" s="207">
        <f>IFERROR(SUMIF(data!$E:$E,科目余额表!$B8,data!K:K),0)</f>
        <v>0</v>
      </c>
      <c r="P8" s="207">
        <f>IFERROR(SUMIF(data!$E:$E,科目余额表!$B8,data!L:L),0)</f>
        <v>0</v>
      </c>
      <c r="Q8" s="207">
        <f>IFERROR(SUMIF(data!$E:$E,科目余额表!$B8,data!M:M),0)</f>
        <v>0</v>
      </c>
      <c r="R8" s="207">
        <f>IFERROR(SUMIF(data!$E:$E,科目余额表!$B8,data!N:N),0)</f>
        <v>0</v>
      </c>
      <c r="S8" s="207">
        <f>IFERROR(SUMIF(data!$E:$E,科目余额表!$B8,data!O:O),0)</f>
        <v>0</v>
      </c>
      <c r="T8" s="207">
        <f>IFERROR(SUMIF(data!$E:$E,科目余额表!$B8,data!P:P),0)</f>
        <v>0</v>
      </c>
      <c r="U8" s="207">
        <f>IFERROR(SUMIF(data!$E:$E,科目余额表!$B8,data!Q:Q),0)</f>
        <v>0</v>
      </c>
      <c r="V8" s="207">
        <f>IFERROR(SUMIF(data!$E:$E,科目余额表!$B8,data!R:R),0)</f>
        <v>0</v>
      </c>
      <c r="W8" s="207">
        <f>IFERROR(SUMIF(data!$E:$E,科目余额表!$B8,data!S:S),0)</f>
        <v>0</v>
      </c>
      <c r="X8" s="207"/>
      <c r="Y8" s="207"/>
      <c r="Z8" s="207"/>
      <c r="AA8" s="207"/>
      <c r="AB8" s="207"/>
      <c r="AC8" s="207"/>
      <c r="AD8" s="207"/>
      <c r="AE8" s="207"/>
      <c r="AF8" s="207"/>
    </row>
    <row r="9" spans="1:32" s="214" customFormat="1" ht="11.65" customHeight="1">
      <c r="A9" s="215"/>
      <c r="B9" s="216">
        <v>10003</v>
      </c>
      <c r="C9" s="214" t="s">
        <v>253</v>
      </c>
      <c r="D9" s="217">
        <v>0</v>
      </c>
      <c r="E9" s="217">
        <v>0</v>
      </c>
      <c r="F9" s="218">
        <f t="shared" si="0"/>
        <v>0</v>
      </c>
      <c r="G9" s="214" t="s">
        <v>249</v>
      </c>
      <c r="H9" s="219" t="s">
        <v>250</v>
      </c>
      <c r="J9" s="207" t="s">
        <v>13</v>
      </c>
      <c r="K9" s="207"/>
      <c r="L9" s="207">
        <f>IFERROR(SUMIF(data!$E:$E,科目余额表!$B9,data!H:H),0)</f>
        <v>0</v>
      </c>
      <c r="M9" s="207">
        <f>IFERROR(SUMIF(data!$E:$E,科目余额表!$B9,data!I:I),0)</f>
        <v>0</v>
      </c>
      <c r="N9" s="207">
        <f>IFERROR(SUMIF(data!$E:$E,科目余额表!$B9,data!J:J),0)</f>
        <v>0</v>
      </c>
      <c r="O9" s="207">
        <f>IFERROR(SUMIF(data!$E:$E,科目余额表!$B9,data!K:K),0)</f>
        <v>0</v>
      </c>
      <c r="P9" s="207">
        <f>IFERROR(SUMIF(data!$E:$E,科目余额表!$B9,data!L:L),0)</f>
        <v>0</v>
      </c>
      <c r="Q9" s="207">
        <f>IFERROR(SUMIF(data!$E:$E,科目余额表!$B9,data!M:M),0)</f>
        <v>0</v>
      </c>
      <c r="R9" s="207">
        <f>IFERROR(SUMIF(data!$E:$E,科目余额表!$B9,data!N:N),0)</f>
        <v>0</v>
      </c>
      <c r="S9" s="207">
        <f>IFERROR(SUMIF(data!$E:$E,科目余额表!$B9,data!O:O),0)</f>
        <v>0</v>
      </c>
      <c r="T9" s="207">
        <f>IFERROR(SUMIF(data!$E:$E,科目余额表!$B9,data!P:P),0)</f>
        <v>0</v>
      </c>
      <c r="U9" s="207">
        <f>IFERROR(SUMIF(data!$E:$E,科目余额表!$B9,data!Q:Q),0)</f>
        <v>0</v>
      </c>
      <c r="V9" s="207">
        <f>IFERROR(SUMIF(data!$E:$E,科目余额表!$B9,data!R:R),0)</f>
        <v>0</v>
      </c>
      <c r="W9" s="207">
        <f>IFERROR(SUMIF(data!$E:$E,科目余额表!$B9,data!S:S),0)</f>
        <v>0</v>
      </c>
      <c r="X9" s="207"/>
      <c r="Y9" s="207"/>
      <c r="Z9" s="207"/>
      <c r="AA9" s="207"/>
      <c r="AB9" s="207"/>
      <c r="AC9" s="207"/>
      <c r="AD9" s="207"/>
      <c r="AE9" s="207"/>
      <c r="AF9" s="207"/>
    </row>
    <row r="10" spans="1:32" s="214" customFormat="1" ht="11.65" customHeight="1">
      <c r="A10" s="215"/>
      <c r="B10" s="216">
        <v>10004</v>
      </c>
      <c r="C10" s="205" t="s">
        <v>254</v>
      </c>
      <c r="D10" s="217">
        <v>0</v>
      </c>
      <c r="E10" s="217">
        <v>0</v>
      </c>
      <c r="F10" s="218">
        <f t="shared" si="0"/>
        <v>0</v>
      </c>
      <c r="G10" s="214" t="s">
        <v>249</v>
      </c>
      <c r="H10" s="219" t="s">
        <v>250</v>
      </c>
      <c r="J10" s="207" t="s">
        <v>13</v>
      </c>
      <c r="K10" s="207"/>
      <c r="L10" s="207">
        <f>IFERROR(SUMIF(data!$E:$E,科目余额表!$B10,data!H:H),0)</f>
        <v>0</v>
      </c>
      <c r="M10" s="207">
        <f>IFERROR(SUMIF(data!$E:$E,科目余额表!$B10,data!I:I),0)</f>
        <v>0</v>
      </c>
      <c r="N10" s="207">
        <f>IFERROR(SUMIF(data!$E:$E,科目余额表!$B10,data!J:J),0)</f>
        <v>0</v>
      </c>
      <c r="O10" s="207">
        <f>IFERROR(SUMIF(data!$E:$E,科目余额表!$B10,data!K:K),0)</f>
        <v>0</v>
      </c>
      <c r="P10" s="207">
        <f>IFERROR(SUMIF(data!$E:$E,科目余额表!$B10,data!L:L),0)</f>
        <v>0</v>
      </c>
      <c r="Q10" s="207">
        <f>IFERROR(SUMIF(data!$E:$E,科目余额表!$B10,data!M:M),0)</f>
        <v>0</v>
      </c>
      <c r="R10" s="207">
        <f>IFERROR(SUMIF(data!$E:$E,科目余额表!$B10,data!N:N),0)</f>
        <v>0</v>
      </c>
      <c r="S10" s="207">
        <f>IFERROR(SUMIF(data!$E:$E,科目余额表!$B10,data!O:O),0)</f>
        <v>0</v>
      </c>
      <c r="T10" s="207">
        <f>IFERROR(SUMIF(data!$E:$E,科目余额表!$B10,data!P:P),0)</f>
        <v>0</v>
      </c>
      <c r="U10" s="207">
        <f>IFERROR(SUMIF(data!$E:$E,科目余额表!$B10,data!Q:Q),0)</f>
        <v>0</v>
      </c>
      <c r="V10" s="207">
        <f>IFERROR(SUMIF(data!$E:$E,科目余额表!$B10,data!R:R),0)</f>
        <v>0</v>
      </c>
      <c r="W10" s="207">
        <f>IFERROR(SUMIF(data!$E:$E,科目余额表!$B10,data!S:S),0)</f>
        <v>0</v>
      </c>
      <c r="X10" s="207"/>
      <c r="Y10" s="207"/>
      <c r="Z10" s="207"/>
      <c r="AA10" s="207"/>
      <c r="AB10" s="207"/>
      <c r="AC10" s="207"/>
      <c r="AD10" s="207"/>
      <c r="AE10" s="207"/>
      <c r="AF10" s="207"/>
    </row>
    <row r="11" spans="1:32" s="214" customFormat="1" ht="11.65" customHeight="1">
      <c r="A11" s="215"/>
      <c r="B11" s="216">
        <v>10005</v>
      </c>
      <c r="C11" s="214" t="s">
        <v>255</v>
      </c>
      <c r="D11" s="217">
        <v>0</v>
      </c>
      <c r="E11" s="217">
        <v>0</v>
      </c>
      <c r="F11" s="218">
        <f t="shared" si="0"/>
        <v>0</v>
      </c>
      <c r="G11" s="214" t="s">
        <v>249</v>
      </c>
      <c r="H11" s="219" t="s">
        <v>250</v>
      </c>
      <c r="J11" s="207" t="s">
        <v>13</v>
      </c>
      <c r="K11" s="207"/>
      <c r="L11" s="207">
        <f>IFERROR(SUMIF(data!$E:$E,科目余额表!$B11,data!H:H),0)</f>
        <v>0</v>
      </c>
      <c r="M11" s="207">
        <f>IFERROR(SUMIF(data!$E:$E,科目余额表!$B11,data!I:I),0)</f>
        <v>0</v>
      </c>
      <c r="N11" s="207">
        <f>IFERROR(SUMIF(data!$E:$E,科目余额表!$B11,data!J:J),0)</f>
        <v>0</v>
      </c>
      <c r="O11" s="207">
        <f>IFERROR(SUMIF(data!$E:$E,科目余额表!$B11,data!K:K),0)</f>
        <v>0</v>
      </c>
      <c r="P11" s="207">
        <f>IFERROR(SUMIF(data!$E:$E,科目余额表!$B11,data!L:L),0)</f>
        <v>0</v>
      </c>
      <c r="Q11" s="207">
        <f>IFERROR(SUMIF(data!$E:$E,科目余额表!$B11,data!M:M),0)</f>
        <v>0</v>
      </c>
      <c r="R11" s="207">
        <f>IFERROR(SUMIF(data!$E:$E,科目余额表!$B11,data!N:N),0)</f>
        <v>0</v>
      </c>
      <c r="S11" s="207">
        <f>IFERROR(SUMIF(data!$E:$E,科目余额表!$B11,data!O:O),0)</f>
        <v>0</v>
      </c>
      <c r="T11" s="207">
        <f>IFERROR(SUMIF(data!$E:$E,科目余额表!$B11,data!P:P),0)</f>
        <v>0</v>
      </c>
      <c r="U11" s="207">
        <f>IFERROR(SUMIF(data!$E:$E,科目余额表!$B11,data!Q:Q),0)</f>
        <v>0</v>
      </c>
      <c r="V11" s="207">
        <f>IFERROR(SUMIF(data!$E:$E,科目余额表!$B11,data!R:R),0)</f>
        <v>0</v>
      </c>
      <c r="W11" s="207">
        <f>IFERROR(SUMIF(data!$E:$E,科目余额表!$B11,data!S:S),0)</f>
        <v>0</v>
      </c>
      <c r="X11" s="207"/>
      <c r="Y11" s="207"/>
      <c r="Z11" s="207"/>
      <c r="AA11" s="207"/>
      <c r="AB11" s="207"/>
      <c r="AC11" s="207"/>
      <c r="AD11" s="207"/>
      <c r="AE11" s="207"/>
      <c r="AF11" s="207"/>
    </row>
    <row r="12" spans="1:32" s="214" customFormat="1" ht="11.65" customHeight="1">
      <c r="A12" s="215"/>
      <c r="B12" s="216">
        <v>10006</v>
      </c>
      <c r="C12" s="214" t="s">
        <v>256</v>
      </c>
      <c r="D12" s="217">
        <v>0</v>
      </c>
      <c r="E12" s="217">
        <v>0</v>
      </c>
      <c r="F12" s="218">
        <f t="shared" si="0"/>
        <v>0</v>
      </c>
      <c r="G12" s="214" t="s">
        <v>249</v>
      </c>
      <c r="H12" s="219" t="s">
        <v>250</v>
      </c>
      <c r="J12" s="207" t="s">
        <v>13</v>
      </c>
      <c r="K12" s="207"/>
      <c r="L12" s="207">
        <f>IFERROR(SUMIF(data!$E:$E,科目余额表!$B12,data!H:H),0)</f>
        <v>0</v>
      </c>
      <c r="M12" s="207">
        <f>IFERROR(SUMIF(data!$E:$E,科目余额表!$B12,data!I:I),0)</f>
        <v>0</v>
      </c>
      <c r="N12" s="207">
        <f>IFERROR(SUMIF(data!$E:$E,科目余额表!$B12,data!J:J),0)</f>
        <v>0</v>
      </c>
      <c r="O12" s="207">
        <f>IFERROR(SUMIF(data!$E:$E,科目余额表!$B12,data!K:K),0)</f>
        <v>0</v>
      </c>
      <c r="P12" s="207">
        <f>IFERROR(SUMIF(data!$E:$E,科目余额表!$B12,data!L:L),0)</f>
        <v>0</v>
      </c>
      <c r="Q12" s="207">
        <f>IFERROR(SUMIF(data!$E:$E,科目余额表!$B12,data!M:M),0)</f>
        <v>0</v>
      </c>
      <c r="R12" s="207">
        <f>IFERROR(SUMIF(data!$E:$E,科目余额表!$B12,data!N:N),0)</f>
        <v>0</v>
      </c>
      <c r="S12" s="207">
        <f>IFERROR(SUMIF(data!$E:$E,科目余额表!$B12,data!O:O),0)</f>
        <v>0</v>
      </c>
      <c r="T12" s="207">
        <f>IFERROR(SUMIF(data!$E:$E,科目余额表!$B12,data!P:P),0)</f>
        <v>0</v>
      </c>
      <c r="U12" s="207">
        <f>IFERROR(SUMIF(data!$E:$E,科目余额表!$B12,data!Q:Q),0)</f>
        <v>0</v>
      </c>
      <c r="V12" s="207">
        <f>IFERROR(SUMIF(data!$E:$E,科目余额表!$B12,data!R:R),0)</f>
        <v>0</v>
      </c>
      <c r="W12" s="207">
        <f>IFERROR(SUMIF(data!$E:$E,科目余额表!$B12,data!S:S),0)</f>
        <v>0</v>
      </c>
      <c r="X12" s="207"/>
      <c r="Y12" s="207"/>
      <c r="Z12" s="207"/>
      <c r="AA12" s="207"/>
      <c r="AB12" s="207"/>
      <c r="AC12" s="207"/>
      <c r="AD12" s="207"/>
      <c r="AE12" s="207"/>
      <c r="AF12" s="207"/>
    </row>
    <row r="13" spans="1:32" s="214" customFormat="1" ht="11.65" customHeight="1">
      <c r="A13" s="215"/>
      <c r="B13" s="216">
        <v>10007</v>
      </c>
      <c r="C13" s="214" t="s">
        <v>257</v>
      </c>
      <c r="D13" s="217">
        <v>0</v>
      </c>
      <c r="E13" s="217">
        <v>0</v>
      </c>
      <c r="F13" s="218">
        <f t="shared" si="0"/>
        <v>0</v>
      </c>
      <c r="G13" s="214" t="s">
        <v>249</v>
      </c>
      <c r="H13" s="219" t="s">
        <v>250</v>
      </c>
      <c r="J13" s="207" t="s">
        <v>13</v>
      </c>
      <c r="K13" s="207"/>
      <c r="L13" s="207">
        <f>IFERROR(SUMIF(data!$E:$E,科目余额表!$B13,data!H:H),0)</f>
        <v>0</v>
      </c>
      <c r="M13" s="207">
        <f>IFERROR(SUMIF(data!$E:$E,科目余额表!$B13,data!I:I),0)</f>
        <v>0</v>
      </c>
      <c r="N13" s="207">
        <f>IFERROR(SUMIF(data!$E:$E,科目余额表!$B13,data!J:J),0)</f>
        <v>0</v>
      </c>
      <c r="O13" s="207">
        <f>IFERROR(SUMIF(data!$E:$E,科目余额表!$B13,data!K:K),0)</f>
        <v>0</v>
      </c>
      <c r="P13" s="207">
        <f>IFERROR(SUMIF(data!$E:$E,科目余额表!$B13,data!L:L),0)</f>
        <v>0</v>
      </c>
      <c r="Q13" s="207">
        <f>IFERROR(SUMIF(data!$E:$E,科目余额表!$B13,data!M:M),0)</f>
        <v>0</v>
      </c>
      <c r="R13" s="207">
        <f>IFERROR(SUMIF(data!$E:$E,科目余额表!$B13,data!N:N),0)</f>
        <v>0</v>
      </c>
      <c r="S13" s="207">
        <f>IFERROR(SUMIF(data!$E:$E,科目余额表!$B13,data!O:O),0)</f>
        <v>0</v>
      </c>
      <c r="T13" s="207">
        <f>IFERROR(SUMIF(data!$E:$E,科目余额表!$B13,data!P:P),0)</f>
        <v>0</v>
      </c>
      <c r="U13" s="207">
        <f>IFERROR(SUMIF(data!$E:$E,科目余额表!$B13,data!Q:Q),0)</f>
        <v>0</v>
      </c>
      <c r="V13" s="207">
        <f>IFERROR(SUMIF(data!$E:$E,科目余额表!$B13,data!R:R),0)</f>
        <v>0</v>
      </c>
      <c r="W13" s="207">
        <f>IFERROR(SUMIF(data!$E:$E,科目余额表!$B13,data!S:S),0)</f>
        <v>0</v>
      </c>
      <c r="X13" s="207"/>
      <c r="Y13" s="207"/>
      <c r="Z13" s="207"/>
      <c r="AA13" s="207"/>
      <c r="AB13" s="207"/>
      <c r="AC13" s="207"/>
      <c r="AD13" s="207"/>
      <c r="AE13" s="207"/>
      <c r="AF13" s="207"/>
    </row>
    <row r="14" spans="1:32" s="214" customFormat="1" ht="11.65" customHeight="1">
      <c r="A14" s="215"/>
      <c r="B14" s="216">
        <v>10008</v>
      </c>
      <c r="C14" s="214" t="s">
        <v>258</v>
      </c>
      <c r="D14" s="217">
        <v>0</v>
      </c>
      <c r="E14" s="217">
        <v>0</v>
      </c>
      <c r="F14" s="218">
        <f t="shared" si="0"/>
        <v>0</v>
      </c>
      <c r="G14" s="214" t="s">
        <v>249</v>
      </c>
      <c r="H14" s="219" t="s">
        <v>250</v>
      </c>
      <c r="J14" s="207" t="s">
        <v>13</v>
      </c>
      <c r="K14" s="207"/>
      <c r="L14" s="207">
        <f>IFERROR(SUMIF(data!$E:$E,科目余额表!$B14,data!H:H),0)</f>
        <v>0</v>
      </c>
      <c r="M14" s="207">
        <f>IFERROR(SUMIF(data!$E:$E,科目余额表!$B14,data!I:I),0)</f>
        <v>0</v>
      </c>
      <c r="N14" s="207">
        <f>IFERROR(SUMIF(data!$E:$E,科目余额表!$B14,data!J:J),0)</f>
        <v>0</v>
      </c>
      <c r="O14" s="207">
        <f>IFERROR(SUMIF(data!$E:$E,科目余额表!$B14,data!K:K),0)</f>
        <v>0</v>
      </c>
      <c r="P14" s="207">
        <f>IFERROR(SUMIF(data!$E:$E,科目余额表!$B14,data!L:L),0)</f>
        <v>0</v>
      </c>
      <c r="Q14" s="207">
        <f>IFERROR(SUMIF(data!$E:$E,科目余额表!$B14,data!M:M),0)</f>
        <v>0</v>
      </c>
      <c r="R14" s="207">
        <f>IFERROR(SUMIF(data!$E:$E,科目余额表!$B14,data!N:N),0)</f>
        <v>0</v>
      </c>
      <c r="S14" s="207">
        <f>IFERROR(SUMIF(data!$E:$E,科目余额表!$B14,data!O:O),0)</f>
        <v>0</v>
      </c>
      <c r="T14" s="207">
        <f>IFERROR(SUMIF(data!$E:$E,科目余额表!$B14,data!P:P),0)</f>
        <v>0</v>
      </c>
      <c r="U14" s="207">
        <f>IFERROR(SUMIF(data!$E:$E,科目余额表!$B14,data!Q:Q),0)</f>
        <v>0</v>
      </c>
      <c r="V14" s="207">
        <f>IFERROR(SUMIF(data!$E:$E,科目余额表!$B14,data!R:R),0)</f>
        <v>0</v>
      </c>
      <c r="W14" s="207">
        <f>IFERROR(SUMIF(data!$E:$E,科目余额表!$B14,data!S:S),0)</f>
        <v>0</v>
      </c>
      <c r="X14" s="207"/>
      <c r="Y14" s="207"/>
      <c r="Z14" s="207"/>
      <c r="AA14" s="207"/>
      <c r="AB14" s="207"/>
      <c r="AC14" s="207"/>
      <c r="AD14" s="207"/>
      <c r="AE14" s="207"/>
      <c r="AF14" s="207"/>
    </row>
    <row r="15" spans="1:32" s="214" customFormat="1" ht="11.65" customHeight="1">
      <c r="A15" s="215"/>
      <c r="B15" s="216">
        <v>10200</v>
      </c>
      <c r="C15" s="214" t="s">
        <v>259</v>
      </c>
      <c r="D15" s="217">
        <v>0</v>
      </c>
      <c r="E15" s="217">
        <v>0</v>
      </c>
      <c r="F15" s="218">
        <f t="shared" si="0"/>
        <v>0</v>
      </c>
      <c r="G15" s="214" t="s">
        <v>249</v>
      </c>
      <c r="H15" s="219" t="s">
        <v>250</v>
      </c>
      <c r="J15" s="207" t="s">
        <v>260</v>
      </c>
      <c r="K15" s="207"/>
      <c r="L15" s="207">
        <f>IFERROR(SUMIF(data!$E:$E,科目余额表!$B15,data!H:H),0)</f>
        <v>0</v>
      </c>
      <c r="M15" s="207">
        <f>IFERROR(SUMIF(data!$E:$E,科目余额表!$B15,data!I:I),0)</f>
        <v>0</v>
      </c>
      <c r="N15" s="207">
        <f>IFERROR(SUMIF(data!$E:$E,科目余额表!$B15,data!J:J),0)</f>
        <v>0</v>
      </c>
      <c r="O15" s="207">
        <f>IFERROR(SUMIF(data!$E:$E,科目余额表!$B15,data!K:K),0)</f>
        <v>0</v>
      </c>
      <c r="P15" s="207">
        <f>IFERROR(SUMIF(data!$E:$E,科目余额表!$B15,data!L:L),0)</f>
        <v>0</v>
      </c>
      <c r="Q15" s="207">
        <f>IFERROR(SUMIF(data!$E:$E,科目余额表!$B15,data!M:M),0)</f>
        <v>0</v>
      </c>
      <c r="R15" s="207">
        <f>IFERROR(SUMIF(data!$E:$E,科目余额表!$B15,data!N:N),0)</f>
        <v>0</v>
      </c>
      <c r="S15" s="207">
        <f>IFERROR(SUMIF(data!$E:$E,科目余额表!$B15,data!O:O),0)</f>
        <v>0</v>
      </c>
      <c r="T15" s="207">
        <f>IFERROR(SUMIF(data!$E:$E,科目余额表!$B15,data!P:P),0)</f>
        <v>0</v>
      </c>
      <c r="U15" s="207">
        <f>IFERROR(SUMIF(data!$E:$E,科目余额表!$B15,data!Q:Q),0)</f>
        <v>0</v>
      </c>
      <c r="V15" s="207">
        <f>IFERROR(SUMIF(data!$E:$E,科目余额表!$B15,data!R:R),0)</f>
        <v>0</v>
      </c>
      <c r="W15" s="207">
        <f>IFERROR(SUMIF(data!$E:$E,科目余额表!$B15,data!S:S),0)</f>
        <v>0</v>
      </c>
      <c r="X15" s="207"/>
      <c r="Y15" s="207"/>
      <c r="Z15" s="207"/>
      <c r="AA15" s="207"/>
      <c r="AB15" s="207"/>
      <c r="AC15" s="207"/>
      <c r="AD15" s="207"/>
      <c r="AE15" s="207"/>
      <c r="AF15" s="207"/>
    </row>
    <row r="16" spans="1:32" s="214" customFormat="1" ht="11.65" customHeight="1">
      <c r="A16" s="215"/>
      <c r="B16" s="216">
        <v>10201</v>
      </c>
      <c r="C16" s="214" t="s">
        <v>261</v>
      </c>
      <c r="D16" s="217">
        <v>0</v>
      </c>
      <c r="E16" s="217">
        <v>0</v>
      </c>
      <c r="F16" s="218">
        <f t="shared" si="0"/>
        <v>0</v>
      </c>
      <c r="G16" s="214" t="s">
        <v>249</v>
      </c>
      <c r="H16" s="219" t="s">
        <v>250</v>
      </c>
      <c r="J16" s="207" t="s">
        <v>260</v>
      </c>
      <c r="K16" s="207"/>
      <c r="L16" s="207">
        <f>IFERROR(SUMIF(data!$E:$E,科目余额表!$B16,data!H:H),0)</f>
        <v>0</v>
      </c>
      <c r="M16" s="207">
        <f>IFERROR(SUMIF(data!$E:$E,科目余额表!$B16,data!I:I),0)</f>
        <v>0</v>
      </c>
      <c r="N16" s="207">
        <f>IFERROR(SUMIF(data!$E:$E,科目余额表!$B16,data!J:J),0)</f>
        <v>0</v>
      </c>
      <c r="O16" s="207">
        <f>IFERROR(SUMIF(data!$E:$E,科目余额表!$B16,data!K:K),0)</f>
        <v>0</v>
      </c>
      <c r="P16" s="207">
        <f>IFERROR(SUMIF(data!$E:$E,科目余额表!$B16,data!L:L),0)</f>
        <v>0</v>
      </c>
      <c r="Q16" s="207">
        <f>IFERROR(SUMIF(data!$E:$E,科目余额表!$B16,data!M:M),0)</f>
        <v>0</v>
      </c>
      <c r="R16" s="207">
        <f>IFERROR(SUMIF(data!$E:$E,科目余额表!$B16,data!N:N),0)</f>
        <v>0</v>
      </c>
      <c r="S16" s="207">
        <f>IFERROR(SUMIF(data!$E:$E,科目余额表!$B16,data!O:O),0)</f>
        <v>0</v>
      </c>
      <c r="T16" s="207">
        <f>IFERROR(SUMIF(data!$E:$E,科目余额表!$B16,data!P:P),0)</f>
        <v>0</v>
      </c>
      <c r="U16" s="207">
        <f>IFERROR(SUMIF(data!$E:$E,科目余额表!$B16,data!Q:Q),0)</f>
        <v>0</v>
      </c>
      <c r="V16" s="207">
        <f>IFERROR(SUMIF(data!$E:$E,科目余额表!$B16,data!R:R),0)</f>
        <v>0</v>
      </c>
      <c r="W16" s="207">
        <f>IFERROR(SUMIF(data!$E:$E,科目余额表!$B16,data!S:S),0)</f>
        <v>0</v>
      </c>
      <c r="X16" s="207"/>
      <c r="Y16" s="207"/>
      <c r="Z16" s="207"/>
      <c r="AA16" s="207"/>
      <c r="AB16" s="207"/>
      <c r="AC16" s="207"/>
      <c r="AD16" s="207"/>
      <c r="AE16" s="207"/>
      <c r="AF16" s="207"/>
    </row>
    <row r="17" spans="1:32" s="214" customFormat="1" ht="11.65" customHeight="1">
      <c r="A17" s="215"/>
      <c r="B17" s="220">
        <v>10202</v>
      </c>
      <c r="C17" s="205" t="s">
        <v>262</v>
      </c>
      <c r="D17" s="221">
        <v>502911.93</v>
      </c>
      <c r="E17" s="221">
        <v>-373696.36</v>
      </c>
      <c r="F17" s="222">
        <f t="shared" si="0"/>
        <v>129215.57</v>
      </c>
      <c r="G17" s="205" t="s">
        <v>249</v>
      </c>
      <c r="H17" s="219" t="s">
        <v>250</v>
      </c>
      <c r="J17" s="207" t="s">
        <v>260</v>
      </c>
      <c r="K17" s="207"/>
      <c r="L17" s="207">
        <f>IFERROR(SUMIF(data!$E:$E,科目余额表!$B17,data!H:H),0)</f>
        <v>266055.71000000002</v>
      </c>
      <c r="M17" s="207">
        <f>IFERROR(SUMIF(data!$E:$E,科目余额表!$B17,data!I:I),0)</f>
        <v>1861432.08</v>
      </c>
      <c r="N17" s="207">
        <f>IFERROR(SUMIF(data!$E:$E,科目余额表!$B17,data!J:J),0)</f>
        <v>416772.27</v>
      </c>
      <c r="O17" s="207">
        <f>IFERROR(SUMIF(data!$E:$E,科目余额表!$B17,data!K:K),0)</f>
        <v>1983004.84</v>
      </c>
      <c r="P17" s="207">
        <f>IFERROR(SUMIF(data!$E:$E,科目余额表!$B17,data!L:L),0)</f>
        <v>1971149.87</v>
      </c>
      <c r="Q17" s="207">
        <f>IFERROR(SUMIF(data!$E:$E,科目余额表!$B17,data!M:M),0)</f>
        <v>326646.65000000002</v>
      </c>
      <c r="R17" s="207">
        <f>IFERROR(SUMIF(data!$E:$E,科目余额表!$B17,data!N:N),0)</f>
        <v>695858.93</v>
      </c>
      <c r="S17" s="207">
        <f>IFERROR(SUMIF(data!$E:$E,科目余额表!$B17,data!O:O),0)</f>
        <v>743383.3</v>
      </c>
      <c r="T17" s="207">
        <f>IFERROR(SUMIF(data!$E:$E,科目余额表!$B17,data!P:P),0)</f>
        <v>181528.37</v>
      </c>
      <c r="U17" s="207">
        <f>IFERROR(SUMIF(data!$E:$E,科目余额表!$B17,data!Q:Q),0)</f>
        <v>1038594.72</v>
      </c>
      <c r="V17" s="207">
        <f>IFERROR(SUMIF(data!$E:$E,科目余额表!$B17,data!R:R),0)</f>
        <v>502911.93</v>
      </c>
      <c r="W17" s="207">
        <f>IFERROR(SUMIF(data!$E:$E,科目余额表!$B17,data!S:S),0)</f>
        <v>129215.57</v>
      </c>
      <c r="X17" s="207"/>
      <c r="Y17" s="207"/>
      <c r="Z17" s="207"/>
      <c r="AA17" s="207"/>
      <c r="AB17" s="207"/>
      <c r="AC17" s="207"/>
      <c r="AD17" s="207"/>
      <c r="AE17" s="207"/>
      <c r="AF17" s="207"/>
    </row>
    <row r="18" spans="1:32" s="214" customFormat="1" ht="11.65" customHeight="1">
      <c r="A18" s="215"/>
      <c r="B18" s="220">
        <v>10203</v>
      </c>
      <c r="C18" s="205" t="s">
        <v>263</v>
      </c>
      <c r="D18" s="221">
        <v>0</v>
      </c>
      <c r="E18" s="221">
        <v>0</v>
      </c>
      <c r="F18" s="222">
        <f t="shared" si="0"/>
        <v>0</v>
      </c>
      <c r="G18" s="205" t="s">
        <v>249</v>
      </c>
      <c r="H18" s="219" t="s">
        <v>250</v>
      </c>
      <c r="J18" s="207" t="s">
        <v>260</v>
      </c>
      <c r="K18" s="207"/>
      <c r="L18" s="207">
        <f>IFERROR(SUMIF(data!$E:$E,科目余额表!$B18,data!H:H),0)</f>
        <v>0</v>
      </c>
      <c r="M18" s="207">
        <f>IFERROR(SUMIF(data!$E:$E,科目余额表!$B18,data!I:I),0)</f>
        <v>0</v>
      </c>
      <c r="N18" s="207">
        <f>IFERROR(SUMIF(data!$E:$E,科目余额表!$B18,data!J:J),0)</f>
        <v>0</v>
      </c>
      <c r="O18" s="207">
        <f>IFERROR(SUMIF(data!$E:$E,科目余额表!$B18,data!K:K),0)</f>
        <v>0</v>
      </c>
      <c r="P18" s="207">
        <f>IFERROR(SUMIF(data!$E:$E,科目余额表!$B18,data!L:L),0)</f>
        <v>0</v>
      </c>
      <c r="Q18" s="207">
        <f>IFERROR(SUMIF(data!$E:$E,科目余额表!$B18,data!M:M),0)</f>
        <v>0</v>
      </c>
      <c r="R18" s="207">
        <f>IFERROR(SUMIF(data!$E:$E,科目余额表!$B18,data!N:N),0)</f>
        <v>0</v>
      </c>
      <c r="S18" s="207">
        <f>IFERROR(SUMIF(data!$E:$E,科目余额表!$B18,data!O:O),0)</f>
        <v>0</v>
      </c>
      <c r="T18" s="207">
        <f>IFERROR(SUMIF(data!$E:$E,科目余额表!$B18,data!P:P),0)</f>
        <v>0</v>
      </c>
      <c r="U18" s="207">
        <f>IFERROR(SUMIF(data!$E:$E,科目余额表!$B18,data!Q:Q),0)</f>
        <v>0</v>
      </c>
      <c r="V18" s="207">
        <f>IFERROR(SUMIF(data!$E:$E,科目余额表!$B18,data!R:R),0)</f>
        <v>0</v>
      </c>
      <c r="W18" s="207">
        <f>IFERROR(SUMIF(data!$E:$E,科目余额表!$B18,data!S:S),0)</f>
        <v>0</v>
      </c>
      <c r="X18" s="207"/>
      <c r="Y18" s="207"/>
      <c r="Z18" s="207"/>
      <c r="AA18" s="207"/>
      <c r="AB18" s="207"/>
      <c r="AC18" s="207"/>
      <c r="AD18" s="207"/>
      <c r="AE18" s="207"/>
      <c r="AF18" s="207"/>
    </row>
    <row r="19" spans="1:32" s="214" customFormat="1" ht="11.65" customHeight="1">
      <c r="A19" s="215"/>
      <c r="B19" s="220">
        <v>10204</v>
      </c>
      <c r="C19" s="205" t="s">
        <v>264</v>
      </c>
      <c r="D19" s="221">
        <v>1919054.76</v>
      </c>
      <c r="E19" s="221">
        <v>7401556.2300000004</v>
      </c>
      <c r="F19" s="222">
        <f t="shared" si="0"/>
        <v>9320610.9900000002</v>
      </c>
      <c r="G19" s="205" t="s">
        <v>249</v>
      </c>
      <c r="H19" s="219" t="s">
        <v>250</v>
      </c>
      <c r="J19" s="207" t="s">
        <v>260</v>
      </c>
      <c r="K19" s="207"/>
      <c r="L19" s="207">
        <f>IFERROR(SUMIF(data!$E:$E,科目余额表!$B19,data!H:H),0)</f>
        <v>11374088.51</v>
      </c>
      <c r="M19" s="207">
        <f>IFERROR(SUMIF(data!$E:$E,科目余额表!$B19,data!I:I),0)</f>
        <v>7942766.7999999998</v>
      </c>
      <c r="N19" s="207">
        <f>IFERROR(SUMIF(data!$E:$E,科目余额表!$B19,data!J:J),0)</f>
        <v>3831821.01</v>
      </c>
      <c r="O19" s="207">
        <f>IFERROR(SUMIF(data!$E:$E,科目余额表!$B19,data!K:K),0)</f>
        <v>1339587.45</v>
      </c>
      <c r="P19" s="207">
        <f>IFERROR(SUMIF(data!$E:$E,科目余额表!$B19,data!L:L),0)</f>
        <v>4278601.8899999997</v>
      </c>
      <c r="Q19" s="207">
        <f>IFERROR(SUMIF(data!$E:$E,科目余额表!$B19,data!M:M),0)</f>
        <v>3599572.16</v>
      </c>
      <c r="R19" s="207">
        <f>IFERROR(SUMIF(data!$E:$E,科目余额表!$B19,data!N:N),0)</f>
        <v>5664883.6600000001</v>
      </c>
      <c r="S19" s="207">
        <f>IFERROR(SUMIF(data!$E:$E,科目余额表!$B19,data!O:O),0)</f>
        <v>4307472.84</v>
      </c>
      <c r="T19" s="207">
        <f>IFERROR(SUMIF(data!$E:$E,科目余额表!$B19,data!P:P),0)</f>
        <v>5965452.5099999998</v>
      </c>
      <c r="U19" s="207">
        <f>IFERROR(SUMIF(data!$E:$E,科目余额表!$B19,data!Q:Q),0)</f>
        <v>6981396.5999999996</v>
      </c>
      <c r="V19" s="207">
        <f>IFERROR(SUMIF(data!$E:$E,科目余额表!$B19,data!R:R),0)</f>
        <v>1919054.76</v>
      </c>
      <c r="W19" s="207">
        <f>IFERROR(SUMIF(data!$E:$E,科目余额表!$B19,data!S:S),0)</f>
        <v>9320610.9900000002</v>
      </c>
      <c r="X19" s="207"/>
      <c r="Y19" s="207"/>
      <c r="Z19" s="207"/>
      <c r="AA19" s="207"/>
      <c r="AB19" s="207"/>
      <c r="AC19" s="207"/>
      <c r="AD19" s="207"/>
      <c r="AE19" s="207"/>
      <c r="AF19" s="207"/>
    </row>
    <row r="20" spans="1:32" s="214" customFormat="1" ht="11.65" customHeight="1">
      <c r="A20" s="215"/>
      <c r="B20" s="220">
        <v>10205</v>
      </c>
      <c r="C20" s="205" t="s">
        <v>265</v>
      </c>
      <c r="D20" s="221">
        <v>0</v>
      </c>
      <c r="E20" s="221">
        <v>0</v>
      </c>
      <c r="F20" s="222">
        <f t="shared" si="0"/>
        <v>0</v>
      </c>
      <c r="G20" s="205" t="s">
        <v>249</v>
      </c>
      <c r="H20" s="219" t="s">
        <v>250</v>
      </c>
      <c r="J20" s="207" t="s">
        <v>260</v>
      </c>
      <c r="K20" s="207"/>
      <c r="L20" s="207">
        <f>IFERROR(SUMIF(data!$E:$E,科目余额表!$B20,data!H:H),0)</f>
        <v>0</v>
      </c>
      <c r="M20" s="207">
        <f>IFERROR(SUMIF(data!$E:$E,科目余额表!$B20,data!I:I),0)</f>
        <v>0</v>
      </c>
      <c r="N20" s="207">
        <f>IFERROR(SUMIF(data!$E:$E,科目余额表!$B20,data!J:J),0)</f>
        <v>0</v>
      </c>
      <c r="O20" s="207">
        <f>IFERROR(SUMIF(data!$E:$E,科目余额表!$B20,data!K:K),0)</f>
        <v>0</v>
      </c>
      <c r="P20" s="207">
        <f>IFERROR(SUMIF(data!$E:$E,科目余额表!$B20,data!L:L),0)</f>
        <v>0</v>
      </c>
      <c r="Q20" s="207">
        <f>IFERROR(SUMIF(data!$E:$E,科目余额表!$B20,data!M:M),0)</f>
        <v>0</v>
      </c>
      <c r="R20" s="207">
        <f>IFERROR(SUMIF(data!$E:$E,科目余额表!$B20,data!N:N),0)</f>
        <v>0</v>
      </c>
      <c r="S20" s="207">
        <f>IFERROR(SUMIF(data!$E:$E,科目余额表!$B20,data!O:O),0)</f>
        <v>0</v>
      </c>
      <c r="T20" s="207">
        <f>IFERROR(SUMIF(data!$E:$E,科目余额表!$B20,data!P:P),0)</f>
        <v>0</v>
      </c>
      <c r="U20" s="207">
        <f>IFERROR(SUMIF(data!$E:$E,科目余额表!$B20,data!Q:Q),0)</f>
        <v>0</v>
      </c>
      <c r="V20" s="207">
        <f>IFERROR(SUMIF(data!$E:$E,科目余额表!$B20,data!R:R),0)</f>
        <v>0</v>
      </c>
      <c r="W20" s="207">
        <f>IFERROR(SUMIF(data!$E:$E,科目余额表!$B20,data!S:S),0)</f>
        <v>0</v>
      </c>
      <c r="X20" s="207"/>
      <c r="Y20" s="207"/>
      <c r="Z20" s="207"/>
      <c r="AA20" s="207"/>
      <c r="AB20" s="207"/>
      <c r="AC20" s="207"/>
      <c r="AD20" s="207"/>
      <c r="AE20" s="207"/>
      <c r="AF20" s="207"/>
    </row>
    <row r="21" spans="1:32" s="214" customFormat="1" ht="11.65" customHeight="1">
      <c r="A21" s="215"/>
      <c r="B21" s="220">
        <v>10206</v>
      </c>
      <c r="C21" s="205" t="s">
        <v>266</v>
      </c>
      <c r="D21" s="221">
        <v>0</v>
      </c>
      <c r="E21" s="221">
        <v>0</v>
      </c>
      <c r="F21" s="222">
        <f t="shared" si="0"/>
        <v>0</v>
      </c>
      <c r="G21" s="205" t="s">
        <v>249</v>
      </c>
      <c r="H21" s="219" t="s">
        <v>250</v>
      </c>
      <c r="J21" s="207" t="s">
        <v>260</v>
      </c>
      <c r="K21" s="207"/>
      <c r="L21" s="207">
        <f>IFERROR(SUMIF(data!$E:$E,科目余额表!$B21,data!H:H),0)</f>
        <v>0</v>
      </c>
      <c r="M21" s="207">
        <f>IFERROR(SUMIF(data!$E:$E,科目余额表!$B21,data!I:I),0)</f>
        <v>0</v>
      </c>
      <c r="N21" s="207">
        <f>IFERROR(SUMIF(data!$E:$E,科目余额表!$B21,data!J:J),0)</f>
        <v>0</v>
      </c>
      <c r="O21" s="207">
        <f>IFERROR(SUMIF(data!$E:$E,科目余额表!$B21,data!K:K),0)</f>
        <v>0</v>
      </c>
      <c r="P21" s="207">
        <f>IFERROR(SUMIF(data!$E:$E,科目余额表!$B21,data!L:L),0)</f>
        <v>0</v>
      </c>
      <c r="Q21" s="207">
        <f>IFERROR(SUMIF(data!$E:$E,科目余额表!$B21,data!M:M),0)</f>
        <v>0</v>
      </c>
      <c r="R21" s="207">
        <f>IFERROR(SUMIF(data!$E:$E,科目余额表!$B21,data!N:N),0)</f>
        <v>0</v>
      </c>
      <c r="S21" s="207">
        <f>IFERROR(SUMIF(data!$E:$E,科目余额表!$B21,data!O:O),0)</f>
        <v>0</v>
      </c>
      <c r="T21" s="207">
        <f>IFERROR(SUMIF(data!$E:$E,科目余额表!$B21,data!P:P),0)</f>
        <v>0</v>
      </c>
      <c r="U21" s="207">
        <f>IFERROR(SUMIF(data!$E:$E,科目余额表!$B21,data!Q:Q),0)</f>
        <v>0</v>
      </c>
      <c r="V21" s="207">
        <f>IFERROR(SUMIF(data!$E:$E,科目余额表!$B21,data!R:R),0)</f>
        <v>0</v>
      </c>
      <c r="W21" s="207">
        <f>IFERROR(SUMIF(data!$E:$E,科目余额表!$B21,data!S:S),0)</f>
        <v>0</v>
      </c>
      <c r="X21" s="207"/>
      <c r="Y21" s="207"/>
      <c r="Z21" s="207"/>
      <c r="AA21" s="207"/>
      <c r="AB21" s="207"/>
      <c r="AC21" s="207"/>
      <c r="AD21" s="207"/>
      <c r="AE21" s="207"/>
      <c r="AF21" s="207"/>
    </row>
    <row r="22" spans="1:32" s="214" customFormat="1" ht="11.65" customHeight="1">
      <c r="A22" s="215"/>
      <c r="B22" s="220">
        <v>10207</v>
      </c>
      <c r="C22" s="205" t="s">
        <v>267</v>
      </c>
      <c r="D22" s="221">
        <v>0</v>
      </c>
      <c r="E22" s="221">
        <v>0</v>
      </c>
      <c r="F22" s="222">
        <f t="shared" si="0"/>
        <v>0</v>
      </c>
      <c r="G22" s="205" t="s">
        <v>249</v>
      </c>
      <c r="H22" s="219" t="s">
        <v>250</v>
      </c>
      <c r="J22" s="207" t="s">
        <v>260</v>
      </c>
      <c r="K22" s="207"/>
      <c r="L22" s="207">
        <f>IFERROR(SUMIF(data!$E:$E,科目余额表!$B22,data!H:H),0)</f>
        <v>0</v>
      </c>
      <c r="M22" s="207">
        <f>IFERROR(SUMIF(data!$E:$E,科目余额表!$B22,data!I:I),0)</f>
        <v>0</v>
      </c>
      <c r="N22" s="207">
        <f>IFERROR(SUMIF(data!$E:$E,科目余额表!$B22,data!J:J),0)</f>
        <v>0</v>
      </c>
      <c r="O22" s="207">
        <f>IFERROR(SUMIF(data!$E:$E,科目余额表!$B22,data!K:K),0)</f>
        <v>0</v>
      </c>
      <c r="P22" s="207">
        <f>IFERROR(SUMIF(data!$E:$E,科目余额表!$B22,data!L:L),0)</f>
        <v>0</v>
      </c>
      <c r="Q22" s="207">
        <f>IFERROR(SUMIF(data!$E:$E,科目余额表!$B22,data!M:M),0)</f>
        <v>0</v>
      </c>
      <c r="R22" s="207">
        <f>IFERROR(SUMIF(data!$E:$E,科目余额表!$B22,data!N:N),0)</f>
        <v>0</v>
      </c>
      <c r="S22" s="207">
        <f>IFERROR(SUMIF(data!$E:$E,科目余额表!$B22,data!O:O),0)</f>
        <v>0</v>
      </c>
      <c r="T22" s="207">
        <f>IFERROR(SUMIF(data!$E:$E,科目余额表!$B22,data!P:P),0)</f>
        <v>0</v>
      </c>
      <c r="U22" s="207">
        <f>IFERROR(SUMIF(data!$E:$E,科目余额表!$B22,data!Q:Q),0)</f>
        <v>0</v>
      </c>
      <c r="V22" s="207">
        <f>IFERROR(SUMIF(data!$E:$E,科目余额表!$B22,data!R:R),0)</f>
        <v>0</v>
      </c>
      <c r="W22" s="207">
        <f>IFERROR(SUMIF(data!$E:$E,科目余额表!$B22,data!S:S),0)</f>
        <v>0</v>
      </c>
      <c r="X22" s="207"/>
      <c r="Y22" s="207"/>
      <c r="Z22" s="207"/>
      <c r="AA22" s="207"/>
      <c r="AB22" s="207"/>
      <c r="AC22" s="207"/>
      <c r="AD22" s="207"/>
      <c r="AE22" s="207"/>
      <c r="AF22" s="207"/>
    </row>
    <row r="23" spans="1:32" s="214" customFormat="1" ht="11.65" customHeight="1">
      <c r="A23" s="215"/>
      <c r="B23" s="220">
        <v>10208</v>
      </c>
      <c r="C23" s="205" t="s">
        <v>268</v>
      </c>
      <c r="D23" s="221">
        <v>0</v>
      </c>
      <c r="E23" s="221">
        <v>0</v>
      </c>
      <c r="F23" s="222">
        <f t="shared" si="0"/>
        <v>0</v>
      </c>
      <c r="G23" s="205" t="s">
        <v>249</v>
      </c>
      <c r="H23" s="219" t="s">
        <v>250</v>
      </c>
      <c r="J23" s="207" t="s">
        <v>260</v>
      </c>
      <c r="K23" s="207"/>
      <c r="L23" s="207">
        <f>IFERROR(SUMIF(data!$E:$E,科目余额表!$B23,data!H:H),0)</f>
        <v>0</v>
      </c>
      <c r="M23" s="207">
        <f>IFERROR(SUMIF(data!$E:$E,科目余额表!$B23,data!I:I),0)</f>
        <v>0</v>
      </c>
      <c r="N23" s="207">
        <f>IFERROR(SUMIF(data!$E:$E,科目余额表!$B23,data!J:J),0)</f>
        <v>0</v>
      </c>
      <c r="O23" s="207">
        <f>IFERROR(SUMIF(data!$E:$E,科目余额表!$B23,data!K:K),0)</f>
        <v>0</v>
      </c>
      <c r="P23" s="207">
        <f>IFERROR(SUMIF(data!$E:$E,科目余额表!$B23,data!L:L),0)</f>
        <v>0</v>
      </c>
      <c r="Q23" s="207">
        <f>IFERROR(SUMIF(data!$E:$E,科目余额表!$B23,data!M:M),0)</f>
        <v>0</v>
      </c>
      <c r="R23" s="207">
        <f>IFERROR(SUMIF(data!$E:$E,科目余额表!$B23,data!N:N),0)</f>
        <v>0</v>
      </c>
      <c r="S23" s="207">
        <f>IFERROR(SUMIF(data!$E:$E,科目余额表!$B23,data!O:O),0)</f>
        <v>0</v>
      </c>
      <c r="T23" s="207">
        <f>IFERROR(SUMIF(data!$E:$E,科目余额表!$B23,data!P:P),0)</f>
        <v>0</v>
      </c>
      <c r="U23" s="207">
        <f>IFERROR(SUMIF(data!$E:$E,科目余额表!$B23,data!Q:Q),0)</f>
        <v>0</v>
      </c>
      <c r="V23" s="207">
        <f>IFERROR(SUMIF(data!$E:$E,科目余额表!$B23,data!R:R),0)</f>
        <v>0</v>
      </c>
      <c r="W23" s="207">
        <f>IFERROR(SUMIF(data!$E:$E,科目余额表!$B23,data!S:S),0)</f>
        <v>0</v>
      </c>
      <c r="X23" s="207"/>
      <c r="Y23" s="207"/>
      <c r="Z23" s="207"/>
      <c r="AA23" s="207"/>
      <c r="AB23" s="207"/>
      <c r="AC23" s="207"/>
      <c r="AD23" s="207"/>
      <c r="AE23" s="207"/>
      <c r="AF23" s="207"/>
    </row>
    <row r="24" spans="1:32" s="214" customFormat="1" ht="11.65" customHeight="1">
      <c r="A24" s="215"/>
      <c r="B24" s="220">
        <v>10209</v>
      </c>
      <c r="C24" s="205" t="s">
        <v>269</v>
      </c>
      <c r="D24" s="221">
        <v>0</v>
      </c>
      <c r="E24" s="221">
        <v>0</v>
      </c>
      <c r="F24" s="222">
        <f t="shared" si="0"/>
        <v>0</v>
      </c>
      <c r="G24" s="205" t="s">
        <v>249</v>
      </c>
      <c r="H24" s="219" t="s">
        <v>250</v>
      </c>
      <c r="J24" s="207" t="s">
        <v>260</v>
      </c>
      <c r="K24" s="207"/>
      <c r="L24" s="207">
        <f>IFERROR(SUMIF(data!$E:$E,科目余额表!$B24,data!H:H),0)</f>
        <v>0</v>
      </c>
      <c r="M24" s="207">
        <f>IFERROR(SUMIF(data!$E:$E,科目余额表!$B24,data!I:I),0)</f>
        <v>0</v>
      </c>
      <c r="N24" s="207">
        <f>IFERROR(SUMIF(data!$E:$E,科目余额表!$B24,data!J:J),0)</f>
        <v>0</v>
      </c>
      <c r="O24" s="207">
        <f>IFERROR(SUMIF(data!$E:$E,科目余额表!$B24,data!K:K),0)</f>
        <v>0</v>
      </c>
      <c r="P24" s="207">
        <f>IFERROR(SUMIF(data!$E:$E,科目余额表!$B24,data!L:L),0)</f>
        <v>0</v>
      </c>
      <c r="Q24" s="207">
        <f>IFERROR(SUMIF(data!$E:$E,科目余额表!$B24,data!M:M),0)</f>
        <v>0</v>
      </c>
      <c r="R24" s="207">
        <f>IFERROR(SUMIF(data!$E:$E,科目余额表!$B24,data!N:N),0)</f>
        <v>0</v>
      </c>
      <c r="S24" s="207">
        <f>IFERROR(SUMIF(data!$E:$E,科目余额表!$B24,data!O:O),0)</f>
        <v>0</v>
      </c>
      <c r="T24" s="207">
        <f>IFERROR(SUMIF(data!$E:$E,科目余额表!$B24,data!P:P),0)</f>
        <v>0</v>
      </c>
      <c r="U24" s="207">
        <f>IFERROR(SUMIF(data!$E:$E,科目余额表!$B24,data!Q:Q),0)</f>
        <v>0</v>
      </c>
      <c r="V24" s="207">
        <f>IFERROR(SUMIF(data!$E:$E,科目余额表!$B24,data!R:R),0)</f>
        <v>0</v>
      </c>
      <c r="W24" s="207">
        <f>IFERROR(SUMIF(data!$E:$E,科目余额表!$B24,data!S:S),0)</f>
        <v>0</v>
      </c>
      <c r="X24" s="207"/>
      <c r="Y24" s="207"/>
      <c r="Z24" s="207"/>
      <c r="AA24" s="207"/>
      <c r="AB24" s="207"/>
      <c r="AC24" s="207"/>
      <c r="AD24" s="207"/>
      <c r="AE24" s="207"/>
      <c r="AF24" s="207"/>
    </row>
    <row r="25" spans="1:32" s="214" customFormat="1" ht="11.65" customHeight="1">
      <c r="A25" s="215"/>
      <c r="B25" s="220">
        <v>10210</v>
      </c>
      <c r="C25" s="205" t="s">
        <v>270</v>
      </c>
      <c r="D25" s="221">
        <v>0</v>
      </c>
      <c r="E25" s="221">
        <v>0</v>
      </c>
      <c r="F25" s="222">
        <f t="shared" si="0"/>
        <v>0</v>
      </c>
      <c r="G25" s="205" t="s">
        <v>249</v>
      </c>
      <c r="H25" s="219" t="s">
        <v>250</v>
      </c>
      <c r="J25" s="207" t="s">
        <v>260</v>
      </c>
      <c r="K25" s="207"/>
      <c r="L25" s="207">
        <f>IFERROR(SUMIF(data!$E:$E,科目余额表!$B25,data!H:H),0)</f>
        <v>0</v>
      </c>
      <c r="M25" s="207">
        <f>IFERROR(SUMIF(data!$E:$E,科目余额表!$B25,data!I:I),0)</f>
        <v>0</v>
      </c>
      <c r="N25" s="207">
        <f>IFERROR(SUMIF(data!$E:$E,科目余额表!$B25,data!J:J),0)</f>
        <v>0</v>
      </c>
      <c r="O25" s="207">
        <f>IFERROR(SUMIF(data!$E:$E,科目余额表!$B25,data!K:K),0)</f>
        <v>0</v>
      </c>
      <c r="P25" s="207">
        <f>IFERROR(SUMIF(data!$E:$E,科目余额表!$B25,data!L:L),0)</f>
        <v>0</v>
      </c>
      <c r="Q25" s="207">
        <f>IFERROR(SUMIF(data!$E:$E,科目余额表!$B25,data!M:M),0)</f>
        <v>0</v>
      </c>
      <c r="R25" s="207">
        <f>IFERROR(SUMIF(data!$E:$E,科目余额表!$B25,data!N:N),0)</f>
        <v>0</v>
      </c>
      <c r="S25" s="207">
        <f>IFERROR(SUMIF(data!$E:$E,科目余额表!$B25,data!O:O),0)</f>
        <v>0</v>
      </c>
      <c r="T25" s="207">
        <f>IFERROR(SUMIF(data!$E:$E,科目余额表!$B25,data!P:P),0)</f>
        <v>0</v>
      </c>
      <c r="U25" s="207">
        <f>IFERROR(SUMIF(data!$E:$E,科目余额表!$B25,data!Q:Q),0)</f>
        <v>0</v>
      </c>
      <c r="V25" s="207">
        <f>IFERROR(SUMIF(data!$E:$E,科目余额表!$B25,data!R:R),0)</f>
        <v>0</v>
      </c>
      <c r="W25" s="207">
        <f>IFERROR(SUMIF(data!$E:$E,科目余额表!$B25,data!S:S),0)</f>
        <v>0</v>
      </c>
      <c r="X25" s="207"/>
      <c r="Y25" s="207"/>
      <c r="Z25" s="207"/>
      <c r="AA25" s="207"/>
      <c r="AB25" s="207"/>
      <c r="AC25" s="207"/>
      <c r="AD25" s="207"/>
      <c r="AE25" s="207"/>
      <c r="AF25" s="207"/>
    </row>
    <row r="26" spans="1:32" s="214" customFormat="1" ht="11.65" customHeight="1">
      <c r="A26" s="215"/>
      <c r="B26" s="220">
        <v>10211</v>
      </c>
      <c r="C26" s="205" t="s">
        <v>271</v>
      </c>
      <c r="D26" s="221">
        <v>0</v>
      </c>
      <c r="E26" s="221">
        <v>0</v>
      </c>
      <c r="F26" s="222">
        <f t="shared" si="0"/>
        <v>0</v>
      </c>
      <c r="G26" s="205" t="s">
        <v>249</v>
      </c>
      <c r="H26" s="219" t="s">
        <v>250</v>
      </c>
      <c r="J26" s="207" t="s">
        <v>260</v>
      </c>
      <c r="K26" s="207"/>
      <c r="L26" s="207">
        <f>IFERROR(SUMIF(data!$E:$E,科目余额表!$B26,data!H:H),0)</f>
        <v>0</v>
      </c>
      <c r="M26" s="207">
        <f>IFERROR(SUMIF(data!$E:$E,科目余额表!$B26,data!I:I),0)</f>
        <v>0</v>
      </c>
      <c r="N26" s="207">
        <f>IFERROR(SUMIF(data!$E:$E,科目余额表!$B26,data!J:J),0)</f>
        <v>0</v>
      </c>
      <c r="O26" s="207">
        <f>IFERROR(SUMIF(data!$E:$E,科目余额表!$B26,data!K:K),0)</f>
        <v>0</v>
      </c>
      <c r="P26" s="207">
        <f>IFERROR(SUMIF(data!$E:$E,科目余额表!$B26,data!L:L),0)</f>
        <v>0</v>
      </c>
      <c r="Q26" s="207">
        <f>IFERROR(SUMIF(data!$E:$E,科目余额表!$B26,data!M:M),0)</f>
        <v>0</v>
      </c>
      <c r="R26" s="207">
        <f>IFERROR(SUMIF(data!$E:$E,科目余额表!$B26,data!N:N),0)</f>
        <v>0</v>
      </c>
      <c r="S26" s="207">
        <f>IFERROR(SUMIF(data!$E:$E,科目余额表!$B26,data!O:O),0)</f>
        <v>0</v>
      </c>
      <c r="T26" s="207">
        <f>IFERROR(SUMIF(data!$E:$E,科目余额表!$B26,data!P:P),0)</f>
        <v>0</v>
      </c>
      <c r="U26" s="207">
        <f>IFERROR(SUMIF(data!$E:$E,科目余额表!$B26,data!Q:Q),0)</f>
        <v>0</v>
      </c>
      <c r="V26" s="207">
        <f>IFERROR(SUMIF(data!$E:$E,科目余额表!$B26,data!R:R),0)</f>
        <v>0</v>
      </c>
      <c r="W26" s="207">
        <f>IFERROR(SUMIF(data!$E:$E,科目余额表!$B26,data!S:S),0)</f>
        <v>0</v>
      </c>
      <c r="X26" s="207"/>
      <c r="Y26" s="207"/>
      <c r="Z26" s="207"/>
      <c r="AA26" s="207"/>
      <c r="AB26" s="207"/>
      <c r="AC26" s="207"/>
      <c r="AD26" s="207"/>
      <c r="AE26" s="207"/>
      <c r="AF26" s="207"/>
    </row>
    <row r="27" spans="1:32" s="214" customFormat="1" ht="11.65" customHeight="1">
      <c r="A27" s="215"/>
      <c r="B27" s="220">
        <v>10212</v>
      </c>
      <c r="C27" s="205" t="s">
        <v>272</v>
      </c>
      <c r="D27" s="221">
        <v>0</v>
      </c>
      <c r="E27" s="221">
        <v>0</v>
      </c>
      <c r="F27" s="222">
        <f t="shared" si="0"/>
        <v>0</v>
      </c>
      <c r="G27" s="205" t="s">
        <v>249</v>
      </c>
      <c r="H27" s="219" t="s">
        <v>250</v>
      </c>
      <c r="J27" s="207" t="s">
        <v>260</v>
      </c>
      <c r="K27" s="207"/>
      <c r="L27" s="207">
        <f>IFERROR(SUMIF(data!$E:$E,科目余额表!$B27,data!H:H),0)</f>
        <v>0</v>
      </c>
      <c r="M27" s="207">
        <f>IFERROR(SUMIF(data!$E:$E,科目余额表!$B27,data!I:I),0)</f>
        <v>0</v>
      </c>
      <c r="N27" s="207">
        <f>IFERROR(SUMIF(data!$E:$E,科目余额表!$B27,data!J:J),0)</f>
        <v>0</v>
      </c>
      <c r="O27" s="207">
        <f>IFERROR(SUMIF(data!$E:$E,科目余额表!$B27,data!K:K),0)</f>
        <v>0</v>
      </c>
      <c r="P27" s="207">
        <f>IFERROR(SUMIF(data!$E:$E,科目余额表!$B27,data!L:L),0)</f>
        <v>0</v>
      </c>
      <c r="Q27" s="207">
        <f>IFERROR(SUMIF(data!$E:$E,科目余额表!$B27,data!M:M),0)</f>
        <v>0</v>
      </c>
      <c r="R27" s="207">
        <f>IFERROR(SUMIF(data!$E:$E,科目余额表!$B27,data!N:N),0)</f>
        <v>0</v>
      </c>
      <c r="S27" s="207">
        <f>IFERROR(SUMIF(data!$E:$E,科目余额表!$B27,data!O:O),0)</f>
        <v>0</v>
      </c>
      <c r="T27" s="207">
        <f>IFERROR(SUMIF(data!$E:$E,科目余额表!$B27,data!P:P),0)</f>
        <v>0</v>
      </c>
      <c r="U27" s="207">
        <f>IFERROR(SUMIF(data!$E:$E,科目余额表!$B27,data!Q:Q),0)</f>
        <v>0</v>
      </c>
      <c r="V27" s="207">
        <f>IFERROR(SUMIF(data!$E:$E,科目余额表!$B27,data!R:R),0)</f>
        <v>0</v>
      </c>
      <c r="W27" s="207">
        <f>IFERROR(SUMIF(data!$E:$E,科目余额表!$B27,data!S:S),0)</f>
        <v>0</v>
      </c>
      <c r="X27" s="207"/>
      <c r="Y27" s="207"/>
      <c r="Z27" s="207"/>
      <c r="AA27" s="207"/>
      <c r="AB27" s="207"/>
      <c r="AC27" s="207"/>
      <c r="AD27" s="207"/>
      <c r="AE27" s="207"/>
      <c r="AF27" s="207"/>
    </row>
    <row r="28" spans="1:32" s="214" customFormat="1" ht="11.65" customHeight="1">
      <c r="A28" s="215"/>
      <c r="B28" s="220">
        <v>10213</v>
      </c>
      <c r="C28" s="205" t="s">
        <v>273</v>
      </c>
      <c r="D28" s="221">
        <v>0</v>
      </c>
      <c r="E28" s="221">
        <v>0</v>
      </c>
      <c r="F28" s="222">
        <f t="shared" si="0"/>
        <v>0</v>
      </c>
      <c r="G28" s="205" t="s">
        <v>249</v>
      </c>
      <c r="H28" s="219" t="s">
        <v>250</v>
      </c>
      <c r="J28" s="207" t="s">
        <v>260</v>
      </c>
      <c r="K28" s="207"/>
      <c r="L28" s="207">
        <f>IFERROR(SUMIF(data!$E:$E,科目余额表!$B28,data!H:H),0)</f>
        <v>0</v>
      </c>
      <c r="M28" s="207">
        <f>IFERROR(SUMIF(data!$E:$E,科目余额表!$B28,data!I:I),0)</f>
        <v>0</v>
      </c>
      <c r="N28" s="207">
        <f>IFERROR(SUMIF(data!$E:$E,科目余额表!$B28,data!J:J),0)</f>
        <v>0</v>
      </c>
      <c r="O28" s="207">
        <f>IFERROR(SUMIF(data!$E:$E,科目余额表!$B28,data!K:K),0)</f>
        <v>0</v>
      </c>
      <c r="P28" s="207">
        <f>IFERROR(SUMIF(data!$E:$E,科目余额表!$B28,data!L:L),0)</f>
        <v>0</v>
      </c>
      <c r="Q28" s="207">
        <f>IFERROR(SUMIF(data!$E:$E,科目余额表!$B28,data!M:M),0)</f>
        <v>0</v>
      </c>
      <c r="R28" s="207">
        <f>IFERROR(SUMIF(data!$E:$E,科目余额表!$B28,data!N:N),0)</f>
        <v>0</v>
      </c>
      <c r="S28" s="207">
        <f>IFERROR(SUMIF(data!$E:$E,科目余额表!$B28,data!O:O),0)</f>
        <v>0</v>
      </c>
      <c r="T28" s="207">
        <f>IFERROR(SUMIF(data!$E:$E,科目余额表!$B28,data!P:P),0)</f>
        <v>0</v>
      </c>
      <c r="U28" s="207">
        <f>IFERROR(SUMIF(data!$E:$E,科目余额表!$B28,data!Q:Q),0)</f>
        <v>0</v>
      </c>
      <c r="V28" s="207">
        <f>IFERROR(SUMIF(data!$E:$E,科目余额表!$B28,data!R:R),0)</f>
        <v>0</v>
      </c>
      <c r="W28" s="207">
        <f>IFERROR(SUMIF(data!$E:$E,科目余额表!$B28,data!S:S),0)</f>
        <v>0</v>
      </c>
      <c r="X28" s="207"/>
      <c r="Y28" s="207"/>
      <c r="Z28" s="207"/>
      <c r="AA28" s="207"/>
      <c r="AB28" s="207"/>
      <c r="AC28" s="207"/>
      <c r="AD28" s="207"/>
      <c r="AE28" s="207"/>
      <c r="AF28" s="207"/>
    </row>
    <row r="29" spans="1:32" s="214" customFormat="1" ht="11.65" customHeight="1">
      <c r="A29" s="215"/>
      <c r="B29" s="220">
        <v>10214</v>
      </c>
      <c r="C29" s="205" t="s">
        <v>274</v>
      </c>
      <c r="D29" s="221">
        <v>0</v>
      </c>
      <c r="E29" s="221">
        <v>0</v>
      </c>
      <c r="F29" s="222">
        <f t="shared" si="0"/>
        <v>0</v>
      </c>
      <c r="G29" s="205" t="s">
        <v>249</v>
      </c>
      <c r="H29" s="219" t="s">
        <v>250</v>
      </c>
      <c r="J29" s="207" t="s">
        <v>260</v>
      </c>
      <c r="K29" s="207"/>
      <c r="L29" s="207">
        <f>IFERROR(SUMIF(data!$E:$E,科目余额表!$B29,data!H:H),0)</f>
        <v>0</v>
      </c>
      <c r="M29" s="207">
        <f>IFERROR(SUMIF(data!$E:$E,科目余额表!$B29,data!I:I),0)</f>
        <v>0</v>
      </c>
      <c r="N29" s="207">
        <f>IFERROR(SUMIF(data!$E:$E,科目余额表!$B29,data!J:J),0)</f>
        <v>0</v>
      </c>
      <c r="O29" s="207">
        <f>IFERROR(SUMIF(data!$E:$E,科目余额表!$B29,data!K:K),0)</f>
        <v>0</v>
      </c>
      <c r="P29" s="207">
        <f>IFERROR(SUMIF(data!$E:$E,科目余额表!$B29,data!L:L),0)</f>
        <v>0</v>
      </c>
      <c r="Q29" s="207">
        <f>IFERROR(SUMIF(data!$E:$E,科目余额表!$B29,data!M:M),0)</f>
        <v>0</v>
      </c>
      <c r="R29" s="207">
        <f>IFERROR(SUMIF(data!$E:$E,科目余额表!$B29,data!N:N),0)</f>
        <v>0</v>
      </c>
      <c r="S29" s="207">
        <f>IFERROR(SUMIF(data!$E:$E,科目余额表!$B29,data!O:O),0)</f>
        <v>0</v>
      </c>
      <c r="T29" s="207">
        <f>IFERROR(SUMIF(data!$E:$E,科目余额表!$B29,data!P:P),0)</f>
        <v>0</v>
      </c>
      <c r="U29" s="207">
        <f>IFERROR(SUMIF(data!$E:$E,科目余额表!$B29,data!Q:Q),0)</f>
        <v>0</v>
      </c>
      <c r="V29" s="207">
        <f>IFERROR(SUMIF(data!$E:$E,科目余额表!$B29,data!R:R),0)</f>
        <v>0</v>
      </c>
      <c r="W29" s="207">
        <f>IFERROR(SUMIF(data!$E:$E,科目余额表!$B29,data!S:S),0)</f>
        <v>0</v>
      </c>
      <c r="X29" s="207"/>
      <c r="Y29" s="207"/>
      <c r="Z29" s="207"/>
      <c r="AA29" s="207"/>
      <c r="AB29" s="207"/>
      <c r="AC29" s="207"/>
      <c r="AD29" s="207"/>
      <c r="AE29" s="207"/>
      <c r="AF29" s="207"/>
    </row>
    <row r="30" spans="1:32" s="214" customFormat="1" ht="11.65" customHeight="1">
      <c r="A30" s="215"/>
      <c r="B30" s="220">
        <v>10215</v>
      </c>
      <c r="C30" s="205" t="s">
        <v>275</v>
      </c>
      <c r="D30" s="221">
        <v>0</v>
      </c>
      <c r="E30" s="221">
        <v>0</v>
      </c>
      <c r="F30" s="222">
        <f t="shared" si="0"/>
        <v>0</v>
      </c>
      <c r="G30" s="205" t="s">
        <v>249</v>
      </c>
      <c r="H30" s="219" t="s">
        <v>250</v>
      </c>
      <c r="J30" s="207" t="s">
        <v>260</v>
      </c>
      <c r="K30" s="207"/>
      <c r="L30" s="207">
        <f>IFERROR(SUMIF(data!$E:$E,科目余额表!$B30,data!H:H),0)</f>
        <v>0</v>
      </c>
      <c r="M30" s="207">
        <f>IFERROR(SUMIF(data!$E:$E,科目余额表!$B30,data!I:I),0)</f>
        <v>0</v>
      </c>
      <c r="N30" s="207">
        <f>IFERROR(SUMIF(data!$E:$E,科目余额表!$B30,data!J:J),0)</f>
        <v>0</v>
      </c>
      <c r="O30" s="207">
        <f>IFERROR(SUMIF(data!$E:$E,科目余额表!$B30,data!K:K),0)</f>
        <v>0</v>
      </c>
      <c r="P30" s="207">
        <f>IFERROR(SUMIF(data!$E:$E,科目余额表!$B30,data!L:L),0)</f>
        <v>0</v>
      </c>
      <c r="Q30" s="207">
        <f>IFERROR(SUMIF(data!$E:$E,科目余额表!$B30,data!M:M),0)</f>
        <v>0</v>
      </c>
      <c r="R30" s="207">
        <f>IFERROR(SUMIF(data!$E:$E,科目余额表!$B30,data!N:N),0)</f>
        <v>0</v>
      </c>
      <c r="S30" s="207">
        <f>IFERROR(SUMIF(data!$E:$E,科目余额表!$B30,data!O:O),0)</f>
        <v>0</v>
      </c>
      <c r="T30" s="207">
        <f>IFERROR(SUMIF(data!$E:$E,科目余额表!$B30,data!P:P),0)</f>
        <v>0</v>
      </c>
      <c r="U30" s="207">
        <f>IFERROR(SUMIF(data!$E:$E,科目余额表!$B30,data!Q:Q),0)</f>
        <v>0</v>
      </c>
      <c r="V30" s="207">
        <f>IFERROR(SUMIF(data!$E:$E,科目余额表!$B30,data!R:R),0)</f>
        <v>0</v>
      </c>
      <c r="W30" s="207">
        <f>IFERROR(SUMIF(data!$E:$E,科目余额表!$B30,data!S:S),0)</f>
        <v>0</v>
      </c>
      <c r="X30" s="207"/>
      <c r="Y30" s="207"/>
      <c r="Z30" s="207"/>
      <c r="AA30" s="207"/>
      <c r="AB30" s="207"/>
      <c r="AC30" s="207"/>
      <c r="AD30" s="207"/>
      <c r="AE30" s="207"/>
      <c r="AF30" s="207"/>
    </row>
    <row r="31" spans="1:32" s="214" customFormat="1" ht="11.65" customHeight="1">
      <c r="A31" s="215"/>
      <c r="B31" s="220">
        <v>10216</v>
      </c>
      <c r="C31" s="205" t="s">
        <v>276</v>
      </c>
      <c r="D31" s="221">
        <v>0</v>
      </c>
      <c r="E31" s="221">
        <v>0</v>
      </c>
      <c r="F31" s="222">
        <f t="shared" si="0"/>
        <v>0</v>
      </c>
      <c r="G31" s="205" t="s">
        <v>249</v>
      </c>
      <c r="H31" s="219" t="s">
        <v>250</v>
      </c>
      <c r="J31" s="207" t="s">
        <v>260</v>
      </c>
      <c r="K31" s="207"/>
      <c r="L31" s="207">
        <f>IFERROR(SUMIF(data!$E:$E,科目余额表!$B31,data!H:H),0)</f>
        <v>0</v>
      </c>
      <c r="M31" s="207">
        <f>IFERROR(SUMIF(data!$E:$E,科目余额表!$B31,data!I:I),0)</f>
        <v>0</v>
      </c>
      <c r="N31" s="207">
        <f>IFERROR(SUMIF(data!$E:$E,科目余额表!$B31,data!J:J),0)</f>
        <v>0</v>
      </c>
      <c r="O31" s="207">
        <f>IFERROR(SUMIF(data!$E:$E,科目余额表!$B31,data!K:K),0)</f>
        <v>0</v>
      </c>
      <c r="P31" s="207">
        <f>IFERROR(SUMIF(data!$E:$E,科目余额表!$B31,data!L:L),0)</f>
        <v>0</v>
      </c>
      <c r="Q31" s="207">
        <f>IFERROR(SUMIF(data!$E:$E,科目余额表!$B31,data!M:M),0)</f>
        <v>0</v>
      </c>
      <c r="R31" s="207">
        <f>IFERROR(SUMIF(data!$E:$E,科目余额表!$B31,data!N:N),0)</f>
        <v>0</v>
      </c>
      <c r="S31" s="207">
        <f>IFERROR(SUMIF(data!$E:$E,科目余额表!$B31,data!O:O),0)</f>
        <v>0</v>
      </c>
      <c r="T31" s="207">
        <f>IFERROR(SUMIF(data!$E:$E,科目余额表!$B31,data!P:P),0)</f>
        <v>0</v>
      </c>
      <c r="U31" s="207">
        <f>IFERROR(SUMIF(data!$E:$E,科目余额表!$B31,data!Q:Q),0)</f>
        <v>0</v>
      </c>
      <c r="V31" s="207">
        <f>IFERROR(SUMIF(data!$E:$E,科目余额表!$B31,data!R:R),0)</f>
        <v>0</v>
      </c>
      <c r="W31" s="207">
        <f>IFERROR(SUMIF(data!$E:$E,科目余额表!$B31,data!S:S),0)</f>
        <v>0</v>
      </c>
      <c r="X31" s="207"/>
      <c r="Y31" s="207"/>
      <c r="Z31" s="207"/>
      <c r="AA31" s="207"/>
      <c r="AB31" s="207"/>
      <c r="AC31" s="207"/>
      <c r="AD31" s="207"/>
      <c r="AE31" s="207"/>
      <c r="AF31" s="207"/>
    </row>
    <row r="32" spans="1:32" s="214" customFormat="1" ht="11.65" customHeight="1">
      <c r="A32" s="215"/>
      <c r="B32" s="220">
        <v>10217</v>
      </c>
      <c r="C32" s="205" t="s">
        <v>277</v>
      </c>
      <c r="D32" s="221">
        <v>0</v>
      </c>
      <c r="E32" s="221">
        <v>0</v>
      </c>
      <c r="F32" s="222">
        <f t="shared" si="0"/>
        <v>0</v>
      </c>
      <c r="G32" s="205" t="s">
        <v>249</v>
      </c>
      <c r="H32" s="219" t="s">
        <v>250</v>
      </c>
      <c r="J32" s="207" t="s">
        <v>260</v>
      </c>
      <c r="K32" s="207"/>
      <c r="L32" s="207">
        <f>IFERROR(SUMIF(data!$E:$E,科目余额表!$B32,data!H:H),0)</f>
        <v>0</v>
      </c>
      <c r="M32" s="207">
        <f>IFERROR(SUMIF(data!$E:$E,科目余额表!$B32,data!I:I),0)</f>
        <v>0</v>
      </c>
      <c r="N32" s="207">
        <f>IFERROR(SUMIF(data!$E:$E,科目余额表!$B32,data!J:J),0)</f>
        <v>0</v>
      </c>
      <c r="O32" s="207">
        <f>IFERROR(SUMIF(data!$E:$E,科目余额表!$B32,data!K:K),0)</f>
        <v>0</v>
      </c>
      <c r="P32" s="207">
        <f>IFERROR(SUMIF(data!$E:$E,科目余额表!$B32,data!L:L),0)</f>
        <v>0</v>
      </c>
      <c r="Q32" s="207">
        <f>IFERROR(SUMIF(data!$E:$E,科目余额表!$B32,data!M:M),0)</f>
        <v>0</v>
      </c>
      <c r="R32" s="207">
        <f>IFERROR(SUMIF(data!$E:$E,科目余额表!$B32,data!N:N),0)</f>
        <v>0</v>
      </c>
      <c r="S32" s="207">
        <f>IFERROR(SUMIF(data!$E:$E,科目余额表!$B32,data!O:O),0)</f>
        <v>0</v>
      </c>
      <c r="T32" s="207">
        <f>IFERROR(SUMIF(data!$E:$E,科目余额表!$B32,data!P:P),0)</f>
        <v>0</v>
      </c>
      <c r="U32" s="207">
        <f>IFERROR(SUMIF(data!$E:$E,科目余额表!$B32,data!Q:Q),0)</f>
        <v>0</v>
      </c>
      <c r="V32" s="207">
        <f>IFERROR(SUMIF(data!$E:$E,科目余额表!$B32,data!R:R),0)</f>
        <v>0</v>
      </c>
      <c r="W32" s="207">
        <f>IFERROR(SUMIF(data!$E:$E,科目余额表!$B32,data!S:S),0)</f>
        <v>0</v>
      </c>
      <c r="X32" s="207"/>
      <c r="Y32" s="207"/>
      <c r="Z32" s="207"/>
      <c r="AA32" s="207"/>
      <c r="AB32" s="207"/>
      <c r="AC32" s="207"/>
      <c r="AD32" s="207"/>
      <c r="AE32" s="207"/>
      <c r="AF32" s="207"/>
    </row>
    <row r="33" spans="1:32" s="214" customFormat="1" ht="11.65" customHeight="1">
      <c r="A33" s="215"/>
      <c r="B33" s="220">
        <v>10299</v>
      </c>
      <c r="C33" s="205" t="s">
        <v>278</v>
      </c>
      <c r="D33" s="221">
        <v>0</v>
      </c>
      <c r="E33" s="221">
        <v>0</v>
      </c>
      <c r="F33" s="222">
        <f t="shared" si="0"/>
        <v>0</v>
      </c>
      <c r="G33" s="205" t="s">
        <v>249</v>
      </c>
      <c r="H33" s="219" t="s">
        <v>250</v>
      </c>
      <c r="J33" s="207" t="s">
        <v>260</v>
      </c>
      <c r="K33" s="207"/>
      <c r="L33" s="207">
        <f>IFERROR(SUMIF(data!$E:$E,科目余额表!$B33,data!H:H),0)</f>
        <v>0</v>
      </c>
      <c r="M33" s="207">
        <f>IFERROR(SUMIF(data!$E:$E,科目余额表!$B33,data!I:I),0)</f>
        <v>0</v>
      </c>
      <c r="N33" s="207">
        <f>IFERROR(SUMIF(data!$E:$E,科目余额表!$B33,data!J:J),0)</f>
        <v>0</v>
      </c>
      <c r="O33" s="207">
        <f>IFERROR(SUMIF(data!$E:$E,科目余额表!$B33,data!K:K),0)</f>
        <v>0</v>
      </c>
      <c r="P33" s="207">
        <f>IFERROR(SUMIF(data!$E:$E,科目余额表!$B33,data!L:L),0)</f>
        <v>0</v>
      </c>
      <c r="Q33" s="207">
        <f>IFERROR(SUMIF(data!$E:$E,科目余额表!$B33,data!M:M),0)</f>
        <v>0</v>
      </c>
      <c r="R33" s="207">
        <f>IFERROR(SUMIF(data!$E:$E,科目余额表!$B33,data!N:N),0)</f>
        <v>0</v>
      </c>
      <c r="S33" s="207">
        <f>IFERROR(SUMIF(data!$E:$E,科目余额表!$B33,data!O:O),0)</f>
        <v>0</v>
      </c>
      <c r="T33" s="207">
        <f>IFERROR(SUMIF(data!$E:$E,科目余额表!$B33,data!P:P),0)</f>
        <v>0</v>
      </c>
      <c r="U33" s="207">
        <f>IFERROR(SUMIF(data!$E:$E,科目余额表!$B33,data!Q:Q),0)</f>
        <v>0</v>
      </c>
      <c r="V33" s="207">
        <f>IFERROR(SUMIF(data!$E:$E,科目余额表!$B33,data!R:R),0)</f>
        <v>0</v>
      </c>
      <c r="W33" s="207">
        <f>IFERROR(SUMIF(data!$E:$E,科目余额表!$B33,data!S:S),0)</f>
        <v>0</v>
      </c>
      <c r="X33" s="207"/>
      <c r="Y33" s="207"/>
      <c r="Z33" s="207"/>
      <c r="AA33" s="207"/>
      <c r="AB33" s="207"/>
      <c r="AC33" s="207"/>
      <c r="AD33" s="207"/>
      <c r="AE33" s="207"/>
      <c r="AF33" s="207"/>
    </row>
    <row r="34" spans="1:32" s="214" customFormat="1" ht="11.65" customHeight="1">
      <c r="A34" s="215"/>
      <c r="B34" s="220">
        <v>10300</v>
      </c>
      <c r="C34" s="205" t="s">
        <v>279</v>
      </c>
      <c r="D34" s="221">
        <v>0</v>
      </c>
      <c r="E34" s="221">
        <v>0</v>
      </c>
      <c r="F34" s="222">
        <f t="shared" si="0"/>
        <v>0</v>
      </c>
      <c r="G34" s="205" t="s">
        <v>17</v>
      </c>
      <c r="H34" s="219" t="s">
        <v>250</v>
      </c>
      <c r="J34" s="207" t="s">
        <v>17</v>
      </c>
      <c r="K34" s="207"/>
      <c r="L34" s="207">
        <f>IFERROR(SUMIF(data!$E:$E,科目余额表!$B34,data!H:H),0)</f>
        <v>0</v>
      </c>
      <c r="M34" s="207">
        <f>IFERROR(SUMIF(data!$E:$E,科目余额表!$B34,data!I:I),0)</f>
        <v>0</v>
      </c>
      <c r="N34" s="207">
        <f>IFERROR(SUMIF(data!$E:$E,科目余额表!$B34,data!J:J),0)</f>
        <v>0</v>
      </c>
      <c r="O34" s="207">
        <f>IFERROR(SUMIF(data!$E:$E,科目余额表!$B34,data!K:K),0)</f>
        <v>0</v>
      </c>
      <c r="P34" s="207">
        <f>IFERROR(SUMIF(data!$E:$E,科目余额表!$B34,data!L:L),0)</f>
        <v>0</v>
      </c>
      <c r="Q34" s="207">
        <f>IFERROR(SUMIF(data!$E:$E,科目余额表!$B34,data!M:M),0)</f>
        <v>0</v>
      </c>
      <c r="R34" s="207">
        <f>IFERROR(SUMIF(data!$E:$E,科目余额表!$B34,data!N:N),0)</f>
        <v>0</v>
      </c>
      <c r="S34" s="207">
        <f>IFERROR(SUMIF(data!$E:$E,科目余额表!$B34,data!O:O),0)</f>
        <v>0</v>
      </c>
      <c r="T34" s="207">
        <f>IFERROR(SUMIF(data!$E:$E,科目余额表!$B34,data!P:P),0)</f>
        <v>0</v>
      </c>
      <c r="U34" s="207">
        <f>IFERROR(SUMIF(data!$E:$E,科目余额表!$B34,data!Q:Q),0)</f>
        <v>0</v>
      </c>
      <c r="V34" s="207">
        <f>IFERROR(SUMIF(data!$E:$E,科目余额表!$B34,data!R:R),0)</f>
        <v>0</v>
      </c>
      <c r="W34" s="207">
        <f>IFERROR(SUMIF(data!$E:$E,科目余额表!$B34,data!S:S),0)</f>
        <v>0</v>
      </c>
      <c r="X34" s="207"/>
      <c r="Y34" s="207"/>
      <c r="Z34" s="207"/>
      <c r="AA34" s="207"/>
      <c r="AB34" s="207"/>
      <c r="AC34" s="207"/>
      <c r="AD34" s="207"/>
      <c r="AE34" s="207"/>
      <c r="AF34" s="207"/>
    </row>
    <row r="35" spans="1:32" s="214" customFormat="1" ht="11.65" customHeight="1">
      <c r="A35" s="215"/>
      <c r="B35" s="220">
        <v>10301</v>
      </c>
      <c r="C35" s="205" t="s">
        <v>280</v>
      </c>
      <c r="D35" s="221">
        <v>0</v>
      </c>
      <c r="E35" s="221">
        <v>0</v>
      </c>
      <c r="F35" s="222">
        <f t="shared" si="0"/>
        <v>0</v>
      </c>
      <c r="G35" s="205" t="s">
        <v>17</v>
      </c>
      <c r="H35" s="219" t="s">
        <v>250</v>
      </c>
      <c r="J35" s="207" t="s">
        <v>17</v>
      </c>
      <c r="K35" s="207"/>
      <c r="L35" s="207">
        <f>IFERROR(SUMIF(data!$E:$E,科目余额表!$B35,data!H:H),0)</f>
        <v>0</v>
      </c>
      <c r="M35" s="207">
        <f>IFERROR(SUMIF(data!$E:$E,科目余额表!$B35,data!I:I),0)</f>
        <v>0</v>
      </c>
      <c r="N35" s="207">
        <f>IFERROR(SUMIF(data!$E:$E,科目余额表!$B35,data!J:J),0)</f>
        <v>0</v>
      </c>
      <c r="O35" s="207">
        <f>IFERROR(SUMIF(data!$E:$E,科目余额表!$B35,data!K:K),0)</f>
        <v>0</v>
      </c>
      <c r="P35" s="207">
        <f>IFERROR(SUMIF(data!$E:$E,科目余额表!$B35,data!L:L),0)</f>
        <v>0</v>
      </c>
      <c r="Q35" s="207">
        <f>IFERROR(SUMIF(data!$E:$E,科目余额表!$B35,data!M:M),0)</f>
        <v>0</v>
      </c>
      <c r="R35" s="207">
        <f>IFERROR(SUMIF(data!$E:$E,科目余额表!$B35,data!N:N),0)</f>
        <v>0</v>
      </c>
      <c r="S35" s="207">
        <f>IFERROR(SUMIF(data!$E:$E,科目余额表!$B35,data!O:O),0)</f>
        <v>0</v>
      </c>
      <c r="T35" s="207">
        <f>IFERROR(SUMIF(data!$E:$E,科目余额表!$B35,data!P:P),0)</f>
        <v>0</v>
      </c>
      <c r="U35" s="207">
        <f>IFERROR(SUMIF(data!$E:$E,科目余额表!$B35,data!Q:Q),0)</f>
        <v>0</v>
      </c>
      <c r="V35" s="207">
        <f>IFERROR(SUMIF(data!$E:$E,科目余额表!$B35,data!R:R),0)</f>
        <v>0</v>
      </c>
      <c r="W35" s="207">
        <f>IFERROR(SUMIF(data!$E:$E,科目余额表!$B35,data!S:S),0)</f>
        <v>0</v>
      </c>
      <c r="X35" s="207"/>
      <c r="Y35" s="207"/>
      <c r="Z35" s="207"/>
      <c r="AA35" s="207"/>
      <c r="AB35" s="207"/>
      <c r="AC35" s="207"/>
      <c r="AD35" s="207"/>
      <c r="AE35" s="207"/>
      <c r="AF35" s="207"/>
    </row>
    <row r="36" spans="1:32" s="214" customFormat="1" ht="11.65" customHeight="1">
      <c r="A36" s="215"/>
      <c r="B36" s="220">
        <v>10302</v>
      </c>
      <c r="C36" s="205" t="s">
        <v>281</v>
      </c>
      <c r="D36" s="221">
        <v>0</v>
      </c>
      <c r="E36" s="221">
        <v>0</v>
      </c>
      <c r="F36" s="222">
        <f t="shared" si="0"/>
        <v>0</v>
      </c>
      <c r="G36" s="205" t="s">
        <v>17</v>
      </c>
      <c r="H36" s="219" t="s">
        <v>250</v>
      </c>
      <c r="J36" s="207" t="s">
        <v>17</v>
      </c>
      <c r="K36" s="207"/>
      <c r="L36" s="207">
        <f>IFERROR(SUMIF(data!$E:$E,科目余额表!$B36,data!H:H),0)</f>
        <v>0</v>
      </c>
      <c r="M36" s="207">
        <f>IFERROR(SUMIF(data!$E:$E,科目余额表!$B36,data!I:I),0)</f>
        <v>0</v>
      </c>
      <c r="N36" s="207">
        <f>IFERROR(SUMIF(data!$E:$E,科目余额表!$B36,data!J:J),0)</f>
        <v>0</v>
      </c>
      <c r="O36" s="207">
        <f>IFERROR(SUMIF(data!$E:$E,科目余额表!$B36,data!K:K),0)</f>
        <v>0</v>
      </c>
      <c r="P36" s="207">
        <f>IFERROR(SUMIF(data!$E:$E,科目余额表!$B36,data!L:L),0)</f>
        <v>0</v>
      </c>
      <c r="Q36" s="207">
        <f>IFERROR(SUMIF(data!$E:$E,科目余额表!$B36,data!M:M),0)</f>
        <v>0</v>
      </c>
      <c r="R36" s="207">
        <f>IFERROR(SUMIF(data!$E:$E,科目余额表!$B36,data!N:N),0)</f>
        <v>0</v>
      </c>
      <c r="S36" s="207">
        <f>IFERROR(SUMIF(data!$E:$E,科目余额表!$B36,data!O:O),0)</f>
        <v>0</v>
      </c>
      <c r="T36" s="207">
        <f>IFERROR(SUMIF(data!$E:$E,科目余额表!$B36,data!P:P),0)</f>
        <v>0</v>
      </c>
      <c r="U36" s="207">
        <f>IFERROR(SUMIF(data!$E:$E,科目余额表!$B36,data!Q:Q),0)</f>
        <v>0</v>
      </c>
      <c r="V36" s="207">
        <f>IFERROR(SUMIF(data!$E:$E,科目余额表!$B36,data!R:R),0)</f>
        <v>0</v>
      </c>
      <c r="W36" s="207">
        <f>IFERROR(SUMIF(data!$E:$E,科目余额表!$B36,data!S:S),0)</f>
        <v>0</v>
      </c>
      <c r="X36" s="207"/>
      <c r="Y36" s="207"/>
      <c r="Z36" s="207"/>
      <c r="AA36" s="207"/>
      <c r="AB36" s="207"/>
      <c r="AC36" s="207"/>
      <c r="AD36" s="207"/>
      <c r="AE36" s="207"/>
      <c r="AF36" s="207"/>
    </row>
    <row r="37" spans="1:32" s="214" customFormat="1" ht="11.65" customHeight="1">
      <c r="A37" s="215"/>
      <c r="B37" s="220">
        <v>10303</v>
      </c>
      <c r="C37" s="205" t="s">
        <v>282</v>
      </c>
      <c r="D37" s="221">
        <v>0</v>
      </c>
      <c r="E37" s="221">
        <v>0</v>
      </c>
      <c r="F37" s="222">
        <f t="shared" si="0"/>
        <v>0</v>
      </c>
      <c r="G37" s="205" t="s">
        <v>17</v>
      </c>
      <c r="H37" s="219" t="s">
        <v>250</v>
      </c>
      <c r="J37" s="207" t="s">
        <v>17</v>
      </c>
      <c r="K37" s="207"/>
      <c r="L37" s="207">
        <f>IFERROR(SUMIF(data!$E:$E,科目余额表!$B37,data!H:H),0)</f>
        <v>0</v>
      </c>
      <c r="M37" s="207">
        <f>IFERROR(SUMIF(data!$E:$E,科目余额表!$B37,data!I:I),0)</f>
        <v>0</v>
      </c>
      <c r="N37" s="207">
        <f>IFERROR(SUMIF(data!$E:$E,科目余额表!$B37,data!J:J),0)</f>
        <v>0</v>
      </c>
      <c r="O37" s="207">
        <f>IFERROR(SUMIF(data!$E:$E,科目余额表!$B37,data!K:K),0)</f>
        <v>0</v>
      </c>
      <c r="P37" s="207">
        <f>IFERROR(SUMIF(data!$E:$E,科目余额表!$B37,data!L:L),0)</f>
        <v>0</v>
      </c>
      <c r="Q37" s="207">
        <f>IFERROR(SUMIF(data!$E:$E,科目余额表!$B37,data!M:M),0)</f>
        <v>0</v>
      </c>
      <c r="R37" s="207">
        <f>IFERROR(SUMIF(data!$E:$E,科目余额表!$B37,data!N:N),0)</f>
        <v>0</v>
      </c>
      <c r="S37" s="207">
        <f>IFERROR(SUMIF(data!$E:$E,科目余额表!$B37,data!O:O),0)</f>
        <v>0</v>
      </c>
      <c r="T37" s="207">
        <f>IFERROR(SUMIF(data!$E:$E,科目余额表!$B37,data!P:P),0)</f>
        <v>0</v>
      </c>
      <c r="U37" s="207">
        <f>IFERROR(SUMIF(data!$E:$E,科目余额表!$B37,data!Q:Q),0)</f>
        <v>0</v>
      </c>
      <c r="V37" s="207">
        <f>IFERROR(SUMIF(data!$E:$E,科目余额表!$B37,data!R:R),0)</f>
        <v>0</v>
      </c>
      <c r="W37" s="207">
        <f>IFERROR(SUMIF(data!$E:$E,科目余额表!$B37,data!S:S),0)</f>
        <v>0</v>
      </c>
      <c r="X37" s="207"/>
      <c r="Y37" s="207"/>
      <c r="Z37" s="207"/>
      <c r="AA37" s="207"/>
      <c r="AB37" s="207"/>
      <c r="AC37" s="207"/>
      <c r="AD37" s="207"/>
      <c r="AE37" s="207"/>
      <c r="AF37" s="207"/>
    </row>
    <row r="38" spans="1:32" s="214" customFormat="1" ht="11.65" customHeight="1">
      <c r="A38" s="215"/>
      <c r="B38" s="220">
        <v>10304</v>
      </c>
      <c r="C38" s="205" t="s">
        <v>283</v>
      </c>
      <c r="D38" s="221">
        <v>0</v>
      </c>
      <c r="E38" s="221">
        <v>0</v>
      </c>
      <c r="F38" s="222">
        <f t="shared" si="0"/>
        <v>0</v>
      </c>
      <c r="G38" s="205" t="s">
        <v>17</v>
      </c>
      <c r="H38" s="219" t="s">
        <v>250</v>
      </c>
      <c r="J38" s="207" t="s">
        <v>17</v>
      </c>
      <c r="K38" s="207"/>
      <c r="L38" s="207">
        <f>IFERROR(SUMIF(data!$E:$E,科目余额表!$B38,data!H:H),0)</f>
        <v>0</v>
      </c>
      <c r="M38" s="207">
        <f>IFERROR(SUMIF(data!$E:$E,科目余额表!$B38,data!I:I),0)</f>
        <v>0</v>
      </c>
      <c r="N38" s="207">
        <f>IFERROR(SUMIF(data!$E:$E,科目余额表!$B38,data!J:J),0)</f>
        <v>0</v>
      </c>
      <c r="O38" s="207">
        <f>IFERROR(SUMIF(data!$E:$E,科目余额表!$B38,data!K:K),0)</f>
        <v>0</v>
      </c>
      <c r="P38" s="207">
        <f>IFERROR(SUMIF(data!$E:$E,科目余额表!$B38,data!L:L),0)</f>
        <v>0</v>
      </c>
      <c r="Q38" s="207">
        <f>IFERROR(SUMIF(data!$E:$E,科目余额表!$B38,data!M:M),0)</f>
        <v>0</v>
      </c>
      <c r="R38" s="207">
        <f>IFERROR(SUMIF(data!$E:$E,科目余额表!$B38,data!N:N),0)</f>
        <v>0</v>
      </c>
      <c r="S38" s="207">
        <f>IFERROR(SUMIF(data!$E:$E,科目余额表!$B38,data!O:O),0)</f>
        <v>0</v>
      </c>
      <c r="T38" s="207">
        <f>IFERROR(SUMIF(data!$E:$E,科目余额表!$B38,data!P:P),0)</f>
        <v>0</v>
      </c>
      <c r="U38" s="207">
        <f>IFERROR(SUMIF(data!$E:$E,科目余额表!$B38,data!Q:Q),0)</f>
        <v>0</v>
      </c>
      <c r="V38" s="207">
        <f>IFERROR(SUMIF(data!$E:$E,科目余额表!$B38,data!R:R),0)</f>
        <v>0</v>
      </c>
      <c r="W38" s="207">
        <f>IFERROR(SUMIF(data!$E:$E,科目余额表!$B38,data!S:S),0)</f>
        <v>0</v>
      </c>
      <c r="X38" s="207"/>
      <c r="Y38" s="207"/>
      <c r="Z38" s="207"/>
      <c r="AA38" s="207"/>
      <c r="AB38" s="207"/>
      <c r="AC38" s="207"/>
      <c r="AD38" s="207"/>
      <c r="AE38" s="207"/>
      <c r="AF38" s="207"/>
    </row>
    <row r="39" spans="1:32" s="214" customFormat="1" ht="11.65" customHeight="1">
      <c r="A39" s="215"/>
      <c r="B39" s="220">
        <v>10305</v>
      </c>
      <c r="C39" s="205" t="s">
        <v>284</v>
      </c>
      <c r="D39" s="221">
        <v>0</v>
      </c>
      <c r="E39" s="221">
        <v>0</v>
      </c>
      <c r="F39" s="222">
        <f t="shared" si="0"/>
        <v>0</v>
      </c>
      <c r="G39" s="205" t="s">
        <v>17</v>
      </c>
      <c r="H39" s="219" t="s">
        <v>250</v>
      </c>
      <c r="J39" s="207" t="s">
        <v>17</v>
      </c>
      <c r="K39" s="207"/>
      <c r="L39" s="207">
        <f>IFERROR(SUMIF(data!$E:$E,科目余额表!$B39,data!H:H),0)</f>
        <v>0</v>
      </c>
      <c r="M39" s="207">
        <f>IFERROR(SUMIF(data!$E:$E,科目余额表!$B39,data!I:I),0)</f>
        <v>0</v>
      </c>
      <c r="N39" s="207">
        <f>IFERROR(SUMIF(data!$E:$E,科目余额表!$B39,data!J:J),0)</f>
        <v>0</v>
      </c>
      <c r="O39" s="207">
        <f>IFERROR(SUMIF(data!$E:$E,科目余额表!$B39,data!K:K),0)</f>
        <v>0</v>
      </c>
      <c r="P39" s="207">
        <f>IFERROR(SUMIF(data!$E:$E,科目余额表!$B39,data!L:L),0)</f>
        <v>0</v>
      </c>
      <c r="Q39" s="207">
        <f>IFERROR(SUMIF(data!$E:$E,科目余额表!$B39,data!M:M),0)</f>
        <v>0</v>
      </c>
      <c r="R39" s="207">
        <f>IFERROR(SUMIF(data!$E:$E,科目余额表!$B39,data!N:N),0)</f>
        <v>0</v>
      </c>
      <c r="S39" s="207">
        <f>IFERROR(SUMIF(data!$E:$E,科目余额表!$B39,data!O:O),0)</f>
        <v>0</v>
      </c>
      <c r="T39" s="207">
        <f>IFERROR(SUMIF(data!$E:$E,科目余额表!$B39,data!P:P),0)</f>
        <v>0</v>
      </c>
      <c r="U39" s="207">
        <f>IFERROR(SUMIF(data!$E:$E,科目余额表!$B39,data!Q:Q),0)</f>
        <v>0</v>
      </c>
      <c r="V39" s="207">
        <f>IFERROR(SUMIF(data!$E:$E,科目余额表!$B39,data!R:R),0)</f>
        <v>0</v>
      </c>
      <c r="W39" s="207">
        <f>IFERROR(SUMIF(data!$E:$E,科目余额表!$B39,data!S:S),0)</f>
        <v>0</v>
      </c>
      <c r="X39" s="207"/>
      <c r="Y39" s="207"/>
      <c r="Z39" s="207"/>
      <c r="AA39" s="207"/>
      <c r="AB39" s="207"/>
      <c r="AC39" s="207"/>
      <c r="AD39" s="207"/>
      <c r="AE39" s="207"/>
      <c r="AF39" s="207"/>
    </row>
    <row r="40" spans="1:32" s="214" customFormat="1" ht="11.65" customHeight="1">
      <c r="A40" s="215"/>
      <c r="B40" s="220">
        <v>10306</v>
      </c>
      <c r="C40" s="205" t="s">
        <v>285</v>
      </c>
      <c r="D40" s="221">
        <v>0</v>
      </c>
      <c r="E40" s="221">
        <v>0</v>
      </c>
      <c r="F40" s="222">
        <f t="shared" si="0"/>
        <v>0</v>
      </c>
      <c r="G40" s="205" t="s">
        <v>17</v>
      </c>
      <c r="H40" s="219" t="s">
        <v>250</v>
      </c>
      <c r="J40" s="207" t="s">
        <v>17</v>
      </c>
      <c r="K40" s="207"/>
      <c r="L40" s="207">
        <f>IFERROR(SUMIF(data!$E:$E,科目余额表!$B40,data!H:H),0)</f>
        <v>0</v>
      </c>
      <c r="M40" s="207">
        <f>IFERROR(SUMIF(data!$E:$E,科目余额表!$B40,data!I:I),0)</f>
        <v>0</v>
      </c>
      <c r="N40" s="207">
        <f>IFERROR(SUMIF(data!$E:$E,科目余额表!$B40,data!J:J),0)</f>
        <v>0</v>
      </c>
      <c r="O40" s="207">
        <f>IFERROR(SUMIF(data!$E:$E,科目余额表!$B40,data!K:K),0)</f>
        <v>0</v>
      </c>
      <c r="P40" s="207">
        <f>IFERROR(SUMIF(data!$E:$E,科目余额表!$B40,data!L:L),0)</f>
        <v>0</v>
      </c>
      <c r="Q40" s="207">
        <f>IFERROR(SUMIF(data!$E:$E,科目余额表!$B40,data!M:M),0)</f>
        <v>0</v>
      </c>
      <c r="R40" s="207">
        <f>IFERROR(SUMIF(data!$E:$E,科目余额表!$B40,data!N:N),0)</f>
        <v>0</v>
      </c>
      <c r="S40" s="207">
        <f>IFERROR(SUMIF(data!$E:$E,科目余额表!$B40,data!O:O),0)</f>
        <v>0</v>
      </c>
      <c r="T40" s="207">
        <f>IFERROR(SUMIF(data!$E:$E,科目余额表!$B40,data!P:P),0)</f>
        <v>0</v>
      </c>
      <c r="U40" s="207">
        <f>IFERROR(SUMIF(data!$E:$E,科目余额表!$B40,data!Q:Q),0)</f>
        <v>0</v>
      </c>
      <c r="V40" s="207">
        <f>IFERROR(SUMIF(data!$E:$E,科目余额表!$B40,data!R:R),0)</f>
        <v>0</v>
      </c>
      <c r="W40" s="207">
        <f>IFERROR(SUMIF(data!$E:$E,科目余额表!$B40,data!S:S),0)</f>
        <v>0</v>
      </c>
      <c r="X40" s="207"/>
      <c r="Y40" s="207"/>
      <c r="Z40" s="207"/>
      <c r="AA40" s="207"/>
      <c r="AB40" s="207"/>
      <c r="AC40" s="207"/>
      <c r="AD40" s="207"/>
      <c r="AE40" s="207"/>
      <c r="AF40" s="207"/>
    </row>
    <row r="41" spans="1:32" s="214" customFormat="1" ht="11.65" customHeight="1">
      <c r="A41" s="215"/>
      <c r="B41" s="220">
        <v>10307</v>
      </c>
      <c r="C41" s="205" t="s">
        <v>286</v>
      </c>
      <c r="D41" s="221">
        <v>0</v>
      </c>
      <c r="E41" s="221">
        <v>0</v>
      </c>
      <c r="F41" s="222">
        <f t="shared" si="0"/>
        <v>0</v>
      </c>
      <c r="G41" s="205" t="s">
        <v>17</v>
      </c>
      <c r="H41" s="219" t="s">
        <v>250</v>
      </c>
      <c r="J41" s="207" t="s">
        <v>17</v>
      </c>
      <c r="K41" s="207"/>
      <c r="L41" s="207">
        <f>IFERROR(SUMIF(data!$E:$E,科目余额表!$B41,data!H:H),0)</f>
        <v>0</v>
      </c>
      <c r="M41" s="207">
        <f>IFERROR(SUMIF(data!$E:$E,科目余额表!$B41,data!I:I),0)</f>
        <v>0</v>
      </c>
      <c r="N41" s="207">
        <f>IFERROR(SUMIF(data!$E:$E,科目余额表!$B41,data!J:J),0)</f>
        <v>0</v>
      </c>
      <c r="O41" s="207">
        <f>IFERROR(SUMIF(data!$E:$E,科目余额表!$B41,data!K:K),0)</f>
        <v>0</v>
      </c>
      <c r="P41" s="207">
        <f>IFERROR(SUMIF(data!$E:$E,科目余额表!$B41,data!L:L),0)</f>
        <v>0</v>
      </c>
      <c r="Q41" s="207">
        <f>IFERROR(SUMIF(data!$E:$E,科目余额表!$B41,data!M:M),0)</f>
        <v>0</v>
      </c>
      <c r="R41" s="207">
        <f>IFERROR(SUMIF(data!$E:$E,科目余额表!$B41,data!N:N),0)</f>
        <v>0</v>
      </c>
      <c r="S41" s="207">
        <f>IFERROR(SUMIF(data!$E:$E,科目余额表!$B41,data!O:O),0)</f>
        <v>0</v>
      </c>
      <c r="T41" s="207">
        <f>IFERROR(SUMIF(data!$E:$E,科目余额表!$B41,data!P:P),0)</f>
        <v>0</v>
      </c>
      <c r="U41" s="207">
        <f>IFERROR(SUMIF(data!$E:$E,科目余额表!$B41,data!Q:Q),0)</f>
        <v>0</v>
      </c>
      <c r="V41" s="207">
        <f>IFERROR(SUMIF(data!$E:$E,科目余额表!$B41,data!R:R),0)</f>
        <v>0</v>
      </c>
      <c r="W41" s="207">
        <f>IFERROR(SUMIF(data!$E:$E,科目余额表!$B41,data!S:S),0)</f>
        <v>0</v>
      </c>
      <c r="X41" s="207"/>
      <c r="Y41" s="207"/>
      <c r="Z41" s="207"/>
      <c r="AA41" s="207"/>
      <c r="AB41" s="207"/>
      <c r="AC41" s="207"/>
      <c r="AD41" s="207"/>
      <c r="AE41" s="207"/>
      <c r="AF41" s="207"/>
    </row>
    <row r="42" spans="1:32" s="214" customFormat="1" ht="11.65" customHeight="1">
      <c r="A42" s="215"/>
      <c r="B42" s="220">
        <v>10308</v>
      </c>
      <c r="C42" s="205" t="s">
        <v>287</v>
      </c>
      <c r="D42" s="221">
        <v>0</v>
      </c>
      <c r="E42" s="221">
        <v>0</v>
      </c>
      <c r="F42" s="222">
        <f t="shared" si="0"/>
        <v>0</v>
      </c>
      <c r="G42" s="205" t="s">
        <v>17</v>
      </c>
      <c r="H42" s="219" t="s">
        <v>250</v>
      </c>
      <c r="J42" s="207" t="s">
        <v>17</v>
      </c>
      <c r="K42" s="207"/>
      <c r="L42" s="207">
        <f>IFERROR(SUMIF(data!$E:$E,科目余额表!$B42,data!H:H),0)</f>
        <v>0</v>
      </c>
      <c r="M42" s="207">
        <f>IFERROR(SUMIF(data!$E:$E,科目余额表!$B42,data!I:I),0)</f>
        <v>0</v>
      </c>
      <c r="N42" s="207">
        <f>IFERROR(SUMIF(data!$E:$E,科目余额表!$B42,data!J:J),0)</f>
        <v>0</v>
      </c>
      <c r="O42" s="207">
        <f>IFERROR(SUMIF(data!$E:$E,科目余额表!$B42,data!K:K),0)</f>
        <v>0</v>
      </c>
      <c r="P42" s="207">
        <f>IFERROR(SUMIF(data!$E:$E,科目余额表!$B42,data!L:L),0)</f>
        <v>0</v>
      </c>
      <c r="Q42" s="207">
        <f>IFERROR(SUMIF(data!$E:$E,科目余额表!$B42,data!M:M),0)</f>
        <v>0</v>
      </c>
      <c r="R42" s="207">
        <f>IFERROR(SUMIF(data!$E:$E,科目余额表!$B42,data!N:N),0)</f>
        <v>0</v>
      </c>
      <c r="S42" s="207">
        <f>IFERROR(SUMIF(data!$E:$E,科目余额表!$B42,data!O:O),0)</f>
        <v>0</v>
      </c>
      <c r="T42" s="207">
        <f>IFERROR(SUMIF(data!$E:$E,科目余额表!$B42,data!P:P),0)</f>
        <v>0</v>
      </c>
      <c r="U42" s="207">
        <f>IFERROR(SUMIF(data!$E:$E,科目余额表!$B42,data!Q:Q),0)</f>
        <v>0</v>
      </c>
      <c r="V42" s="207">
        <f>IFERROR(SUMIF(data!$E:$E,科目余额表!$B42,data!R:R),0)</f>
        <v>0</v>
      </c>
      <c r="W42" s="207">
        <f>IFERROR(SUMIF(data!$E:$E,科目余额表!$B42,data!S:S),0)</f>
        <v>0</v>
      </c>
      <c r="X42" s="207"/>
      <c r="Y42" s="207"/>
      <c r="Z42" s="207"/>
      <c r="AA42" s="207"/>
      <c r="AB42" s="207"/>
      <c r="AC42" s="207"/>
      <c r="AD42" s="207"/>
      <c r="AE42" s="207"/>
      <c r="AF42" s="207"/>
    </row>
    <row r="43" spans="1:32" s="214" customFormat="1" ht="11.65" customHeight="1">
      <c r="A43" s="215"/>
      <c r="B43" s="220">
        <v>10500</v>
      </c>
      <c r="C43" s="205" t="s">
        <v>288</v>
      </c>
      <c r="D43" s="221">
        <v>0</v>
      </c>
      <c r="E43" s="221">
        <v>0</v>
      </c>
      <c r="F43" s="222">
        <f t="shared" si="0"/>
        <v>0</v>
      </c>
      <c r="G43" s="205" t="s">
        <v>249</v>
      </c>
      <c r="H43" s="219" t="s">
        <v>250</v>
      </c>
      <c r="J43" s="207" t="s">
        <v>13</v>
      </c>
      <c r="K43" s="207"/>
      <c r="L43" s="207">
        <f>IFERROR(SUMIF(data!$E:$E,科目余额表!$B43,data!H:H),0)</f>
        <v>0</v>
      </c>
      <c r="M43" s="207">
        <f>IFERROR(SUMIF(data!$E:$E,科目余额表!$B43,data!I:I),0)</f>
        <v>0</v>
      </c>
      <c r="N43" s="207">
        <f>IFERROR(SUMIF(data!$E:$E,科目余额表!$B43,data!J:J),0)</f>
        <v>0</v>
      </c>
      <c r="O43" s="207">
        <f>IFERROR(SUMIF(data!$E:$E,科目余额表!$B43,data!K:K),0)</f>
        <v>0</v>
      </c>
      <c r="P43" s="207">
        <f>IFERROR(SUMIF(data!$E:$E,科目余额表!$B43,data!L:L),0)</f>
        <v>0</v>
      </c>
      <c r="Q43" s="207">
        <f>IFERROR(SUMIF(data!$E:$E,科目余额表!$B43,data!M:M),0)</f>
        <v>0</v>
      </c>
      <c r="R43" s="207">
        <f>IFERROR(SUMIF(data!$E:$E,科目余额表!$B43,data!N:N),0)</f>
        <v>0</v>
      </c>
      <c r="S43" s="207">
        <f>IFERROR(SUMIF(data!$E:$E,科目余额表!$B43,data!O:O),0)</f>
        <v>0</v>
      </c>
      <c r="T43" s="207">
        <f>IFERROR(SUMIF(data!$E:$E,科目余额表!$B43,data!P:P),0)</f>
        <v>0</v>
      </c>
      <c r="U43" s="207">
        <f>IFERROR(SUMIF(data!$E:$E,科目余额表!$B43,data!Q:Q),0)</f>
        <v>0</v>
      </c>
      <c r="V43" s="207">
        <f>IFERROR(SUMIF(data!$E:$E,科目余额表!$B43,data!R:R),0)</f>
        <v>0</v>
      </c>
      <c r="W43" s="207">
        <f>IFERROR(SUMIF(data!$E:$E,科目余额表!$B43,data!S:S),0)</f>
        <v>0</v>
      </c>
      <c r="X43" s="207"/>
      <c r="Y43" s="207"/>
      <c r="Z43" s="207"/>
      <c r="AA43" s="207"/>
      <c r="AB43" s="207"/>
      <c r="AC43" s="207"/>
      <c r="AD43" s="207"/>
      <c r="AE43" s="207"/>
      <c r="AF43" s="207"/>
    </row>
    <row r="44" spans="1:32" s="214" customFormat="1" ht="11.65" customHeight="1">
      <c r="A44" s="215"/>
      <c r="B44" s="220">
        <v>10501</v>
      </c>
      <c r="C44" s="205" t="s">
        <v>289</v>
      </c>
      <c r="D44" s="221">
        <v>0</v>
      </c>
      <c r="E44" s="221">
        <v>0</v>
      </c>
      <c r="F44" s="222">
        <f t="shared" si="0"/>
        <v>0</v>
      </c>
      <c r="G44" s="205" t="s">
        <v>249</v>
      </c>
      <c r="H44" s="219" t="s">
        <v>250</v>
      </c>
      <c r="J44" s="207" t="s">
        <v>13</v>
      </c>
      <c r="K44" s="207"/>
      <c r="L44" s="207">
        <f>IFERROR(SUMIF(data!$E:$E,科目余额表!$B44,data!H:H),0)</f>
        <v>0</v>
      </c>
      <c r="M44" s="207">
        <f>IFERROR(SUMIF(data!$E:$E,科目余额表!$B44,data!I:I),0)</f>
        <v>0</v>
      </c>
      <c r="N44" s="207">
        <f>IFERROR(SUMIF(data!$E:$E,科目余额表!$B44,data!J:J),0)</f>
        <v>0</v>
      </c>
      <c r="O44" s="207">
        <f>IFERROR(SUMIF(data!$E:$E,科目余额表!$B44,data!K:K),0)</f>
        <v>0</v>
      </c>
      <c r="P44" s="207">
        <f>IFERROR(SUMIF(data!$E:$E,科目余额表!$B44,data!L:L),0)</f>
        <v>0</v>
      </c>
      <c r="Q44" s="207">
        <f>IFERROR(SUMIF(data!$E:$E,科目余额表!$B44,data!M:M),0)</f>
        <v>0</v>
      </c>
      <c r="R44" s="207">
        <f>IFERROR(SUMIF(data!$E:$E,科目余额表!$B44,data!N:N),0)</f>
        <v>0</v>
      </c>
      <c r="S44" s="207">
        <f>IFERROR(SUMIF(data!$E:$E,科目余额表!$B44,data!O:O),0)</f>
        <v>0</v>
      </c>
      <c r="T44" s="207">
        <f>IFERROR(SUMIF(data!$E:$E,科目余额表!$B44,data!P:P),0)</f>
        <v>0</v>
      </c>
      <c r="U44" s="207">
        <f>IFERROR(SUMIF(data!$E:$E,科目余额表!$B44,data!Q:Q),0)</f>
        <v>0</v>
      </c>
      <c r="V44" s="207">
        <f>IFERROR(SUMIF(data!$E:$E,科目余额表!$B44,data!R:R),0)</f>
        <v>0</v>
      </c>
      <c r="W44" s="207">
        <f>IFERROR(SUMIF(data!$E:$E,科目余额表!$B44,data!S:S),0)</f>
        <v>0</v>
      </c>
      <c r="X44" s="207"/>
      <c r="Y44" s="207"/>
      <c r="Z44" s="207"/>
      <c r="AA44" s="207"/>
      <c r="AB44" s="207"/>
      <c r="AC44" s="207"/>
      <c r="AD44" s="207"/>
      <c r="AE44" s="207"/>
      <c r="AF44" s="207"/>
    </row>
    <row r="45" spans="1:32" s="214" customFormat="1" ht="11.65" customHeight="1">
      <c r="A45" s="215"/>
      <c r="B45" s="220">
        <v>11000</v>
      </c>
      <c r="C45" s="205" t="s">
        <v>290</v>
      </c>
      <c r="D45" s="221">
        <v>0</v>
      </c>
      <c r="E45" s="221">
        <v>0</v>
      </c>
      <c r="F45" s="222">
        <f t="shared" si="0"/>
        <v>0</v>
      </c>
      <c r="G45" s="205" t="s">
        <v>290</v>
      </c>
      <c r="H45" s="219" t="s">
        <v>250</v>
      </c>
      <c r="J45" s="207" t="s">
        <v>290</v>
      </c>
      <c r="K45" s="207"/>
      <c r="L45" s="207">
        <f>IFERROR(SUMIF(data!$E:$E,科目余额表!$B45,data!H:H),0)</f>
        <v>0</v>
      </c>
      <c r="M45" s="207">
        <f>IFERROR(SUMIF(data!$E:$E,科目余额表!$B45,data!I:I),0)</f>
        <v>0</v>
      </c>
      <c r="N45" s="207">
        <f>IFERROR(SUMIF(data!$E:$E,科目余额表!$B45,data!J:J),0)</f>
        <v>0</v>
      </c>
      <c r="O45" s="207">
        <f>IFERROR(SUMIF(data!$E:$E,科目余额表!$B45,data!K:K),0)</f>
        <v>0</v>
      </c>
      <c r="P45" s="207">
        <f>IFERROR(SUMIF(data!$E:$E,科目余额表!$B45,data!L:L),0)</f>
        <v>0</v>
      </c>
      <c r="Q45" s="207">
        <f>IFERROR(SUMIF(data!$E:$E,科目余额表!$B45,data!M:M),0)</f>
        <v>0</v>
      </c>
      <c r="R45" s="207">
        <f>IFERROR(SUMIF(data!$E:$E,科目余额表!$B45,data!N:N),0)</f>
        <v>0</v>
      </c>
      <c r="S45" s="207">
        <f>IFERROR(SUMIF(data!$E:$E,科目余额表!$B45,data!O:O),0)</f>
        <v>0</v>
      </c>
      <c r="T45" s="207">
        <f>IFERROR(SUMIF(data!$E:$E,科目余额表!$B45,data!P:P),0)</f>
        <v>0</v>
      </c>
      <c r="U45" s="207">
        <f>IFERROR(SUMIF(data!$E:$E,科目余额表!$B45,data!Q:Q),0)</f>
        <v>0</v>
      </c>
      <c r="V45" s="207">
        <f>IFERROR(SUMIF(data!$E:$E,科目余额表!$B45,data!R:R),0)</f>
        <v>0</v>
      </c>
      <c r="W45" s="207">
        <f>IFERROR(SUMIF(data!$E:$E,科目余额表!$B45,data!S:S),0)</f>
        <v>0</v>
      </c>
      <c r="X45" s="207"/>
      <c r="Y45" s="207"/>
      <c r="Z45" s="207"/>
      <c r="AA45" s="207"/>
      <c r="AB45" s="207"/>
      <c r="AC45" s="207"/>
      <c r="AD45" s="207"/>
      <c r="AE45" s="207"/>
      <c r="AF45" s="207"/>
    </row>
    <row r="46" spans="1:32" s="214" customFormat="1" ht="11.65" customHeight="1">
      <c r="A46" s="215"/>
      <c r="B46" s="220">
        <v>12000</v>
      </c>
      <c r="C46" s="205" t="s">
        <v>291</v>
      </c>
      <c r="D46" s="221">
        <v>0</v>
      </c>
      <c r="E46" s="221">
        <v>0</v>
      </c>
      <c r="F46" s="222">
        <f t="shared" si="0"/>
        <v>0</v>
      </c>
      <c r="G46" s="205" t="s">
        <v>291</v>
      </c>
      <c r="H46" s="219" t="s">
        <v>250</v>
      </c>
      <c r="J46" s="207" t="s">
        <v>291</v>
      </c>
      <c r="K46" s="207"/>
      <c r="L46" s="207">
        <f>IFERROR(SUMIF(data!$E:$E,科目余额表!$B46,data!H:H),0)</f>
        <v>0</v>
      </c>
      <c r="M46" s="207">
        <f>IFERROR(SUMIF(data!$E:$E,科目余额表!$B46,data!I:I),0)</f>
        <v>0</v>
      </c>
      <c r="N46" s="207">
        <f>IFERROR(SUMIF(data!$E:$E,科目余额表!$B46,data!J:J),0)</f>
        <v>0</v>
      </c>
      <c r="O46" s="207">
        <f>IFERROR(SUMIF(data!$E:$E,科目余额表!$B46,data!K:K),0)</f>
        <v>45953.71</v>
      </c>
      <c r="P46" s="207">
        <f>IFERROR(SUMIF(data!$E:$E,科目余额表!$B46,data!L:L),0)</f>
        <v>89294.66</v>
      </c>
      <c r="Q46" s="207">
        <f>IFERROR(SUMIF(data!$E:$E,科目余额表!$B46,data!M:M),0)</f>
        <v>91907.42</v>
      </c>
      <c r="R46" s="207">
        <f>IFERROR(SUMIF(data!$E:$E,科目余额表!$B46,data!N:N),0)</f>
        <v>0</v>
      </c>
      <c r="S46" s="207">
        <f>IFERROR(SUMIF(data!$E:$E,科目余额表!$B46,data!O:O),0)</f>
        <v>0</v>
      </c>
      <c r="T46" s="207">
        <f>IFERROR(SUMIF(data!$E:$E,科目余额表!$B46,data!P:P),0)</f>
        <v>1029936.82</v>
      </c>
      <c r="U46" s="207">
        <f>IFERROR(SUMIF(data!$E:$E,科目余额表!$B46,data!Q:Q),0)</f>
        <v>727681.4</v>
      </c>
      <c r="V46" s="207">
        <f>IFERROR(SUMIF(data!$E:$E,科目余额表!$B46,data!R:R),0)</f>
        <v>0</v>
      </c>
      <c r="W46" s="207">
        <f>IFERROR(SUMIF(data!$E:$E,科目余额表!$B46,data!S:S),0)</f>
        <v>0</v>
      </c>
      <c r="X46" s="207"/>
      <c r="Y46" s="207"/>
      <c r="Z46" s="207"/>
      <c r="AA46" s="207"/>
      <c r="AB46" s="207"/>
      <c r="AC46" s="207"/>
      <c r="AD46" s="207"/>
      <c r="AE46" s="207"/>
      <c r="AF46" s="207"/>
    </row>
    <row r="47" spans="1:32" s="214" customFormat="1" ht="11.65" customHeight="1">
      <c r="A47" s="215"/>
      <c r="B47" s="220">
        <v>12100</v>
      </c>
      <c r="C47" s="205" t="s">
        <v>292</v>
      </c>
      <c r="D47" s="221">
        <v>6176089.2500000009</v>
      </c>
      <c r="E47" s="221">
        <v>-2008932.8900000011</v>
      </c>
      <c r="F47" s="222">
        <f t="shared" si="0"/>
        <v>4167156.36</v>
      </c>
      <c r="G47" s="205" t="s">
        <v>293</v>
      </c>
      <c r="H47" s="219" t="s">
        <v>250</v>
      </c>
      <c r="J47" s="207" t="s">
        <v>293</v>
      </c>
      <c r="K47" s="207"/>
      <c r="L47" s="207">
        <f>IFERROR(SUMIF(data!$E:$E,科目余额表!$B47,data!H:H),0)</f>
        <v>18182511.899999999</v>
      </c>
      <c r="M47" s="207">
        <f>IFERROR(SUMIF(data!$E:$E,科目余额表!$B47,data!I:I),0)</f>
        <v>21978843.849999998</v>
      </c>
      <c r="N47" s="207">
        <f>IFERROR(SUMIF(data!$E:$E,科目余额表!$B47,data!J:J),0)</f>
        <v>23228465.75</v>
      </c>
      <c r="O47" s="207">
        <f>IFERROR(SUMIF(data!$E:$E,科目余额表!$B47,data!K:K),0)</f>
        <v>15345800.539999999</v>
      </c>
      <c r="P47" s="207">
        <f>IFERROR(SUMIF(data!$E:$E,科目余额表!$B47,data!L:L),0)</f>
        <v>8150982.8200000003</v>
      </c>
      <c r="Q47" s="207">
        <f>IFERROR(SUMIF(data!$E:$E,科目余额表!$B47,data!M:M),0)</f>
        <v>9130827.7799999993</v>
      </c>
      <c r="R47" s="207">
        <f>IFERROR(SUMIF(data!$E:$E,科目余额表!$B47,data!N:N),0)</f>
        <v>7056139.5000000009</v>
      </c>
      <c r="S47" s="207">
        <f>IFERROR(SUMIF(data!$E:$E,科目余额表!$B47,data!O:O),0)</f>
        <v>3992102.84</v>
      </c>
      <c r="T47" s="207">
        <f>IFERROR(SUMIF(data!$E:$E,科目余额表!$B47,data!P:P),0)</f>
        <v>6470033.0299999993</v>
      </c>
      <c r="U47" s="207">
        <f>IFERROR(SUMIF(data!$E:$E,科目余额表!$B47,data!Q:Q),0)</f>
        <v>8308917.5299999993</v>
      </c>
      <c r="V47" s="207">
        <f>IFERROR(SUMIF(data!$E:$E,科目余额表!$B47,data!R:R),0)</f>
        <v>6176089.2500000009</v>
      </c>
      <c r="W47" s="207">
        <f>IFERROR(SUMIF(data!$E:$E,科目余额表!$B47,data!S:S),0)</f>
        <v>4167156.36</v>
      </c>
      <c r="X47" s="207"/>
      <c r="Y47" s="207"/>
      <c r="Z47" s="207"/>
      <c r="AA47" s="207"/>
      <c r="AB47" s="207"/>
      <c r="AC47" s="207"/>
      <c r="AD47" s="207"/>
      <c r="AE47" s="207"/>
      <c r="AF47" s="207"/>
    </row>
    <row r="48" spans="1:32" s="214" customFormat="1" ht="11.65" customHeight="1">
      <c r="A48" s="215"/>
      <c r="B48" s="220">
        <v>12101</v>
      </c>
      <c r="C48" s="205" t="s">
        <v>294</v>
      </c>
      <c r="D48" s="221">
        <v>0</v>
      </c>
      <c r="E48" s="221">
        <v>0</v>
      </c>
      <c r="F48" s="222">
        <f t="shared" si="0"/>
        <v>0</v>
      </c>
      <c r="G48" s="205" t="s">
        <v>293</v>
      </c>
      <c r="H48" s="219" t="s">
        <v>250</v>
      </c>
      <c r="J48" s="207" t="s">
        <v>293</v>
      </c>
      <c r="K48" s="207"/>
      <c r="L48" s="207">
        <f>IFERROR(SUMIF(data!$E:$E,科目余额表!$B48,data!H:H),0)</f>
        <v>0</v>
      </c>
      <c r="M48" s="207">
        <f>IFERROR(SUMIF(data!$E:$E,科目余额表!$B48,data!I:I),0)</f>
        <v>0</v>
      </c>
      <c r="N48" s="207">
        <f>IFERROR(SUMIF(data!$E:$E,科目余额表!$B48,data!J:J),0)</f>
        <v>0</v>
      </c>
      <c r="O48" s="207">
        <f>IFERROR(SUMIF(data!$E:$E,科目余额表!$B48,data!K:K),0)</f>
        <v>0</v>
      </c>
      <c r="P48" s="207">
        <f>IFERROR(SUMIF(data!$E:$E,科目余额表!$B48,data!L:L),0)</f>
        <v>0</v>
      </c>
      <c r="Q48" s="207">
        <f>IFERROR(SUMIF(data!$E:$E,科目余额表!$B48,data!M:M),0)</f>
        <v>0</v>
      </c>
      <c r="R48" s="207">
        <f>IFERROR(SUMIF(data!$E:$E,科目余额表!$B48,data!N:N),0)</f>
        <v>0</v>
      </c>
      <c r="S48" s="207">
        <f>IFERROR(SUMIF(data!$E:$E,科目余额表!$B48,data!O:O),0)</f>
        <v>0</v>
      </c>
      <c r="T48" s="207">
        <f>IFERROR(SUMIF(data!$E:$E,科目余额表!$B48,data!P:P),0)</f>
        <v>0</v>
      </c>
      <c r="U48" s="207">
        <f>IFERROR(SUMIF(data!$E:$E,科目余额表!$B48,data!Q:Q),0)</f>
        <v>0</v>
      </c>
      <c r="V48" s="207">
        <f>IFERROR(SUMIF(data!$E:$E,科目余额表!$B48,data!R:R),0)</f>
        <v>0</v>
      </c>
      <c r="W48" s="207">
        <f>IFERROR(SUMIF(data!$E:$E,科目余额表!$B48,data!S:S),0)</f>
        <v>0</v>
      </c>
      <c r="X48" s="207"/>
      <c r="Y48" s="207"/>
      <c r="Z48" s="207"/>
      <c r="AA48" s="207"/>
      <c r="AB48" s="207"/>
      <c r="AC48" s="207"/>
      <c r="AD48" s="207"/>
      <c r="AE48" s="207"/>
      <c r="AF48" s="207"/>
    </row>
    <row r="49" spans="1:32" s="214" customFormat="1" ht="11.65" customHeight="1">
      <c r="A49" s="215"/>
      <c r="B49" s="220">
        <v>12102</v>
      </c>
      <c r="C49" s="205" t="s">
        <v>295</v>
      </c>
      <c r="D49" s="221">
        <v>0</v>
      </c>
      <c r="E49" s="221">
        <v>0</v>
      </c>
      <c r="F49" s="222">
        <f t="shared" si="0"/>
        <v>0</v>
      </c>
      <c r="G49" s="205" t="s">
        <v>293</v>
      </c>
      <c r="H49" s="219" t="s">
        <v>250</v>
      </c>
      <c r="J49" s="207" t="s">
        <v>293</v>
      </c>
      <c r="K49" s="207"/>
      <c r="L49" s="207">
        <f>IFERROR(SUMIF(data!$E:$E,科目余额表!$B49,data!H:H),0)</f>
        <v>0</v>
      </c>
      <c r="M49" s="207">
        <f>IFERROR(SUMIF(data!$E:$E,科目余额表!$B49,data!I:I),0)</f>
        <v>0</v>
      </c>
      <c r="N49" s="207">
        <f>IFERROR(SUMIF(data!$E:$E,科目余额表!$B49,data!J:J),0)</f>
        <v>0</v>
      </c>
      <c r="O49" s="207">
        <f>IFERROR(SUMIF(data!$E:$E,科目余额表!$B49,data!K:K),0)</f>
        <v>0</v>
      </c>
      <c r="P49" s="207">
        <f>IFERROR(SUMIF(data!$E:$E,科目余额表!$B49,data!L:L),0)</f>
        <v>0</v>
      </c>
      <c r="Q49" s="207">
        <f>IFERROR(SUMIF(data!$E:$E,科目余额表!$B49,data!M:M),0)</f>
        <v>0</v>
      </c>
      <c r="R49" s="207">
        <f>IFERROR(SUMIF(data!$E:$E,科目余额表!$B49,data!N:N),0)</f>
        <v>0</v>
      </c>
      <c r="S49" s="207">
        <f>IFERROR(SUMIF(data!$E:$E,科目余额表!$B49,data!O:O),0)</f>
        <v>0</v>
      </c>
      <c r="T49" s="207">
        <f>IFERROR(SUMIF(data!$E:$E,科目余额表!$B49,data!P:P),0)</f>
        <v>0</v>
      </c>
      <c r="U49" s="207">
        <f>IFERROR(SUMIF(data!$E:$E,科目余额表!$B49,data!Q:Q),0)</f>
        <v>0</v>
      </c>
      <c r="V49" s="207">
        <f>IFERROR(SUMIF(data!$E:$E,科目余额表!$B49,data!R:R),0)</f>
        <v>0</v>
      </c>
      <c r="W49" s="207">
        <f>IFERROR(SUMIF(data!$E:$E,科目余额表!$B49,data!S:S),0)</f>
        <v>0</v>
      </c>
      <c r="X49" s="207"/>
      <c r="Y49" s="207"/>
      <c r="Z49" s="207"/>
      <c r="AA49" s="207"/>
      <c r="AB49" s="207"/>
      <c r="AC49" s="207"/>
      <c r="AD49" s="207"/>
      <c r="AE49" s="207"/>
      <c r="AF49" s="207"/>
    </row>
    <row r="50" spans="1:32" s="214" customFormat="1" ht="11.65" customHeight="1">
      <c r="A50" s="215"/>
      <c r="B50" s="220">
        <v>12103</v>
      </c>
      <c r="C50" s="205" t="s">
        <v>296</v>
      </c>
      <c r="D50" s="221">
        <v>0</v>
      </c>
      <c r="E50" s="221">
        <v>0</v>
      </c>
      <c r="F50" s="222">
        <f t="shared" si="0"/>
        <v>0</v>
      </c>
      <c r="G50" s="205" t="s">
        <v>293</v>
      </c>
      <c r="H50" s="219" t="s">
        <v>250</v>
      </c>
      <c r="J50" s="207" t="s">
        <v>293</v>
      </c>
      <c r="K50" s="207"/>
      <c r="L50" s="207">
        <f>IFERROR(SUMIF(data!$E:$E,科目余额表!$B50,data!H:H),0)</f>
        <v>0</v>
      </c>
      <c r="M50" s="207">
        <f>IFERROR(SUMIF(data!$E:$E,科目余额表!$B50,data!I:I),0)</f>
        <v>0</v>
      </c>
      <c r="N50" s="207">
        <f>IFERROR(SUMIF(data!$E:$E,科目余额表!$B50,data!J:J),0)</f>
        <v>0</v>
      </c>
      <c r="O50" s="207">
        <f>IFERROR(SUMIF(data!$E:$E,科目余额表!$B50,data!K:K),0)</f>
        <v>0</v>
      </c>
      <c r="P50" s="207">
        <f>IFERROR(SUMIF(data!$E:$E,科目余额表!$B50,data!L:L),0)</f>
        <v>0</v>
      </c>
      <c r="Q50" s="207">
        <f>IFERROR(SUMIF(data!$E:$E,科目余额表!$B50,data!M:M),0)</f>
        <v>0</v>
      </c>
      <c r="R50" s="207">
        <f>IFERROR(SUMIF(data!$E:$E,科目余额表!$B50,data!N:N),0)</f>
        <v>0</v>
      </c>
      <c r="S50" s="207">
        <f>IFERROR(SUMIF(data!$E:$E,科目余额表!$B50,data!O:O),0)</f>
        <v>0</v>
      </c>
      <c r="T50" s="207">
        <f>IFERROR(SUMIF(data!$E:$E,科目余额表!$B50,data!P:P),0)</f>
        <v>0</v>
      </c>
      <c r="U50" s="207">
        <f>IFERROR(SUMIF(data!$E:$E,科目余额表!$B50,data!Q:Q),0)</f>
        <v>0</v>
      </c>
      <c r="V50" s="207">
        <f>IFERROR(SUMIF(data!$E:$E,科目余额表!$B50,data!R:R),0)</f>
        <v>0</v>
      </c>
      <c r="W50" s="207">
        <f>IFERROR(SUMIF(data!$E:$E,科目余额表!$B50,data!S:S),0)</f>
        <v>0</v>
      </c>
      <c r="X50" s="207"/>
      <c r="Y50" s="207"/>
      <c r="Z50" s="207"/>
      <c r="AA50" s="207"/>
      <c r="AB50" s="207"/>
      <c r="AC50" s="207"/>
      <c r="AD50" s="207"/>
      <c r="AE50" s="207"/>
      <c r="AF50" s="207"/>
    </row>
    <row r="51" spans="1:32" s="214" customFormat="1" ht="11.65" customHeight="1">
      <c r="A51" s="215"/>
      <c r="B51" s="220">
        <v>12109</v>
      </c>
      <c r="C51" s="205" t="s">
        <v>297</v>
      </c>
      <c r="D51" s="221">
        <v>8097581.7799999993</v>
      </c>
      <c r="E51" s="221">
        <v>2996319.4000000004</v>
      </c>
      <c r="F51" s="222">
        <f t="shared" si="0"/>
        <v>11093901.18</v>
      </c>
      <c r="G51" s="205" t="s">
        <v>293</v>
      </c>
      <c r="H51" s="219" t="s">
        <v>250</v>
      </c>
      <c r="J51" s="207" t="s">
        <v>293</v>
      </c>
      <c r="K51" s="207"/>
      <c r="L51" s="207">
        <f>IFERROR(SUMIF(data!$E:$E,科目余额表!$B51,data!H:H),0)</f>
        <v>7632122.0700000003</v>
      </c>
      <c r="M51" s="207">
        <f>IFERROR(SUMIF(data!$E:$E,科目余额表!$B51,data!I:I),0)</f>
        <v>6167877.2699999996</v>
      </c>
      <c r="N51" s="207">
        <f>IFERROR(SUMIF(data!$E:$E,科目余额表!$B51,data!J:J),0)</f>
        <v>9638473.4000000004</v>
      </c>
      <c r="O51" s="207">
        <f>IFERROR(SUMIF(data!$E:$E,科目余额表!$B51,data!K:K),0)</f>
        <v>6296959.3200000003</v>
      </c>
      <c r="P51" s="207">
        <f>IFERROR(SUMIF(data!$E:$E,科目余额表!$B51,data!L:L),0)</f>
        <v>9010449.6600000001</v>
      </c>
      <c r="Q51" s="207">
        <f>IFERROR(SUMIF(data!$E:$E,科目余额表!$B51,data!M:M),0)</f>
        <v>8410475.2699999996</v>
      </c>
      <c r="R51" s="207">
        <f>IFERROR(SUMIF(data!$E:$E,科目余额表!$B51,data!N:N),0)</f>
        <v>5512187.0299999993</v>
      </c>
      <c r="S51" s="207">
        <f>IFERROR(SUMIF(data!$E:$E,科目余额表!$B51,data!O:O),0)</f>
        <v>6254319.5499999998</v>
      </c>
      <c r="T51" s="207">
        <f>IFERROR(SUMIF(data!$E:$E,科目余额表!$B51,data!P:P),0)</f>
        <v>7049046.4400000004</v>
      </c>
      <c r="U51" s="207">
        <f>IFERROR(SUMIF(data!$E:$E,科目余额表!$B51,data!Q:Q),0)</f>
        <v>7267005.2199999988</v>
      </c>
      <c r="V51" s="207">
        <f>IFERROR(SUMIF(data!$E:$E,科目余额表!$B51,data!R:R),0)</f>
        <v>8097581.7799999993</v>
      </c>
      <c r="W51" s="207">
        <f>IFERROR(SUMIF(data!$E:$E,科目余额表!$B51,data!S:S),0)</f>
        <v>11093901.18</v>
      </c>
      <c r="X51" s="207"/>
      <c r="Y51" s="207"/>
      <c r="Z51" s="207"/>
      <c r="AA51" s="207"/>
      <c r="AB51" s="207"/>
      <c r="AC51" s="207"/>
      <c r="AD51" s="207"/>
      <c r="AE51" s="207"/>
      <c r="AF51" s="207"/>
    </row>
    <row r="52" spans="1:32" s="214" customFormat="1" ht="11.65" customHeight="1">
      <c r="A52" s="215"/>
      <c r="B52" s="220">
        <v>12200</v>
      </c>
      <c r="C52" s="205" t="s">
        <v>298</v>
      </c>
      <c r="D52" s="221">
        <v>5063200</v>
      </c>
      <c r="E52" s="221">
        <v>-5063200</v>
      </c>
      <c r="F52" s="222">
        <f t="shared" si="0"/>
        <v>0</v>
      </c>
      <c r="G52" s="205" t="s">
        <v>298</v>
      </c>
      <c r="H52" s="219" t="s">
        <v>250</v>
      </c>
      <c r="J52" s="207" t="s">
        <v>293</v>
      </c>
      <c r="K52" s="207"/>
      <c r="L52" s="207">
        <f>IFERROR(SUMIF(data!$E:$E,科目余额表!$B52,data!H:H),0)</f>
        <v>15639200</v>
      </c>
      <c r="M52" s="207">
        <f>IFERROR(SUMIF(data!$E:$E,科目余额表!$B52,data!I:I),0)</f>
        <v>15639200</v>
      </c>
      <c r="N52" s="207">
        <f>IFERROR(SUMIF(data!$E:$E,科目余额表!$B52,data!J:J),0)</f>
        <v>15639200</v>
      </c>
      <c r="O52" s="207">
        <f>IFERROR(SUMIF(data!$E:$E,科目余额表!$B52,data!K:K),0)</f>
        <v>15639200</v>
      </c>
      <c r="P52" s="207">
        <f>IFERROR(SUMIF(data!$E:$E,科目余额表!$B52,data!L:L),0)</f>
        <v>9989200</v>
      </c>
      <c r="Q52" s="207">
        <f>IFERROR(SUMIF(data!$E:$E,科目余额表!$B52,data!M:M),0)</f>
        <v>9989200</v>
      </c>
      <c r="R52" s="207">
        <f>IFERROR(SUMIF(data!$E:$E,科目余额表!$B52,data!N:N),0)</f>
        <v>9989200</v>
      </c>
      <c r="S52" s="207">
        <f>IFERROR(SUMIF(data!$E:$E,科目余额表!$B52,data!O:O),0)</f>
        <v>9989200</v>
      </c>
      <c r="T52" s="207">
        <f>IFERROR(SUMIF(data!$E:$E,科目余额表!$B52,data!P:P),0)</f>
        <v>5063200</v>
      </c>
      <c r="U52" s="207">
        <f>IFERROR(SUMIF(data!$E:$E,科目余额表!$B52,data!Q:Q),0)</f>
        <v>5063200</v>
      </c>
      <c r="V52" s="207">
        <f>IFERROR(SUMIF(data!$E:$E,科目余额表!$B52,data!R:R),0)</f>
        <v>5063200</v>
      </c>
      <c r="W52" s="207">
        <f>IFERROR(SUMIF(data!$E:$E,科目余额表!$B52,data!S:S),0)</f>
        <v>0</v>
      </c>
      <c r="X52" s="207"/>
      <c r="Y52" s="207"/>
      <c r="Z52" s="207"/>
      <c r="AA52" s="207"/>
      <c r="AB52" s="207"/>
      <c r="AC52" s="207"/>
      <c r="AD52" s="207"/>
      <c r="AE52" s="207"/>
      <c r="AF52" s="207"/>
    </row>
    <row r="53" spans="1:32" s="214" customFormat="1" ht="11.65" customHeight="1">
      <c r="A53" s="215"/>
      <c r="B53" s="220">
        <v>12300</v>
      </c>
      <c r="C53" s="205" t="s">
        <v>299</v>
      </c>
      <c r="D53" s="221">
        <v>0</v>
      </c>
      <c r="E53" s="221">
        <v>0</v>
      </c>
      <c r="F53" s="222">
        <f t="shared" si="0"/>
        <v>0</v>
      </c>
      <c r="G53" s="205" t="s">
        <v>300</v>
      </c>
      <c r="H53" s="219" t="s">
        <v>250</v>
      </c>
      <c r="J53" s="207" t="s">
        <v>293</v>
      </c>
      <c r="K53" s="207"/>
      <c r="L53" s="207">
        <f>IFERROR(SUMIF(data!$E:$E,科目余额表!$B53,data!H:H),0)</f>
        <v>0</v>
      </c>
      <c r="M53" s="207">
        <f>IFERROR(SUMIF(data!$E:$E,科目余额表!$B53,data!I:I),0)</f>
        <v>0</v>
      </c>
      <c r="N53" s="207">
        <f>IFERROR(SUMIF(data!$E:$E,科目余额表!$B53,data!J:J),0)</f>
        <v>0</v>
      </c>
      <c r="O53" s="207">
        <f>IFERROR(SUMIF(data!$E:$E,科目余额表!$B53,data!K:K),0)</f>
        <v>0</v>
      </c>
      <c r="P53" s="207">
        <f>IFERROR(SUMIF(data!$E:$E,科目余额表!$B53,data!L:L),0)</f>
        <v>0</v>
      </c>
      <c r="Q53" s="207">
        <f>IFERROR(SUMIF(data!$E:$E,科目余额表!$B53,data!M:M),0)</f>
        <v>0</v>
      </c>
      <c r="R53" s="207">
        <f>IFERROR(SUMIF(data!$E:$E,科目余额表!$B53,data!N:N),0)</f>
        <v>0</v>
      </c>
      <c r="S53" s="207">
        <f>IFERROR(SUMIF(data!$E:$E,科目余额表!$B53,data!O:O),0)</f>
        <v>0</v>
      </c>
      <c r="T53" s="207">
        <f>IFERROR(SUMIF(data!$E:$E,科目余额表!$B53,data!P:P),0)</f>
        <v>0</v>
      </c>
      <c r="U53" s="207">
        <f>IFERROR(SUMIF(data!$E:$E,科目余额表!$B53,data!Q:Q),0)</f>
        <v>0</v>
      </c>
      <c r="V53" s="207">
        <f>IFERROR(SUMIF(data!$E:$E,科目余额表!$B53,data!R:R),0)</f>
        <v>0</v>
      </c>
      <c r="W53" s="207">
        <f>IFERROR(SUMIF(data!$E:$E,科目余额表!$B53,data!S:S),0)</f>
        <v>0</v>
      </c>
      <c r="X53" s="207"/>
      <c r="Y53" s="207"/>
      <c r="Z53" s="207"/>
      <c r="AA53" s="207"/>
      <c r="AB53" s="207"/>
      <c r="AC53" s="207"/>
      <c r="AD53" s="207"/>
      <c r="AE53" s="207"/>
      <c r="AF53" s="207"/>
    </row>
    <row r="54" spans="1:32" s="214" customFormat="1" ht="11.65" customHeight="1">
      <c r="A54" s="215"/>
      <c r="B54" s="220">
        <v>12400</v>
      </c>
      <c r="C54" s="205" t="s">
        <v>301</v>
      </c>
      <c r="D54" s="221">
        <v>250525.98</v>
      </c>
      <c r="E54" s="221">
        <v>55639.290000000008</v>
      </c>
      <c r="F54" s="222">
        <f t="shared" si="0"/>
        <v>306165.27</v>
      </c>
      <c r="G54" s="205" t="s">
        <v>302</v>
      </c>
      <c r="H54" s="219" t="s">
        <v>250</v>
      </c>
      <c r="J54" s="207" t="s">
        <v>29</v>
      </c>
      <c r="K54" s="207"/>
      <c r="L54" s="207">
        <f>IFERROR(SUMIF(data!$E:$E,科目余额表!$B54,data!H:H),0)</f>
        <v>550085.12</v>
      </c>
      <c r="M54" s="207">
        <f>IFERROR(SUMIF(data!$E:$E,科目余额表!$B54,data!I:I),0)</f>
        <v>387218.72</v>
      </c>
      <c r="N54" s="207">
        <f>IFERROR(SUMIF(data!$E:$E,科目余额表!$B54,data!J:J),0)</f>
        <v>368171.86</v>
      </c>
      <c r="O54" s="207">
        <f>IFERROR(SUMIF(data!$E:$E,科目余额表!$B54,data!K:K),0)</f>
        <v>258459.76</v>
      </c>
      <c r="P54" s="207">
        <f>IFERROR(SUMIF(data!$E:$E,科目余额表!$B54,data!L:L),0)</f>
        <v>320219.06</v>
      </c>
      <c r="Q54" s="207">
        <f>IFERROR(SUMIF(data!$E:$E,科目余额表!$B54,data!M:M),0)</f>
        <v>264116.63</v>
      </c>
      <c r="R54" s="207">
        <f>IFERROR(SUMIF(data!$E:$E,科目余额表!$B54,data!N:N),0)</f>
        <v>106467.03</v>
      </c>
      <c r="S54" s="207">
        <f>IFERROR(SUMIF(data!$E:$E,科目余额表!$B54,data!O:O),0)</f>
        <v>106048.44</v>
      </c>
      <c r="T54" s="207">
        <f>IFERROR(SUMIF(data!$E:$E,科目余额表!$B54,data!P:P),0)</f>
        <v>173637.56</v>
      </c>
      <c r="U54" s="207">
        <f>IFERROR(SUMIF(data!$E:$E,科目余额表!$B54,data!Q:Q),0)</f>
        <v>194265.83</v>
      </c>
      <c r="V54" s="207">
        <f>IFERROR(SUMIF(data!$E:$E,科目余额表!$B54,data!R:R),0)</f>
        <v>250525.98</v>
      </c>
      <c r="W54" s="207">
        <f>IFERROR(SUMIF(data!$E:$E,科目余额表!$B54,data!S:S),0)</f>
        <v>306165.27</v>
      </c>
      <c r="X54" s="207"/>
      <c r="Y54" s="207"/>
      <c r="Z54" s="207"/>
      <c r="AA54" s="207"/>
      <c r="AB54" s="207"/>
      <c r="AC54" s="207"/>
      <c r="AD54" s="207"/>
      <c r="AE54" s="207"/>
      <c r="AF54" s="207"/>
    </row>
    <row r="55" spans="1:32" s="214" customFormat="1" ht="11.65" customHeight="1">
      <c r="A55" s="215"/>
      <c r="B55" s="220">
        <v>12500</v>
      </c>
      <c r="C55" s="205" t="s">
        <v>303</v>
      </c>
      <c r="D55" s="221">
        <v>0</v>
      </c>
      <c r="E55" s="221">
        <v>0</v>
      </c>
      <c r="F55" s="222">
        <f t="shared" si="0"/>
        <v>0</v>
      </c>
      <c r="G55" s="205" t="s">
        <v>304</v>
      </c>
      <c r="H55" s="219" t="s">
        <v>250</v>
      </c>
      <c r="J55" s="207" t="s">
        <v>304</v>
      </c>
      <c r="K55" s="207"/>
      <c r="L55" s="207">
        <f>IFERROR(SUMIF(data!$E:$E,科目余额表!$B55,data!H:H),0)</f>
        <v>0</v>
      </c>
      <c r="M55" s="207">
        <f>IFERROR(SUMIF(data!$E:$E,科目余额表!$B55,data!I:I),0)</f>
        <v>0</v>
      </c>
      <c r="N55" s="207">
        <f>IFERROR(SUMIF(data!$E:$E,科目余额表!$B55,data!J:J),0)</f>
        <v>0</v>
      </c>
      <c r="O55" s="207">
        <f>IFERROR(SUMIF(data!$E:$E,科目余额表!$B55,data!K:K),0)</f>
        <v>0</v>
      </c>
      <c r="P55" s="207">
        <f>IFERROR(SUMIF(data!$E:$E,科目余额表!$B55,data!L:L),0)</f>
        <v>0</v>
      </c>
      <c r="Q55" s="207">
        <f>IFERROR(SUMIF(data!$E:$E,科目余额表!$B55,data!M:M),0)</f>
        <v>0</v>
      </c>
      <c r="R55" s="207">
        <f>IFERROR(SUMIF(data!$E:$E,科目余额表!$B55,data!N:N),0)</f>
        <v>0</v>
      </c>
      <c r="S55" s="207">
        <f>IFERROR(SUMIF(data!$E:$E,科目余额表!$B55,data!O:O),0)</f>
        <v>0</v>
      </c>
      <c r="T55" s="207">
        <f>IFERROR(SUMIF(data!$E:$E,科目余额表!$B55,data!P:P),0)</f>
        <v>0</v>
      </c>
      <c r="U55" s="207">
        <f>IFERROR(SUMIF(data!$E:$E,科目余额表!$B55,data!Q:Q),0)</f>
        <v>0</v>
      </c>
      <c r="V55" s="207">
        <f>IFERROR(SUMIF(data!$E:$E,科目余额表!$B55,data!R:R),0)</f>
        <v>0</v>
      </c>
      <c r="W55" s="207">
        <f>IFERROR(SUMIF(data!$E:$E,科目余额表!$B55,data!S:S),0)</f>
        <v>0</v>
      </c>
      <c r="X55" s="207"/>
      <c r="Y55" s="207"/>
      <c r="Z55" s="207"/>
      <c r="AA55" s="207"/>
      <c r="AB55" s="207"/>
      <c r="AC55" s="207"/>
      <c r="AD55" s="207"/>
      <c r="AE55" s="207"/>
      <c r="AF55" s="207"/>
    </row>
    <row r="56" spans="1:32" s="214" customFormat="1" ht="11.65" customHeight="1">
      <c r="A56" s="215"/>
      <c r="B56" s="220">
        <v>12600</v>
      </c>
      <c r="C56" s="205" t="s">
        <v>305</v>
      </c>
      <c r="D56" s="221">
        <v>0</v>
      </c>
      <c r="E56" s="221">
        <v>0</v>
      </c>
      <c r="F56" s="222">
        <f t="shared" si="0"/>
        <v>0</v>
      </c>
      <c r="G56" s="205" t="s">
        <v>304</v>
      </c>
      <c r="H56" s="219" t="s">
        <v>250</v>
      </c>
      <c r="J56" s="207" t="s">
        <v>304</v>
      </c>
      <c r="K56" s="207"/>
      <c r="L56" s="207">
        <f>IFERROR(SUMIF(data!$E:$E,科目余额表!$B56,data!H:H),0)</f>
        <v>0</v>
      </c>
      <c r="M56" s="207">
        <f>IFERROR(SUMIF(data!$E:$E,科目余额表!$B56,data!I:I),0)</f>
        <v>0</v>
      </c>
      <c r="N56" s="207">
        <f>IFERROR(SUMIF(data!$E:$E,科目余额表!$B56,data!J:J),0)</f>
        <v>0</v>
      </c>
      <c r="O56" s="207">
        <f>IFERROR(SUMIF(data!$E:$E,科目余额表!$B56,data!K:K),0)</f>
        <v>0</v>
      </c>
      <c r="P56" s="207">
        <f>IFERROR(SUMIF(data!$E:$E,科目余额表!$B56,data!L:L),0)</f>
        <v>0</v>
      </c>
      <c r="Q56" s="207">
        <f>IFERROR(SUMIF(data!$E:$E,科目余额表!$B56,data!M:M),0)</f>
        <v>0</v>
      </c>
      <c r="R56" s="207">
        <f>IFERROR(SUMIF(data!$E:$E,科目余额表!$B56,data!N:N),0)</f>
        <v>0</v>
      </c>
      <c r="S56" s="207">
        <f>IFERROR(SUMIF(data!$E:$E,科目余额表!$B56,data!O:O),0)</f>
        <v>0</v>
      </c>
      <c r="T56" s="207">
        <f>IFERROR(SUMIF(data!$E:$E,科目余额表!$B56,data!P:P),0)</f>
        <v>0</v>
      </c>
      <c r="U56" s="207">
        <f>IFERROR(SUMIF(data!$E:$E,科目余额表!$B56,data!Q:Q),0)</f>
        <v>0</v>
      </c>
      <c r="V56" s="207">
        <f>IFERROR(SUMIF(data!$E:$E,科目余额表!$B56,data!R:R),0)</f>
        <v>0</v>
      </c>
      <c r="W56" s="207">
        <f>IFERROR(SUMIF(data!$E:$E,科目余额表!$B56,data!S:S),0)</f>
        <v>0</v>
      </c>
      <c r="X56" s="207"/>
      <c r="Y56" s="207"/>
      <c r="Z56" s="207"/>
      <c r="AA56" s="207"/>
      <c r="AB56" s="207"/>
      <c r="AC56" s="207"/>
      <c r="AD56" s="207"/>
      <c r="AE56" s="207"/>
      <c r="AF56" s="207"/>
    </row>
    <row r="57" spans="1:32" s="214" customFormat="1" ht="11.65" customHeight="1">
      <c r="A57" s="215"/>
      <c r="B57" s="220">
        <v>12700</v>
      </c>
      <c r="C57" s="205" t="s">
        <v>306</v>
      </c>
      <c r="D57" s="221">
        <v>0</v>
      </c>
      <c r="E57" s="221">
        <v>0</v>
      </c>
      <c r="F57" s="222">
        <f t="shared" si="0"/>
        <v>0</v>
      </c>
      <c r="G57" s="205" t="s">
        <v>304</v>
      </c>
      <c r="H57" s="219" t="s">
        <v>250</v>
      </c>
      <c r="J57" s="207" t="s">
        <v>304</v>
      </c>
      <c r="K57" s="207"/>
      <c r="L57" s="207">
        <f>IFERROR(SUMIF(data!$E:$E,科目余额表!$B57,data!H:H),0)</f>
        <v>0</v>
      </c>
      <c r="M57" s="207">
        <f>IFERROR(SUMIF(data!$E:$E,科目余额表!$B57,data!I:I),0)</f>
        <v>0</v>
      </c>
      <c r="N57" s="207">
        <f>IFERROR(SUMIF(data!$E:$E,科目余额表!$B57,data!J:J),0)</f>
        <v>0</v>
      </c>
      <c r="O57" s="207">
        <f>IFERROR(SUMIF(data!$E:$E,科目余额表!$B57,data!K:K),0)</f>
        <v>0</v>
      </c>
      <c r="P57" s="207">
        <f>IFERROR(SUMIF(data!$E:$E,科目余额表!$B57,data!L:L),0)</f>
        <v>0</v>
      </c>
      <c r="Q57" s="207">
        <f>IFERROR(SUMIF(data!$E:$E,科目余额表!$B57,data!M:M),0)</f>
        <v>0</v>
      </c>
      <c r="R57" s="207">
        <f>IFERROR(SUMIF(data!$E:$E,科目余额表!$B57,data!N:N),0)</f>
        <v>0</v>
      </c>
      <c r="S57" s="207">
        <f>IFERROR(SUMIF(data!$E:$E,科目余额表!$B57,data!O:O),0)</f>
        <v>0</v>
      </c>
      <c r="T57" s="207">
        <f>IFERROR(SUMIF(data!$E:$E,科目余额表!$B57,data!P:P),0)</f>
        <v>0</v>
      </c>
      <c r="U57" s="207">
        <f>IFERROR(SUMIF(data!$E:$E,科目余额表!$B57,data!Q:Q),0)</f>
        <v>0</v>
      </c>
      <c r="V57" s="207">
        <f>IFERROR(SUMIF(data!$E:$E,科目余额表!$B57,data!R:R),0)</f>
        <v>0</v>
      </c>
      <c r="W57" s="207">
        <f>IFERROR(SUMIF(data!$E:$E,科目余额表!$B57,data!S:S),0)</f>
        <v>0</v>
      </c>
      <c r="X57" s="207"/>
      <c r="Y57" s="207"/>
      <c r="Z57" s="207"/>
      <c r="AA57" s="207"/>
      <c r="AB57" s="207"/>
      <c r="AC57" s="207"/>
      <c r="AD57" s="207"/>
      <c r="AE57" s="207"/>
      <c r="AF57" s="207"/>
    </row>
    <row r="58" spans="1:32" s="214" customFormat="1" ht="11.65" customHeight="1">
      <c r="A58" s="215"/>
      <c r="B58" s="220">
        <v>12800</v>
      </c>
      <c r="C58" s="205" t="s">
        <v>304</v>
      </c>
      <c r="D58" s="221">
        <v>500000</v>
      </c>
      <c r="E58" s="221">
        <v>0</v>
      </c>
      <c r="F58" s="222">
        <f t="shared" si="0"/>
        <v>500000</v>
      </c>
      <c r="G58" s="205" t="s">
        <v>304</v>
      </c>
      <c r="H58" s="219" t="s">
        <v>250</v>
      </c>
      <c r="J58" s="207" t="s">
        <v>304</v>
      </c>
      <c r="K58" s="207"/>
      <c r="L58" s="207">
        <f>IFERROR(SUMIF(data!$E:$E,科目余额表!$B58,data!H:H),0)</f>
        <v>500000</v>
      </c>
      <c r="M58" s="207">
        <f>IFERROR(SUMIF(data!$E:$E,科目余额表!$B58,data!I:I),0)</f>
        <v>500000</v>
      </c>
      <c r="N58" s="207">
        <f>IFERROR(SUMIF(data!$E:$E,科目余额表!$B58,data!J:J),0)</f>
        <v>500000</v>
      </c>
      <c r="O58" s="207">
        <f>IFERROR(SUMIF(data!$E:$E,科目余额表!$B58,data!K:K),0)</f>
        <v>500000</v>
      </c>
      <c r="P58" s="207">
        <f>IFERROR(SUMIF(data!$E:$E,科目余额表!$B58,data!L:L),0)</f>
        <v>500000</v>
      </c>
      <c r="Q58" s="207">
        <f>IFERROR(SUMIF(data!$E:$E,科目余额表!$B58,data!M:M),0)</f>
        <v>508937.08999999985</v>
      </c>
      <c r="R58" s="207">
        <f>IFERROR(SUMIF(data!$E:$E,科目余额表!$B58,data!N:N),0)</f>
        <v>511679.28999999911</v>
      </c>
      <c r="S58" s="207">
        <f>IFERROR(SUMIF(data!$E:$E,科目余额表!$B58,data!O:O),0)</f>
        <v>505839.6400000006</v>
      </c>
      <c r="T58" s="207">
        <f>IFERROR(SUMIF(data!$E:$E,科目余额表!$B58,data!P:P),0)</f>
        <v>511679.28999999911</v>
      </c>
      <c r="U58" s="207">
        <f>IFERROR(SUMIF(data!$E:$E,科目余额表!$B58,data!Q:Q),0)</f>
        <v>481495.47</v>
      </c>
      <c r="V58" s="207">
        <f>IFERROR(SUMIF(data!$E:$E,科目余额表!$B58,data!R:R),0)</f>
        <v>500000</v>
      </c>
      <c r="W58" s="207">
        <f>IFERROR(SUMIF(data!$E:$E,科目余额表!$B58,data!S:S),0)</f>
        <v>500000</v>
      </c>
      <c r="X58" s="207"/>
      <c r="Y58" s="207"/>
      <c r="Z58" s="207"/>
      <c r="AA58" s="207"/>
      <c r="AB58" s="207"/>
      <c r="AC58" s="207"/>
      <c r="AD58" s="207"/>
      <c r="AE58" s="207"/>
      <c r="AF58" s="207"/>
    </row>
    <row r="59" spans="1:32" s="214" customFormat="1" ht="11.65" customHeight="1">
      <c r="A59" s="215"/>
      <c r="B59" s="220">
        <v>12900</v>
      </c>
      <c r="C59" s="205" t="s">
        <v>307</v>
      </c>
      <c r="D59" s="221">
        <v>0</v>
      </c>
      <c r="E59" s="221">
        <v>1675000</v>
      </c>
      <c r="F59" s="222">
        <f t="shared" si="0"/>
        <v>1675000</v>
      </c>
      <c r="G59" s="205" t="s">
        <v>307</v>
      </c>
      <c r="H59" s="219" t="s">
        <v>250</v>
      </c>
      <c r="J59" s="207" t="s">
        <v>304</v>
      </c>
      <c r="K59" s="207"/>
      <c r="L59" s="207">
        <f>IFERROR(SUMIF(data!$E:$E,科目余额表!$B59,data!H:H),0)</f>
        <v>0</v>
      </c>
      <c r="M59" s="207">
        <f>IFERROR(SUMIF(data!$E:$E,科目余额表!$B59,data!I:I),0)</f>
        <v>0</v>
      </c>
      <c r="N59" s="207">
        <f>IFERROR(SUMIF(data!$E:$E,科目余额表!$B59,data!J:J),0)</f>
        <v>0</v>
      </c>
      <c r="O59" s="207">
        <f>IFERROR(SUMIF(data!$E:$E,科目余额表!$B59,data!K:K),0)</f>
        <v>0</v>
      </c>
      <c r="P59" s="207">
        <f>IFERROR(SUMIF(data!$E:$E,科目余额表!$B59,data!L:L),0)</f>
        <v>-30000</v>
      </c>
      <c r="Q59" s="207">
        <f>IFERROR(SUMIF(data!$E:$E,科目余额表!$B59,data!M:M),0)</f>
        <v>0</v>
      </c>
      <c r="R59" s="207">
        <f>IFERROR(SUMIF(data!$E:$E,科目余额表!$B59,data!N:N),0)</f>
        <v>0</v>
      </c>
      <c r="S59" s="207">
        <f>IFERROR(SUMIF(data!$E:$E,科目余额表!$B59,data!O:O),0)</f>
        <v>0</v>
      </c>
      <c r="T59" s="207">
        <f>IFERROR(SUMIF(data!$E:$E,科目余额表!$B59,data!P:P),0)</f>
        <v>0</v>
      </c>
      <c r="U59" s="207">
        <f>IFERROR(SUMIF(data!$E:$E,科目余额表!$B59,data!Q:Q),0)</f>
        <v>0</v>
      </c>
      <c r="V59" s="207">
        <f>IFERROR(SUMIF(data!$E:$E,科目余额表!$B59,data!R:R),0)</f>
        <v>0</v>
      </c>
      <c r="W59" s="207">
        <f>IFERROR(SUMIF(data!$E:$E,科目余额表!$B59,data!S:S),0)</f>
        <v>1675000</v>
      </c>
      <c r="X59" s="207"/>
      <c r="Y59" s="207"/>
      <c r="Z59" s="207"/>
      <c r="AA59" s="207"/>
      <c r="AB59" s="207"/>
      <c r="AC59" s="207"/>
      <c r="AD59" s="207"/>
      <c r="AE59" s="207"/>
      <c r="AF59" s="207"/>
    </row>
    <row r="60" spans="1:32" s="214" customFormat="1" ht="11.65" customHeight="1">
      <c r="A60" s="215"/>
      <c r="B60" s="220">
        <v>12901</v>
      </c>
      <c r="C60" s="205" t="s">
        <v>308</v>
      </c>
      <c r="D60" s="221">
        <v>0</v>
      </c>
      <c r="E60" s="221">
        <v>0</v>
      </c>
      <c r="F60" s="222">
        <f t="shared" si="0"/>
        <v>0</v>
      </c>
      <c r="G60" s="205" t="s">
        <v>307</v>
      </c>
      <c r="H60" s="219" t="s">
        <v>250</v>
      </c>
      <c r="J60" s="207">
        <v>0</v>
      </c>
      <c r="K60" s="207"/>
      <c r="L60" s="207">
        <f>IFERROR(SUMIF(data!$E:$E,科目余额表!$B60,data!H:H),0)</f>
        <v>0</v>
      </c>
      <c r="M60" s="207">
        <f>IFERROR(SUMIF(data!$E:$E,科目余额表!$B60,data!I:I),0)</f>
        <v>0</v>
      </c>
      <c r="N60" s="207">
        <f>IFERROR(SUMIF(data!$E:$E,科目余额表!$B60,data!J:J),0)</f>
        <v>0</v>
      </c>
      <c r="O60" s="207">
        <f>IFERROR(SUMIF(data!$E:$E,科目余额表!$B60,data!K:K),0)</f>
        <v>0</v>
      </c>
      <c r="P60" s="207">
        <f>IFERROR(SUMIF(data!$E:$E,科目余额表!$B60,data!L:L),0)</f>
        <v>0</v>
      </c>
      <c r="Q60" s="207">
        <f>IFERROR(SUMIF(data!$E:$E,科目余额表!$B60,data!M:M),0)</f>
        <v>0</v>
      </c>
      <c r="R60" s="207">
        <f>IFERROR(SUMIF(data!$E:$E,科目余额表!$B60,data!N:N),0)</f>
        <v>0</v>
      </c>
      <c r="S60" s="207">
        <f>IFERROR(SUMIF(data!$E:$E,科目余额表!$B60,data!O:O),0)</f>
        <v>0</v>
      </c>
      <c r="T60" s="207">
        <f>IFERROR(SUMIF(data!$E:$E,科目余额表!$B60,data!P:P),0)</f>
        <v>0</v>
      </c>
      <c r="U60" s="207">
        <f>IFERROR(SUMIF(data!$E:$E,科目余额表!$B60,data!Q:Q),0)</f>
        <v>0</v>
      </c>
      <c r="V60" s="207">
        <f>IFERROR(SUMIF(data!$E:$E,科目余额表!$B60,data!R:R),0)</f>
        <v>0</v>
      </c>
      <c r="W60" s="207">
        <f>IFERROR(SUMIF(data!$E:$E,科目余额表!$B60,data!S:S),0)</f>
        <v>0</v>
      </c>
      <c r="X60" s="207"/>
      <c r="Y60" s="207"/>
      <c r="Z60" s="207"/>
      <c r="AA60" s="207"/>
      <c r="AB60" s="207"/>
      <c r="AC60" s="207"/>
      <c r="AD60" s="207"/>
      <c r="AE60" s="207"/>
      <c r="AF60" s="207"/>
    </row>
    <row r="61" spans="1:32" s="214" customFormat="1" ht="11.65" customHeight="1">
      <c r="A61" s="215"/>
      <c r="B61" s="220">
        <v>13001</v>
      </c>
      <c r="C61" s="205" t="s">
        <v>309</v>
      </c>
      <c r="D61" s="221">
        <v>0</v>
      </c>
      <c r="E61" s="221">
        <v>0</v>
      </c>
      <c r="F61" s="222">
        <f t="shared" si="0"/>
        <v>0</v>
      </c>
      <c r="G61" s="205" t="s">
        <v>310</v>
      </c>
      <c r="H61" s="219" t="s">
        <v>250</v>
      </c>
      <c r="J61" s="207">
        <v>0</v>
      </c>
      <c r="K61" s="207"/>
      <c r="L61" s="207">
        <f>IFERROR(SUMIF(data!$E:$E,科目余额表!$B61,data!H:H),0)</f>
        <v>0</v>
      </c>
      <c r="M61" s="207">
        <f>IFERROR(SUMIF(data!$E:$E,科目余额表!$B61,data!I:I),0)</f>
        <v>0</v>
      </c>
      <c r="N61" s="207">
        <f>IFERROR(SUMIF(data!$E:$E,科目余额表!$B61,data!J:J),0)</f>
        <v>0</v>
      </c>
      <c r="O61" s="207">
        <f>IFERROR(SUMIF(data!$E:$E,科目余额表!$B61,data!K:K),0)</f>
        <v>0</v>
      </c>
      <c r="P61" s="207">
        <f>IFERROR(SUMIF(data!$E:$E,科目余额表!$B61,data!L:L),0)</f>
        <v>0</v>
      </c>
      <c r="Q61" s="207">
        <f>IFERROR(SUMIF(data!$E:$E,科目余额表!$B61,data!M:M),0)</f>
        <v>0</v>
      </c>
      <c r="R61" s="207">
        <f>IFERROR(SUMIF(data!$E:$E,科目余额表!$B61,data!N:N),0)</f>
        <v>0</v>
      </c>
      <c r="S61" s="207">
        <f>IFERROR(SUMIF(data!$E:$E,科目余额表!$B61,data!O:O),0)</f>
        <v>0</v>
      </c>
      <c r="T61" s="207">
        <f>IFERROR(SUMIF(data!$E:$E,科目余额表!$B61,data!P:P),0)</f>
        <v>0</v>
      </c>
      <c r="U61" s="207">
        <f>IFERROR(SUMIF(data!$E:$E,科目余额表!$B61,data!Q:Q),0)</f>
        <v>0</v>
      </c>
      <c r="V61" s="207">
        <f>IFERROR(SUMIF(data!$E:$E,科目余额表!$B61,data!R:R),0)</f>
        <v>0</v>
      </c>
      <c r="W61" s="207">
        <f>IFERROR(SUMIF(data!$E:$E,科目余额表!$B61,data!S:S),0)</f>
        <v>0</v>
      </c>
      <c r="X61" s="207"/>
      <c r="Y61" s="207"/>
      <c r="Z61" s="207"/>
      <c r="AA61" s="207"/>
      <c r="AB61" s="207"/>
      <c r="AC61" s="207"/>
      <c r="AD61" s="207"/>
      <c r="AE61" s="207"/>
      <c r="AF61" s="207"/>
    </row>
    <row r="62" spans="1:32" s="214" customFormat="1" ht="11.65" customHeight="1">
      <c r="A62" s="215"/>
      <c r="B62" s="220">
        <v>13002</v>
      </c>
      <c r="C62" s="205" t="s">
        <v>311</v>
      </c>
      <c r="D62" s="221">
        <v>0</v>
      </c>
      <c r="E62" s="221">
        <v>0</v>
      </c>
      <c r="F62" s="222">
        <f t="shared" si="0"/>
        <v>0</v>
      </c>
      <c r="G62" s="205" t="s">
        <v>310</v>
      </c>
      <c r="H62" s="219" t="s">
        <v>250</v>
      </c>
      <c r="J62" s="207">
        <v>0</v>
      </c>
      <c r="K62" s="207"/>
      <c r="L62" s="207">
        <f>IFERROR(SUMIF(data!$E:$E,科目余额表!$B62,data!H:H),0)</f>
        <v>0</v>
      </c>
      <c r="M62" s="207">
        <f>IFERROR(SUMIF(data!$E:$E,科目余额表!$B62,data!I:I),0)</f>
        <v>0</v>
      </c>
      <c r="N62" s="207">
        <f>IFERROR(SUMIF(data!$E:$E,科目余额表!$B62,data!J:J),0)</f>
        <v>0</v>
      </c>
      <c r="O62" s="207">
        <f>IFERROR(SUMIF(data!$E:$E,科目余额表!$B62,data!K:K),0)</f>
        <v>0</v>
      </c>
      <c r="P62" s="207">
        <f>IFERROR(SUMIF(data!$E:$E,科目余额表!$B62,data!L:L),0)</f>
        <v>0</v>
      </c>
      <c r="Q62" s="207">
        <f>IFERROR(SUMIF(data!$E:$E,科目余额表!$B62,data!M:M),0)</f>
        <v>0</v>
      </c>
      <c r="R62" s="207">
        <f>IFERROR(SUMIF(data!$E:$E,科目余额表!$B62,data!N:N),0)</f>
        <v>0</v>
      </c>
      <c r="S62" s="207">
        <f>IFERROR(SUMIF(data!$E:$E,科目余额表!$B62,data!O:O),0)</f>
        <v>0</v>
      </c>
      <c r="T62" s="207">
        <f>IFERROR(SUMIF(data!$E:$E,科目余额表!$B62,data!P:P),0)</f>
        <v>0</v>
      </c>
      <c r="U62" s="207">
        <f>IFERROR(SUMIF(data!$E:$E,科目余额表!$B62,data!Q:Q),0)</f>
        <v>0</v>
      </c>
      <c r="V62" s="207">
        <f>IFERROR(SUMIF(data!$E:$E,科目余额表!$B62,data!R:R),0)</f>
        <v>0</v>
      </c>
      <c r="W62" s="207">
        <f>IFERROR(SUMIF(data!$E:$E,科目余额表!$B62,data!S:S),0)</f>
        <v>0</v>
      </c>
      <c r="X62" s="207"/>
      <c r="Y62" s="207"/>
      <c r="Z62" s="207"/>
      <c r="AA62" s="207"/>
      <c r="AB62" s="207"/>
      <c r="AC62" s="207"/>
      <c r="AD62" s="207"/>
      <c r="AE62" s="207"/>
      <c r="AF62" s="207"/>
    </row>
    <row r="63" spans="1:32" s="214" customFormat="1" ht="11.65" customHeight="1">
      <c r="A63" s="215"/>
      <c r="B63" s="220">
        <v>13005</v>
      </c>
      <c r="C63" s="205" t="s">
        <v>312</v>
      </c>
      <c r="D63" s="221">
        <v>0</v>
      </c>
      <c r="E63" s="221">
        <v>0</v>
      </c>
      <c r="F63" s="222">
        <f t="shared" si="0"/>
        <v>0</v>
      </c>
      <c r="G63" s="205" t="s">
        <v>310</v>
      </c>
      <c r="H63" s="219" t="s">
        <v>250</v>
      </c>
      <c r="J63" s="207">
        <v>0</v>
      </c>
      <c r="K63" s="207"/>
      <c r="L63" s="207">
        <f>IFERROR(SUMIF(data!$E:$E,科目余额表!$B63,data!H:H),0)</f>
        <v>0</v>
      </c>
      <c r="M63" s="207">
        <f>IFERROR(SUMIF(data!$E:$E,科目余额表!$B63,data!I:I),0)</f>
        <v>0</v>
      </c>
      <c r="N63" s="207">
        <f>IFERROR(SUMIF(data!$E:$E,科目余额表!$B63,data!J:J),0)</f>
        <v>0</v>
      </c>
      <c r="O63" s="207">
        <f>IFERROR(SUMIF(data!$E:$E,科目余额表!$B63,data!K:K),0)</f>
        <v>0</v>
      </c>
      <c r="P63" s="207">
        <f>IFERROR(SUMIF(data!$E:$E,科目余额表!$B63,data!L:L),0)</f>
        <v>0</v>
      </c>
      <c r="Q63" s="207">
        <f>IFERROR(SUMIF(data!$E:$E,科目余额表!$B63,data!M:M),0)</f>
        <v>0</v>
      </c>
      <c r="R63" s="207">
        <f>IFERROR(SUMIF(data!$E:$E,科目余额表!$B63,data!N:N),0)</f>
        <v>0</v>
      </c>
      <c r="S63" s="207">
        <f>IFERROR(SUMIF(data!$E:$E,科目余额表!$B63,data!O:O),0)</f>
        <v>0</v>
      </c>
      <c r="T63" s="207">
        <f>IFERROR(SUMIF(data!$E:$E,科目余额表!$B63,data!P:P),0)</f>
        <v>0</v>
      </c>
      <c r="U63" s="207">
        <f>IFERROR(SUMIF(data!$E:$E,科目余额表!$B63,data!Q:Q),0)</f>
        <v>0</v>
      </c>
      <c r="V63" s="207">
        <f>IFERROR(SUMIF(data!$E:$E,科目余额表!$B63,data!R:R),0)</f>
        <v>0</v>
      </c>
      <c r="W63" s="207">
        <f>IFERROR(SUMIF(data!$E:$E,科目余额表!$B63,data!S:S),0)</f>
        <v>0</v>
      </c>
      <c r="X63" s="207"/>
      <c r="Y63" s="207"/>
      <c r="Z63" s="207"/>
      <c r="AA63" s="207"/>
      <c r="AB63" s="207"/>
      <c r="AC63" s="207"/>
      <c r="AD63" s="207"/>
      <c r="AE63" s="207"/>
      <c r="AF63" s="207"/>
    </row>
    <row r="64" spans="1:32" s="214" customFormat="1" ht="11.65" customHeight="1">
      <c r="A64" s="215"/>
      <c r="B64" s="220">
        <v>13006</v>
      </c>
      <c r="C64" s="205" t="s">
        <v>313</v>
      </c>
      <c r="D64" s="221">
        <v>0</v>
      </c>
      <c r="E64" s="221">
        <v>0</v>
      </c>
      <c r="F64" s="222">
        <f t="shared" si="0"/>
        <v>0</v>
      </c>
      <c r="G64" s="205" t="s">
        <v>310</v>
      </c>
      <c r="H64" s="219" t="s">
        <v>250</v>
      </c>
      <c r="J64" s="207">
        <v>0</v>
      </c>
      <c r="K64" s="207"/>
      <c r="L64" s="207">
        <f>IFERROR(SUMIF(data!$E:$E,科目余额表!$B64,data!H:H),0)</f>
        <v>0</v>
      </c>
      <c r="M64" s="207">
        <f>IFERROR(SUMIF(data!$E:$E,科目余额表!$B64,data!I:I),0)</f>
        <v>0</v>
      </c>
      <c r="N64" s="207">
        <f>IFERROR(SUMIF(data!$E:$E,科目余额表!$B64,data!J:J),0)</f>
        <v>0</v>
      </c>
      <c r="O64" s="207">
        <f>IFERROR(SUMIF(data!$E:$E,科目余额表!$B64,data!K:K),0)</f>
        <v>0</v>
      </c>
      <c r="P64" s="207">
        <f>IFERROR(SUMIF(data!$E:$E,科目余额表!$B64,data!L:L),0)</f>
        <v>0</v>
      </c>
      <c r="Q64" s="207">
        <f>IFERROR(SUMIF(data!$E:$E,科目余额表!$B64,data!M:M),0)</f>
        <v>0</v>
      </c>
      <c r="R64" s="207">
        <f>IFERROR(SUMIF(data!$E:$E,科目余额表!$B64,data!N:N),0)</f>
        <v>0</v>
      </c>
      <c r="S64" s="207">
        <f>IFERROR(SUMIF(data!$E:$E,科目余额表!$B64,data!O:O),0)</f>
        <v>0</v>
      </c>
      <c r="T64" s="207">
        <f>IFERROR(SUMIF(data!$E:$E,科目余额表!$B64,data!P:P),0)</f>
        <v>0</v>
      </c>
      <c r="U64" s="207">
        <f>IFERROR(SUMIF(data!$E:$E,科目余额表!$B64,data!Q:Q),0)</f>
        <v>0</v>
      </c>
      <c r="V64" s="207">
        <f>IFERROR(SUMIF(data!$E:$E,科目余额表!$B64,data!R:R),0)</f>
        <v>0</v>
      </c>
      <c r="W64" s="207">
        <f>IFERROR(SUMIF(data!$E:$E,科目余额表!$B64,data!S:S),0)</f>
        <v>0</v>
      </c>
      <c r="X64" s="207"/>
      <c r="Y64" s="207"/>
      <c r="Z64" s="207"/>
      <c r="AA64" s="207"/>
      <c r="AB64" s="207"/>
      <c r="AC64" s="207"/>
      <c r="AD64" s="207"/>
      <c r="AE64" s="207"/>
      <c r="AF64" s="207"/>
    </row>
    <row r="65" spans="1:32" s="214" customFormat="1" ht="11.65" customHeight="1">
      <c r="A65" s="215"/>
      <c r="B65" s="220">
        <v>13007</v>
      </c>
      <c r="C65" s="205" t="s">
        <v>314</v>
      </c>
      <c r="D65" s="221">
        <v>0</v>
      </c>
      <c r="E65" s="221">
        <v>0</v>
      </c>
      <c r="F65" s="222">
        <f t="shared" si="0"/>
        <v>0</v>
      </c>
      <c r="G65" s="205" t="s">
        <v>310</v>
      </c>
      <c r="H65" s="219" t="s">
        <v>250</v>
      </c>
      <c r="J65" s="207">
        <v>0</v>
      </c>
      <c r="K65" s="207"/>
      <c r="L65" s="207">
        <f>IFERROR(SUMIF(data!$E:$E,科目余额表!$B65,data!H:H),0)</f>
        <v>0</v>
      </c>
      <c r="M65" s="207">
        <f>IFERROR(SUMIF(data!$E:$E,科目余额表!$B65,data!I:I),0)</f>
        <v>0</v>
      </c>
      <c r="N65" s="207">
        <f>IFERROR(SUMIF(data!$E:$E,科目余额表!$B65,data!J:J),0)</f>
        <v>0</v>
      </c>
      <c r="O65" s="207">
        <f>IFERROR(SUMIF(data!$E:$E,科目余额表!$B65,data!K:K),0)</f>
        <v>0</v>
      </c>
      <c r="P65" s="207">
        <f>IFERROR(SUMIF(data!$E:$E,科目余额表!$B65,data!L:L),0)</f>
        <v>0</v>
      </c>
      <c r="Q65" s="207">
        <f>IFERROR(SUMIF(data!$E:$E,科目余额表!$B65,data!M:M),0)</f>
        <v>0</v>
      </c>
      <c r="R65" s="207">
        <f>IFERROR(SUMIF(data!$E:$E,科目余额表!$B65,data!N:N),0)</f>
        <v>0</v>
      </c>
      <c r="S65" s="207">
        <f>IFERROR(SUMIF(data!$E:$E,科目余额表!$B65,data!O:O),0)</f>
        <v>0</v>
      </c>
      <c r="T65" s="207">
        <f>IFERROR(SUMIF(data!$E:$E,科目余额表!$B65,data!P:P),0)</f>
        <v>0</v>
      </c>
      <c r="U65" s="207">
        <f>IFERROR(SUMIF(data!$E:$E,科目余额表!$B65,data!Q:Q),0)</f>
        <v>0</v>
      </c>
      <c r="V65" s="207">
        <f>IFERROR(SUMIF(data!$E:$E,科目余额表!$B65,data!R:R),0)</f>
        <v>0</v>
      </c>
      <c r="W65" s="207">
        <f>IFERROR(SUMIF(data!$E:$E,科目余额表!$B65,data!S:S),0)</f>
        <v>0</v>
      </c>
      <c r="X65" s="207"/>
      <c r="Y65" s="207"/>
      <c r="Z65" s="207"/>
      <c r="AA65" s="207"/>
      <c r="AB65" s="207"/>
      <c r="AC65" s="207"/>
      <c r="AD65" s="207"/>
      <c r="AE65" s="207"/>
      <c r="AF65" s="207"/>
    </row>
    <row r="66" spans="1:32" s="214" customFormat="1" ht="11.65" customHeight="1">
      <c r="A66" s="215"/>
      <c r="B66" s="220">
        <v>13008</v>
      </c>
      <c r="C66" s="205" t="s">
        <v>315</v>
      </c>
      <c r="D66" s="221">
        <v>0</v>
      </c>
      <c r="E66" s="221">
        <v>0</v>
      </c>
      <c r="F66" s="222">
        <f t="shared" si="0"/>
        <v>0</v>
      </c>
      <c r="G66" s="205" t="s">
        <v>310</v>
      </c>
      <c r="H66" s="219" t="s">
        <v>250</v>
      </c>
      <c r="J66" s="207">
        <v>0</v>
      </c>
      <c r="K66" s="207"/>
      <c r="L66" s="207">
        <f>IFERROR(SUMIF(data!$E:$E,科目余额表!$B66,data!H:H),0)</f>
        <v>0</v>
      </c>
      <c r="M66" s="207">
        <f>IFERROR(SUMIF(data!$E:$E,科目余额表!$B66,data!I:I),0)</f>
        <v>0</v>
      </c>
      <c r="N66" s="207">
        <f>IFERROR(SUMIF(data!$E:$E,科目余额表!$B66,data!J:J),0)</f>
        <v>0</v>
      </c>
      <c r="O66" s="207">
        <f>IFERROR(SUMIF(data!$E:$E,科目余额表!$B66,data!K:K),0)</f>
        <v>0</v>
      </c>
      <c r="P66" s="207">
        <f>IFERROR(SUMIF(data!$E:$E,科目余额表!$B66,data!L:L),0)</f>
        <v>0</v>
      </c>
      <c r="Q66" s="207">
        <f>IFERROR(SUMIF(data!$E:$E,科目余额表!$B66,data!M:M),0)</f>
        <v>0</v>
      </c>
      <c r="R66" s="207">
        <f>IFERROR(SUMIF(data!$E:$E,科目余额表!$B66,data!N:N),0)</f>
        <v>0</v>
      </c>
      <c r="S66" s="207">
        <f>IFERROR(SUMIF(data!$E:$E,科目余额表!$B66,data!O:O),0)</f>
        <v>0</v>
      </c>
      <c r="T66" s="207">
        <f>IFERROR(SUMIF(data!$E:$E,科目余额表!$B66,data!P:P),0)</f>
        <v>0</v>
      </c>
      <c r="U66" s="207">
        <f>IFERROR(SUMIF(data!$E:$E,科目余额表!$B66,data!Q:Q),0)</f>
        <v>0</v>
      </c>
      <c r="V66" s="207">
        <f>IFERROR(SUMIF(data!$E:$E,科目余额表!$B66,data!R:R),0)</f>
        <v>0</v>
      </c>
      <c r="W66" s="207">
        <f>IFERROR(SUMIF(data!$E:$E,科目余额表!$B66,data!S:S),0)</f>
        <v>0</v>
      </c>
      <c r="X66" s="207"/>
      <c r="Y66" s="207"/>
      <c r="Z66" s="207"/>
      <c r="AA66" s="207"/>
      <c r="AB66" s="207"/>
      <c r="AC66" s="207"/>
      <c r="AD66" s="207"/>
      <c r="AE66" s="207"/>
      <c r="AF66" s="207"/>
    </row>
    <row r="67" spans="1:32" s="214" customFormat="1" ht="11.65" customHeight="1">
      <c r="A67" s="215"/>
      <c r="B67" s="220">
        <v>13011</v>
      </c>
      <c r="C67" s="205" t="s">
        <v>316</v>
      </c>
      <c r="D67" s="221">
        <v>0</v>
      </c>
      <c r="E67" s="221">
        <v>0</v>
      </c>
      <c r="F67" s="222">
        <f t="shared" si="0"/>
        <v>0</v>
      </c>
      <c r="G67" s="205" t="s">
        <v>310</v>
      </c>
      <c r="H67" s="219" t="s">
        <v>250</v>
      </c>
      <c r="J67" s="207">
        <v>0</v>
      </c>
      <c r="K67" s="207"/>
      <c r="L67" s="207">
        <f>IFERROR(SUMIF(data!$E:$E,科目余额表!$B67,data!H:H),0)</f>
        <v>0</v>
      </c>
      <c r="M67" s="207">
        <f>IFERROR(SUMIF(data!$E:$E,科目余额表!$B67,data!I:I),0)</f>
        <v>0</v>
      </c>
      <c r="N67" s="207">
        <f>IFERROR(SUMIF(data!$E:$E,科目余额表!$B67,data!J:J),0)</f>
        <v>0</v>
      </c>
      <c r="O67" s="207">
        <f>IFERROR(SUMIF(data!$E:$E,科目余额表!$B67,data!K:K),0)</f>
        <v>0</v>
      </c>
      <c r="P67" s="207">
        <f>IFERROR(SUMIF(data!$E:$E,科目余额表!$B67,data!L:L),0)</f>
        <v>0</v>
      </c>
      <c r="Q67" s="207">
        <f>IFERROR(SUMIF(data!$E:$E,科目余额表!$B67,data!M:M),0)</f>
        <v>0</v>
      </c>
      <c r="R67" s="207">
        <f>IFERROR(SUMIF(data!$E:$E,科目余额表!$B67,data!N:N),0)</f>
        <v>0</v>
      </c>
      <c r="S67" s="207">
        <f>IFERROR(SUMIF(data!$E:$E,科目余额表!$B67,data!O:O),0)</f>
        <v>0</v>
      </c>
      <c r="T67" s="207">
        <f>IFERROR(SUMIF(data!$E:$E,科目余额表!$B67,data!P:P),0)</f>
        <v>0</v>
      </c>
      <c r="U67" s="207">
        <f>IFERROR(SUMIF(data!$E:$E,科目余额表!$B67,data!Q:Q),0)</f>
        <v>0</v>
      </c>
      <c r="V67" s="207">
        <f>IFERROR(SUMIF(data!$E:$E,科目余额表!$B67,data!R:R),0)</f>
        <v>0</v>
      </c>
      <c r="W67" s="207">
        <f>IFERROR(SUMIF(data!$E:$E,科目余额表!$B67,data!S:S),0)</f>
        <v>0</v>
      </c>
      <c r="X67" s="207"/>
      <c r="Y67" s="207"/>
      <c r="Z67" s="207"/>
      <c r="AA67" s="207"/>
      <c r="AB67" s="207"/>
      <c r="AC67" s="207"/>
      <c r="AD67" s="207"/>
      <c r="AE67" s="207"/>
      <c r="AF67" s="207"/>
    </row>
    <row r="68" spans="1:32" s="214" customFormat="1" ht="11.65" customHeight="1">
      <c r="A68" s="215"/>
      <c r="B68" s="220">
        <v>13013</v>
      </c>
      <c r="C68" s="205" t="s">
        <v>317</v>
      </c>
      <c r="D68" s="221">
        <v>0</v>
      </c>
      <c r="E68" s="221">
        <v>0</v>
      </c>
      <c r="F68" s="222">
        <f t="shared" si="0"/>
        <v>0</v>
      </c>
      <c r="G68" s="205" t="s">
        <v>310</v>
      </c>
      <c r="H68" s="219" t="s">
        <v>250</v>
      </c>
      <c r="J68" s="207">
        <v>0</v>
      </c>
      <c r="K68" s="207"/>
      <c r="L68" s="207">
        <f>IFERROR(SUMIF(data!$E:$E,科目余额表!$B68,data!H:H),0)</f>
        <v>0</v>
      </c>
      <c r="M68" s="207">
        <f>IFERROR(SUMIF(data!$E:$E,科目余额表!$B68,data!I:I),0)</f>
        <v>0</v>
      </c>
      <c r="N68" s="207">
        <f>IFERROR(SUMIF(data!$E:$E,科目余额表!$B68,data!J:J),0)</f>
        <v>0</v>
      </c>
      <c r="O68" s="207">
        <f>IFERROR(SUMIF(data!$E:$E,科目余额表!$B68,data!K:K),0)</f>
        <v>0</v>
      </c>
      <c r="P68" s="207">
        <f>IFERROR(SUMIF(data!$E:$E,科目余额表!$B68,data!L:L),0)</f>
        <v>0</v>
      </c>
      <c r="Q68" s="207">
        <f>IFERROR(SUMIF(data!$E:$E,科目余额表!$B68,data!M:M),0)</f>
        <v>0</v>
      </c>
      <c r="R68" s="207">
        <f>IFERROR(SUMIF(data!$E:$E,科目余额表!$B68,data!N:N),0)</f>
        <v>0</v>
      </c>
      <c r="S68" s="207">
        <f>IFERROR(SUMIF(data!$E:$E,科目余额表!$B68,data!O:O),0)</f>
        <v>0</v>
      </c>
      <c r="T68" s="207">
        <f>IFERROR(SUMIF(data!$E:$E,科目余额表!$B68,data!P:P),0)</f>
        <v>0</v>
      </c>
      <c r="U68" s="207">
        <f>IFERROR(SUMIF(data!$E:$E,科目余额表!$B68,data!Q:Q),0)</f>
        <v>0</v>
      </c>
      <c r="V68" s="207">
        <f>IFERROR(SUMIF(data!$E:$E,科目余额表!$B68,data!R:R),0)</f>
        <v>0</v>
      </c>
      <c r="W68" s="207">
        <f>IFERROR(SUMIF(data!$E:$E,科目余额表!$B68,data!S:S),0)</f>
        <v>0</v>
      </c>
      <c r="X68" s="207"/>
      <c r="Y68" s="207"/>
      <c r="Z68" s="207"/>
      <c r="AA68" s="207"/>
      <c r="AB68" s="207"/>
      <c r="AC68" s="207"/>
      <c r="AD68" s="207"/>
      <c r="AE68" s="207"/>
      <c r="AF68" s="207"/>
    </row>
    <row r="69" spans="1:32" s="214" customFormat="1" ht="11.65" customHeight="1">
      <c r="A69" s="215"/>
      <c r="B69" s="220">
        <v>13014</v>
      </c>
      <c r="C69" s="205" t="s">
        <v>318</v>
      </c>
      <c r="D69" s="221">
        <v>0</v>
      </c>
      <c r="E69" s="221">
        <v>0</v>
      </c>
      <c r="F69" s="222">
        <f t="shared" si="0"/>
        <v>0</v>
      </c>
      <c r="G69" s="205" t="s">
        <v>310</v>
      </c>
      <c r="H69" s="219" t="s">
        <v>250</v>
      </c>
      <c r="J69" s="207">
        <v>0</v>
      </c>
      <c r="K69" s="207"/>
      <c r="L69" s="207">
        <f>IFERROR(SUMIF(data!$E:$E,科目余额表!$B69,data!H:H),0)</f>
        <v>0</v>
      </c>
      <c r="M69" s="207">
        <f>IFERROR(SUMIF(data!$E:$E,科目余额表!$B69,data!I:I),0)</f>
        <v>0</v>
      </c>
      <c r="N69" s="207">
        <f>IFERROR(SUMIF(data!$E:$E,科目余额表!$B69,data!J:J),0)</f>
        <v>0</v>
      </c>
      <c r="O69" s="207">
        <f>IFERROR(SUMIF(data!$E:$E,科目余额表!$B69,data!K:K),0)</f>
        <v>0</v>
      </c>
      <c r="P69" s="207">
        <f>IFERROR(SUMIF(data!$E:$E,科目余额表!$B69,data!L:L),0)</f>
        <v>0</v>
      </c>
      <c r="Q69" s="207">
        <f>IFERROR(SUMIF(data!$E:$E,科目余额表!$B69,data!M:M),0)</f>
        <v>0</v>
      </c>
      <c r="R69" s="207">
        <f>IFERROR(SUMIF(data!$E:$E,科目余额表!$B69,data!N:N),0)</f>
        <v>0</v>
      </c>
      <c r="S69" s="207">
        <f>IFERROR(SUMIF(data!$E:$E,科目余额表!$B69,data!O:O),0)</f>
        <v>0</v>
      </c>
      <c r="T69" s="207">
        <f>IFERROR(SUMIF(data!$E:$E,科目余额表!$B69,data!P:P),0)</f>
        <v>0</v>
      </c>
      <c r="U69" s="207">
        <f>IFERROR(SUMIF(data!$E:$E,科目余额表!$B69,data!Q:Q),0)</f>
        <v>0</v>
      </c>
      <c r="V69" s="207">
        <f>IFERROR(SUMIF(data!$E:$E,科目余额表!$B69,data!R:R),0)</f>
        <v>0</v>
      </c>
      <c r="W69" s="207">
        <f>IFERROR(SUMIF(data!$E:$E,科目余额表!$B69,data!S:S),0)</f>
        <v>0</v>
      </c>
      <c r="X69" s="207"/>
      <c r="Y69" s="207"/>
      <c r="Z69" s="207"/>
      <c r="AA69" s="207"/>
      <c r="AB69" s="207"/>
      <c r="AC69" s="207"/>
      <c r="AD69" s="207"/>
      <c r="AE69" s="207"/>
      <c r="AF69" s="207"/>
    </row>
    <row r="70" spans="1:32" s="214" customFormat="1" ht="11.65" customHeight="1">
      <c r="A70" s="215"/>
      <c r="B70" s="220">
        <v>13015</v>
      </c>
      <c r="C70" s="205" t="s">
        <v>319</v>
      </c>
      <c r="D70" s="221">
        <v>0</v>
      </c>
      <c r="E70" s="221">
        <v>0</v>
      </c>
      <c r="F70" s="222">
        <f t="shared" si="0"/>
        <v>0</v>
      </c>
      <c r="G70" s="205" t="s">
        <v>310</v>
      </c>
      <c r="H70" s="219" t="s">
        <v>250</v>
      </c>
      <c r="J70" s="207">
        <v>0</v>
      </c>
      <c r="K70" s="207"/>
      <c r="L70" s="207">
        <f>IFERROR(SUMIF(data!$E:$E,科目余额表!$B70,data!H:H),0)</f>
        <v>0</v>
      </c>
      <c r="M70" s="207">
        <f>IFERROR(SUMIF(data!$E:$E,科目余额表!$B70,data!I:I),0)</f>
        <v>0</v>
      </c>
      <c r="N70" s="207">
        <f>IFERROR(SUMIF(data!$E:$E,科目余额表!$B70,data!J:J),0)</f>
        <v>0</v>
      </c>
      <c r="O70" s="207">
        <f>IFERROR(SUMIF(data!$E:$E,科目余额表!$B70,data!K:K),0)</f>
        <v>0</v>
      </c>
      <c r="P70" s="207">
        <f>IFERROR(SUMIF(data!$E:$E,科目余额表!$B70,data!L:L),0)</f>
        <v>0</v>
      </c>
      <c r="Q70" s="207">
        <f>IFERROR(SUMIF(data!$E:$E,科目余额表!$B70,data!M:M),0)</f>
        <v>0</v>
      </c>
      <c r="R70" s="207">
        <f>IFERROR(SUMIF(data!$E:$E,科目余额表!$B70,data!N:N),0)</f>
        <v>0</v>
      </c>
      <c r="S70" s="207">
        <f>IFERROR(SUMIF(data!$E:$E,科目余额表!$B70,data!O:O),0)</f>
        <v>0</v>
      </c>
      <c r="T70" s="207">
        <f>IFERROR(SUMIF(data!$E:$E,科目余额表!$B70,data!P:P),0)</f>
        <v>0</v>
      </c>
      <c r="U70" s="207">
        <f>IFERROR(SUMIF(data!$E:$E,科目余额表!$B70,data!Q:Q),0)</f>
        <v>0</v>
      </c>
      <c r="V70" s="207">
        <f>IFERROR(SUMIF(data!$E:$E,科目余额表!$B70,data!R:R),0)</f>
        <v>0</v>
      </c>
      <c r="W70" s="207">
        <f>IFERROR(SUMIF(data!$E:$E,科目余额表!$B70,data!S:S),0)</f>
        <v>0</v>
      </c>
      <c r="X70" s="207"/>
      <c r="Y70" s="207"/>
      <c r="Z70" s="207"/>
      <c r="AA70" s="207"/>
      <c r="AB70" s="207"/>
      <c r="AC70" s="207"/>
      <c r="AD70" s="207"/>
      <c r="AE70" s="207"/>
      <c r="AF70" s="207"/>
    </row>
    <row r="71" spans="1:32" s="214" customFormat="1" ht="11.65" customHeight="1">
      <c r="A71" s="215"/>
      <c r="B71" s="220">
        <v>13016</v>
      </c>
      <c r="C71" s="205" t="s">
        <v>320</v>
      </c>
      <c r="D71" s="221">
        <v>0</v>
      </c>
      <c r="E71" s="221">
        <v>0</v>
      </c>
      <c r="F71" s="222">
        <f t="shared" ref="F71:F134" si="1">D71+E71</f>
        <v>0</v>
      </c>
      <c r="G71" s="205" t="s">
        <v>310</v>
      </c>
      <c r="H71" s="219" t="s">
        <v>250</v>
      </c>
      <c r="J71" s="207">
        <v>0</v>
      </c>
      <c r="K71" s="207"/>
      <c r="L71" s="207">
        <f>IFERROR(SUMIF(data!$E:$E,科目余额表!$B71,data!H:H),0)</f>
        <v>0</v>
      </c>
      <c r="M71" s="207">
        <f>IFERROR(SUMIF(data!$E:$E,科目余额表!$B71,data!I:I),0)</f>
        <v>0</v>
      </c>
      <c r="N71" s="207">
        <f>IFERROR(SUMIF(data!$E:$E,科目余额表!$B71,data!J:J),0)</f>
        <v>0</v>
      </c>
      <c r="O71" s="207">
        <f>IFERROR(SUMIF(data!$E:$E,科目余额表!$B71,data!K:K),0)</f>
        <v>0</v>
      </c>
      <c r="P71" s="207">
        <f>IFERROR(SUMIF(data!$E:$E,科目余额表!$B71,data!L:L),0)</f>
        <v>0</v>
      </c>
      <c r="Q71" s="207">
        <f>IFERROR(SUMIF(data!$E:$E,科目余额表!$B71,data!M:M),0)</f>
        <v>0</v>
      </c>
      <c r="R71" s="207">
        <f>IFERROR(SUMIF(data!$E:$E,科目余额表!$B71,data!N:N),0)</f>
        <v>0</v>
      </c>
      <c r="S71" s="207">
        <f>IFERROR(SUMIF(data!$E:$E,科目余额表!$B71,data!O:O),0)</f>
        <v>0</v>
      </c>
      <c r="T71" s="207">
        <f>IFERROR(SUMIF(data!$E:$E,科目余额表!$B71,data!P:P),0)</f>
        <v>0</v>
      </c>
      <c r="U71" s="207">
        <f>IFERROR(SUMIF(data!$E:$E,科目余额表!$B71,data!Q:Q),0)</f>
        <v>0</v>
      </c>
      <c r="V71" s="207">
        <f>IFERROR(SUMIF(data!$E:$E,科目余额表!$B71,data!R:R),0)</f>
        <v>0</v>
      </c>
      <c r="W71" s="207">
        <f>IFERROR(SUMIF(data!$E:$E,科目余额表!$B71,data!S:S),0)</f>
        <v>0</v>
      </c>
      <c r="X71" s="207"/>
      <c r="Y71" s="207"/>
      <c r="Z71" s="207"/>
      <c r="AA71" s="207"/>
      <c r="AB71" s="207"/>
      <c r="AC71" s="207"/>
      <c r="AD71" s="207"/>
      <c r="AE71" s="207"/>
      <c r="AF71" s="207"/>
    </row>
    <row r="72" spans="1:32" s="214" customFormat="1" ht="11.65" customHeight="1">
      <c r="A72" s="215"/>
      <c r="B72" s="220">
        <v>13017</v>
      </c>
      <c r="C72" s="205" t="s">
        <v>321</v>
      </c>
      <c r="D72" s="221">
        <v>0</v>
      </c>
      <c r="E72" s="221">
        <v>0</v>
      </c>
      <c r="F72" s="222">
        <f t="shared" si="1"/>
        <v>0</v>
      </c>
      <c r="G72" s="205" t="s">
        <v>310</v>
      </c>
      <c r="H72" s="219" t="s">
        <v>250</v>
      </c>
      <c r="J72" s="207">
        <v>0</v>
      </c>
      <c r="K72" s="207"/>
      <c r="L72" s="207">
        <f>IFERROR(SUMIF(data!$E:$E,科目余额表!$B72,data!H:H),0)</f>
        <v>0</v>
      </c>
      <c r="M72" s="207">
        <f>IFERROR(SUMIF(data!$E:$E,科目余额表!$B72,data!I:I),0)</f>
        <v>0</v>
      </c>
      <c r="N72" s="207">
        <f>IFERROR(SUMIF(data!$E:$E,科目余额表!$B72,data!J:J),0)</f>
        <v>0</v>
      </c>
      <c r="O72" s="207">
        <f>IFERROR(SUMIF(data!$E:$E,科目余额表!$B72,data!K:K),0)</f>
        <v>0</v>
      </c>
      <c r="P72" s="207">
        <f>IFERROR(SUMIF(data!$E:$E,科目余额表!$B72,data!L:L),0)</f>
        <v>0</v>
      </c>
      <c r="Q72" s="207">
        <f>IFERROR(SUMIF(data!$E:$E,科目余额表!$B72,data!M:M),0)</f>
        <v>0</v>
      </c>
      <c r="R72" s="207">
        <f>IFERROR(SUMIF(data!$E:$E,科目余额表!$B72,data!N:N),0)</f>
        <v>0</v>
      </c>
      <c r="S72" s="207">
        <f>IFERROR(SUMIF(data!$E:$E,科目余额表!$B72,data!O:O),0)</f>
        <v>0</v>
      </c>
      <c r="T72" s="207">
        <f>IFERROR(SUMIF(data!$E:$E,科目余额表!$B72,data!P:P),0)</f>
        <v>0</v>
      </c>
      <c r="U72" s="207">
        <f>IFERROR(SUMIF(data!$E:$E,科目余额表!$B72,data!Q:Q),0)</f>
        <v>0</v>
      </c>
      <c r="V72" s="207">
        <f>IFERROR(SUMIF(data!$E:$E,科目余额表!$B72,data!R:R),0)</f>
        <v>0</v>
      </c>
      <c r="W72" s="207">
        <f>IFERROR(SUMIF(data!$E:$E,科目余额表!$B72,data!S:S),0)</f>
        <v>0</v>
      </c>
      <c r="X72" s="207"/>
      <c r="Y72" s="207"/>
      <c r="Z72" s="207"/>
      <c r="AA72" s="207"/>
      <c r="AB72" s="207"/>
      <c r="AC72" s="207"/>
      <c r="AD72" s="207"/>
      <c r="AE72" s="207"/>
      <c r="AF72" s="207"/>
    </row>
    <row r="73" spans="1:32" s="214" customFormat="1" ht="11.65" customHeight="1">
      <c r="A73" s="215"/>
      <c r="B73" s="220">
        <v>13018</v>
      </c>
      <c r="C73" s="205" t="s">
        <v>322</v>
      </c>
      <c r="D73" s="221">
        <v>0</v>
      </c>
      <c r="E73" s="221">
        <v>0</v>
      </c>
      <c r="F73" s="222">
        <f t="shared" si="1"/>
        <v>0</v>
      </c>
      <c r="G73" s="205" t="s">
        <v>310</v>
      </c>
      <c r="H73" s="219" t="s">
        <v>250</v>
      </c>
      <c r="J73" s="207">
        <v>0</v>
      </c>
      <c r="K73" s="207"/>
      <c r="L73" s="207">
        <f>IFERROR(SUMIF(data!$E:$E,科目余额表!$B73,data!H:H),0)</f>
        <v>0</v>
      </c>
      <c r="M73" s="207">
        <f>IFERROR(SUMIF(data!$E:$E,科目余额表!$B73,data!I:I),0)</f>
        <v>0</v>
      </c>
      <c r="N73" s="207">
        <f>IFERROR(SUMIF(data!$E:$E,科目余额表!$B73,data!J:J),0)</f>
        <v>0</v>
      </c>
      <c r="O73" s="207">
        <f>IFERROR(SUMIF(data!$E:$E,科目余额表!$B73,data!K:K),0)</f>
        <v>0</v>
      </c>
      <c r="P73" s="207">
        <f>IFERROR(SUMIF(data!$E:$E,科目余额表!$B73,data!L:L),0)</f>
        <v>0</v>
      </c>
      <c r="Q73" s="207">
        <f>IFERROR(SUMIF(data!$E:$E,科目余额表!$B73,data!M:M),0)</f>
        <v>0</v>
      </c>
      <c r="R73" s="207">
        <f>IFERROR(SUMIF(data!$E:$E,科目余额表!$B73,data!N:N),0)</f>
        <v>0</v>
      </c>
      <c r="S73" s="207">
        <f>IFERROR(SUMIF(data!$E:$E,科目余额表!$B73,data!O:O),0)</f>
        <v>0</v>
      </c>
      <c r="T73" s="207">
        <f>IFERROR(SUMIF(data!$E:$E,科目余额表!$B73,data!P:P),0)</f>
        <v>0</v>
      </c>
      <c r="U73" s="207">
        <f>IFERROR(SUMIF(data!$E:$E,科目余额表!$B73,data!Q:Q),0)</f>
        <v>0</v>
      </c>
      <c r="V73" s="207">
        <f>IFERROR(SUMIF(data!$E:$E,科目余额表!$B73,data!R:R),0)</f>
        <v>0</v>
      </c>
      <c r="W73" s="207">
        <f>IFERROR(SUMIF(data!$E:$E,科目余额表!$B73,data!S:S),0)</f>
        <v>0</v>
      </c>
      <c r="X73" s="207"/>
      <c r="Y73" s="207"/>
      <c r="Z73" s="207"/>
      <c r="AA73" s="207"/>
      <c r="AB73" s="207"/>
      <c r="AC73" s="207"/>
      <c r="AD73" s="207"/>
      <c r="AE73" s="207"/>
      <c r="AF73" s="207"/>
    </row>
    <row r="74" spans="1:32" s="214" customFormat="1" ht="11.65" customHeight="1">
      <c r="A74" s="215"/>
      <c r="B74" s="220">
        <v>13019</v>
      </c>
      <c r="C74" s="205" t="s">
        <v>323</v>
      </c>
      <c r="D74" s="221">
        <v>0</v>
      </c>
      <c r="E74" s="221">
        <v>0</v>
      </c>
      <c r="F74" s="222">
        <f t="shared" si="1"/>
        <v>0</v>
      </c>
      <c r="G74" s="205" t="s">
        <v>310</v>
      </c>
      <c r="H74" s="219" t="s">
        <v>250</v>
      </c>
      <c r="J74" s="207">
        <v>0</v>
      </c>
      <c r="K74" s="207"/>
      <c r="L74" s="207">
        <f>IFERROR(SUMIF(data!$E:$E,科目余额表!$B74,data!H:H),0)</f>
        <v>0</v>
      </c>
      <c r="M74" s="207">
        <f>IFERROR(SUMIF(data!$E:$E,科目余额表!$B74,data!I:I),0)</f>
        <v>0</v>
      </c>
      <c r="N74" s="207">
        <f>IFERROR(SUMIF(data!$E:$E,科目余额表!$B74,data!J:J),0)</f>
        <v>0</v>
      </c>
      <c r="O74" s="207">
        <f>IFERROR(SUMIF(data!$E:$E,科目余额表!$B74,data!K:K),0)</f>
        <v>0</v>
      </c>
      <c r="P74" s="207">
        <f>IFERROR(SUMIF(data!$E:$E,科目余额表!$B74,data!L:L),0)</f>
        <v>0</v>
      </c>
      <c r="Q74" s="207">
        <f>IFERROR(SUMIF(data!$E:$E,科目余额表!$B74,data!M:M),0)</f>
        <v>0</v>
      </c>
      <c r="R74" s="207">
        <f>IFERROR(SUMIF(data!$E:$E,科目余额表!$B74,data!N:N),0)</f>
        <v>0</v>
      </c>
      <c r="S74" s="207">
        <f>IFERROR(SUMIF(data!$E:$E,科目余额表!$B74,data!O:O),0)</f>
        <v>0</v>
      </c>
      <c r="T74" s="207">
        <f>IFERROR(SUMIF(data!$E:$E,科目余额表!$B74,data!P:P),0)</f>
        <v>0</v>
      </c>
      <c r="U74" s="207">
        <f>IFERROR(SUMIF(data!$E:$E,科目余额表!$B74,data!Q:Q),0)</f>
        <v>0</v>
      </c>
      <c r="V74" s="207">
        <f>IFERROR(SUMIF(data!$E:$E,科目余额表!$B74,data!R:R),0)</f>
        <v>0</v>
      </c>
      <c r="W74" s="207">
        <f>IFERROR(SUMIF(data!$E:$E,科目余额表!$B74,data!S:S),0)</f>
        <v>0</v>
      </c>
      <c r="X74" s="207"/>
      <c r="Y74" s="207"/>
      <c r="Z74" s="207"/>
      <c r="AA74" s="207"/>
      <c r="AB74" s="207"/>
      <c r="AC74" s="207"/>
      <c r="AD74" s="207"/>
      <c r="AE74" s="207"/>
      <c r="AF74" s="207"/>
    </row>
    <row r="75" spans="1:32" s="214" customFormat="1" ht="11.65" customHeight="1">
      <c r="A75" s="215"/>
      <c r="B75" s="220">
        <v>13020</v>
      </c>
      <c r="C75" s="205" t="s">
        <v>324</v>
      </c>
      <c r="D75" s="221">
        <v>0</v>
      </c>
      <c r="E75" s="221">
        <v>0</v>
      </c>
      <c r="F75" s="222">
        <f t="shared" si="1"/>
        <v>0</v>
      </c>
      <c r="G75" s="205" t="s">
        <v>310</v>
      </c>
      <c r="H75" s="219" t="s">
        <v>250</v>
      </c>
      <c r="J75" s="207">
        <v>0</v>
      </c>
      <c r="K75" s="207"/>
      <c r="L75" s="207">
        <f>IFERROR(SUMIF(data!$E:$E,科目余额表!$B75,data!H:H),0)</f>
        <v>0</v>
      </c>
      <c r="M75" s="207">
        <f>IFERROR(SUMIF(data!$E:$E,科目余额表!$B75,data!I:I),0)</f>
        <v>0</v>
      </c>
      <c r="N75" s="207">
        <f>IFERROR(SUMIF(data!$E:$E,科目余额表!$B75,data!J:J),0)</f>
        <v>0</v>
      </c>
      <c r="O75" s="207">
        <f>IFERROR(SUMIF(data!$E:$E,科目余额表!$B75,data!K:K),0)</f>
        <v>0</v>
      </c>
      <c r="P75" s="207">
        <f>IFERROR(SUMIF(data!$E:$E,科目余额表!$B75,data!L:L),0)</f>
        <v>0</v>
      </c>
      <c r="Q75" s="207">
        <f>IFERROR(SUMIF(data!$E:$E,科目余额表!$B75,data!M:M),0)</f>
        <v>0</v>
      </c>
      <c r="R75" s="207">
        <f>IFERROR(SUMIF(data!$E:$E,科目余额表!$B75,data!N:N),0)</f>
        <v>0</v>
      </c>
      <c r="S75" s="207">
        <f>IFERROR(SUMIF(data!$E:$E,科目余额表!$B75,data!O:O),0)</f>
        <v>0</v>
      </c>
      <c r="T75" s="207">
        <f>IFERROR(SUMIF(data!$E:$E,科目余额表!$B75,data!P:P),0)</f>
        <v>0</v>
      </c>
      <c r="U75" s="207">
        <f>IFERROR(SUMIF(data!$E:$E,科目余额表!$B75,data!Q:Q),0)</f>
        <v>0</v>
      </c>
      <c r="V75" s="207">
        <f>IFERROR(SUMIF(data!$E:$E,科目余额表!$B75,data!R:R),0)</f>
        <v>0</v>
      </c>
      <c r="W75" s="207">
        <f>IFERROR(SUMIF(data!$E:$E,科目余额表!$B75,data!S:S),0)</f>
        <v>0</v>
      </c>
      <c r="X75" s="207"/>
      <c r="Y75" s="207"/>
      <c r="Z75" s="207"/>
      <c r="AA75" s="207"/>
      <c r="AB75" s="207"/>
      <c r="AC75" s="207"/>
      <c r="AD75" s="207"/>
      <c r="AE75" s="207"/>
      <c r="AF75" s="207"/>
    </row>
    <row r="76" spans="1:32" s="214" customFormat="1" ht="11.65" customHeight="1">
      <c r="A76" s="215"/>
      <c r="B76" s="220">
        <v>13021</v>
      </c>
      <c r="C76" s="205" t="s">
        <v>325</v>
      </c>
      <c r="D76" s="221">
        <v>0</v>
      </c>
      <c r="E76" s="221">
        <v>0</v>
      </c>
      <c r="F76" s="222">
        <f t="shared" si="1"/>
        <v>0</v>
      </c>
      <c r="G76" s="205" t="s">
        <v>310</v>
      </c>
      <c r="H76" s="219" t="s">
        <v>250</v>
      </c>
      <c r="J76" s="207">
        <v>0</v>
      </c>
      <c r="K76" s="207"/>
      <c r="L76" s="207">
        <f>IFERROR(SUMIF(data!$E:$E,科目余额表!$B76,data!H:H),0)</f>
        <v>0</v>
      </c>
      <c r="M76" s="207">
        <f>IFERROR(SUMIF(data!$E:$E,科目余额表!$B76,data!I:I),0)</f>
        <v>0</v>
      </c>
      <c r="N76" s="207">
        <f>IFERROR(SUMIF(data!$E:$E,科目余额表!$B76,data!J:J),0)</f>
        <v>0</v>
      </c>
      <c r="O76" s="207">
        <f>IFERROR(SUMIF(data!$E:$E,科目余额表!$B76,data!K:K),0)</f>
        <v>0</v>
      </c>
      <c r="P76" s="207">
        <f>IFERROR(SUMIF(data!$E:$E,科目余额表!$B76,data!L:L),0)</f>
        <v>0</v>
      </c>
      <c r="Q76" s="207">
        <f>IFERROR(SUMIF(data!$E:$E,科目余额表!$B76,data!M:M),0)</f>
        <v>0</v>
      </c>
      <c r="R76" s="207">
        <f>IFERROR(SUMIF(data!$E:$E,科目余额表!$B76,data!N:N),0)</f>
        <v>0</v>
      </c>
      <c r="S76" s="207">
        <f>IFERROR(SUMIF(data!$E:$E,科目余额表!$B76,data!O:O),0)</f>
        <v>0</v>
      </c>
      <c r="T76" s="207">
        <f>IFERROR(SUMIF(data!$E:$E,科目余额表!$B76,data!P:P),0)</f>
        <v>0</v>
      </c>
      <c r="U76" s="207">
        <f>IFERROR(SUMIF(data!$E:$E,科目余额表!$B76,data!Q:Q),0)</f>
        <v>0</v>
      </c>
      <c r="V76" s="207">
        <f>IFERROR(SUMIF(data!$E:$E,科目余额表!$B76,data!R:R),0)</f>
        <v>0</v>
      </c>
      <c r="W76" s="207">
        <f>IFERROR(SUMIF(data!$E:$E,科目余额表!$B76,data!S:S),0)</f>
        <v>0</v>
      </c>
      <c r="X76" s="207"/>
      <c r="Y76" s="207"/>
      <c r="Z76" s="207"/>
      <c r="AA76" s="207"/>
      <c r="AB76" s="207"/>
      <c r="AC76" s="207"/>
      <c r="AD76" s="207"/>
      <c r="AE76" s="207"/>
      <c r="AF76" s="207"/>
    </row>
    <row r="77" spans="1:32" s="214" customFormat="1" ht="11.65" customHeight="1">
      <c r="A77" s="215"/>
      <c r="B77" s="220">
        <v>13022</v>
      </c>
      <c r="C77" s="205" t="s">
        <v>326</v>
      </c>
      <c r="D77" s="221">
        <v>0</v>
      </c>
      <c r="E77" s="221">
        <v>0</v>
      </c>
      <c r="F77" s="222">
        <f t="shared" si="1"/>
        <v>0</v>
      </c>
      <c r="G77" s="205" t="s">
        <v>310</v>
      </c>
      <c r="H77" s="219" t="s">
        <v>250</v>
      </c>
      <c r="J77" s="207">
        <v>0</v>
      </c>
      <c r="K77" s="207"/>
      <c r="L77" s="207">
        <f>IFERROR(SUMIF(data!$E:$E,科目余额表!$B77,data!H:H),0)</f>
        <v>0</v>
      </c>
      <c r="M77" s="207">
        <f>IFERROR(SUMIF(data!$E:$E,科目余额表!$B77,data!I:I),0)</f>
        <v>0</v>
      </c>
      <c r="N77" s="207">
        <f>IFERROR(SUMIF(data!$E:$E,科目余额表!$B77,data!J:J),0)</f>
        <v>0</v>
      </c>
      <c r="O77" s="207">
        <f>IFERROR(SUMIF(data!$E:$E,科目余额表!$B77,data!K:K),0)</f>
        <v>0</v>
      </c>
      <c r="P77" s="207">
        <f>IFERROR(SUMIF(data!$E:$E,科目余额表!$B77,data!L:L),0)</f>
        <v>0</v>
      </c>
      <c r="Q77" s="207">
        <f>IFERROR(SUMIF(data!$E:$E,科目余额表!$B77,data!M:M),0)</f>
        <v>0</v>
      </c>
      <c r="R77" s="207">
        <f>IFERROR(SUMIF(data!$E:$E,科目余额表!$B77,data!N:N),0)</f>
        <v>0</v>
      </c>
      <c r="S77" s="207">
        <f>IFERROR(SUMIF(data!$E:$E,科目余额表!$B77,data!O:O),0)</f>
        <v>0</v>
      </c>
      <c r="T77" s="207">
        <f>IFERROR(SUMIF(data!$E:$E,科目余额表!$B77,data!P:P),0)</f>
        <v>0</v>
      </c>
      <c r="U77" s="207">
        <f>IFERROR(SUMIF(data!$E:$E,科目余额表!$B77,data!Q:Q),0)</f>
        <v>0</v>
      </c>
      <c r="V77" s="207">
        <f>IFERROR(SUMIF(data!$E:$E,科目余额表!$B77,data!R:R),0)</f>
        <v>0</v>
      </c>
      <c r="W77" s="207">
        <f>IFERROR(SUMIF(data!$E:$E,科目余额表!$B77,data!S:S),0)</f>
        <v>0</v>
      </c>
      <c r="X77" s="207"/>
      <c r="Y77" s="207"/>
      <c r="Z77" s="207"/>
      <c r="AA77" s="207"/>
      <c r="AB77" s="207"/>
      <c r="AC77" s="207"/>
      <c r="AD77" s="207"/>
      <c r="AE77" s="207"/>
      <c r="AF77" s="207"/>
    </row>
    <row r="78" spans="1:32" s="214" customFormat="1" ht="11.65" customHeight="1">
      <c r="A78" s="215"/>
      <c r="B78" s="220">
        <v>13023</v>
      </c>
      <c r="C78" s="205" t="s">
        <v>327</v>
      </c>
      <c r="D78" s="221">
        <v>0</v>
      </c>
      <c r="E78" s="221">
        <v>0</v>
      </c>
      <c r="F78" s="222">
        <f t="shared" si="1"/>
        <v>0</v>
      </c>
      <c r="G78" s="205" t="s">
        <v>310</v>
      </c>
      <c r="H78" s="219" t="s">
        <v>250</v>
      </c>
      <c r="J78" s="207">
        <v>0</v>
      </c>
      <c r="K78" s="207"/>
      <c r="L78" s="207">
        <f>IFERROR(SUMIF(data!$E:$E,科目余额表!$B78,data!H:H),0)</f>
        <v>0</v>
      </c>
      <c r="M78" s="207">
        <f>IFERROR(SUMIF(data!$E:$E,科目余额表!$B78,data!I:I),0)</f>
        <v>0</v>
      </c>
      <c r="N78" s="207">
        <f>IFERROR(SUMIF(data!$E:$E,科目余额表!$B78,data!J:J),0)</f>
        <v>0</v>
      </c>
      <c r="O78" s="207">
        <f>IFERROR(SUMIF(data!$E:$E,科目余额表!$B78,data!K:K),0)</f>
        <v>0</v>
      </c>
      <c r="P78" s="207">
        <f>IFERROR(SUMIF(data!$E:$E,科目余额表!$B78,data!L:L),0)</f>
        <v>0</v>
      </c>
      <c r="Q78" s="207">
        <f>IFERROR(SUMIF(data!$E:$E,科目余额表!$B78,data!M:M),0)</f>
        <v>0</v>
      </c>
      <c r="R78" s="207">
        <f>IFERROR(SUMIF(data!$E:$E,科目余额表!$B78,data!N:N),0)</f>
        <v>0</v>
      </c>
      <c r="S78" s="207">
        <f>IFERROR(SUMIF(data!$E:$E,科目余额表!$B78,data!O:O),0)</f>
        <v>0</v>
      </c>
      <c r="T78" s="207">
        <f>IFERROR(SUMIF(data!$E:$E,科目余额表!$B78,data!P:P),0)</f>
        <v>0</v>
      </c>
      <c r="U78" s="207">
        <f>IFERROR(SUMIF(data!$E:$E,科目余额表!$B78,data!Q:Q),0)</f>
        <v>0</v>
      </c>
      <c r="V78" s="207">
        <f>IFERROR(SUMIF(data!$E:$E,科目余额表!$B78,data!R:R),0)</f>
        <v>0</v>
      </c>
      <c r="W78" s="207">
        <f>IFERROR(SUMIF(data!$E:$E,科目余额表!$B78,data!S:S),0)</f>
        <v>0</v>
      </c>
      <c r="X78" s="207"/>
      <c r="Y78" s="207"/>
      <c r="Z78" s="207"/>
      <c r="AA78" s="207"/>
      <c r="AB78" s="207"/>
      <c r="AC78" s="207"/>
      <c r="AD78" s="207"/>
      <c r="AE78" s="207"/>
      <c r="AF78" s="207"/>
    </row>
    <row r="79" spans="1:32" s="214" customFormat="1" ht="11.65" customHeight="1">
      <c r="A79" s="215"/>
      <c r="B79" s="220">
        <v>13024</v>
      </c>
      <c r="C79" s="205" t="s">
        <v>328</v>
      </c>
      <c r="D79" s="221">
        <v>0</v>
      </c>
      <c r="E79" s="221">
        <v>0</v>
      </c>
      <c r="F79" s="222">
        <f t="shared" si="1"/>
        <v>0</v>
      </c>
      <c r="G79" s="205" t="s">
        <v>310</v>
      </c>
      <c r="H79" s="219" t="s">
        <v>250</v>
      </c>
      <c r="J79" s="207">
        <v>0</v>
      </c>
      <c r="K79" s="207"/>
      <c r="L79" s="207">
        <f>IFERROR(SUMIF(data!$E:$E,科目余额表!$B79,data!H:H),0)</f>
        <v>0</v>
      </c>
      <c r="M79" s="207">
        <f>IFERROR(SUMIF(data!$E:$E,科目余额表!$B79,data!I:I),0)</f>
        <v>0</v>
      </c>
      <c r="N79" s="207">
        <f>IFERROR(SUMIF(data!$E:$E,科目余额表!$B79,data!J:J),0)</f>
        <v>0</v>
      </c>
      <c r="O79" s="207">
        <f>IFERROR(SUMIF(data!$E:$E,科目余额表!$B79,data!K:K),0)</f>
        <v>0</v>
      </c>
      <c r="P79" s="207">
        <f>IFERROR(SUMIF(data!$E:$E,科目余额表!$B79,data!L:L),0)</f>
        <v>0</v>
      </c>
      <c r="Q79" s="207">
        <f>IFERROR(SUMIF(data!$E:$E,科目余额表!$B79,data!M:M),0)</f>
        <v>0</v>
      </c>
      <c r="R79" s="207">
        <f>IFERROR(SUMIF(data!$E:$E,科目余额表!$B79,data!N:N),0)</f>
        <v>0</v>
      </c>
      <c r="S79" s="207">
        <f>IFERROR(SUMIF(data!$E:$E,科目余额表!$B79,data!O:O),0)</f>
        <v>0</v>
      </c>
      <c r="T79" s="207">
        <f>IFERROR(SUMIF(data!$E:$E,科目余额表!$B79,data!P:P),0)</f>
        <v>0</v>
      </c>
      <c r="U79" s="207">
        <f>IFERROR(SUMIF(data!$E:$E,科目余额表!$B79,data!Q:Q),0)</f>
        <v>0</v>
      </c>
      <c r="V79" s="207">
        <f>IFERROR(SUMIF(data!$E:$E,科目余额表!$B79,data!R:R),0)</f>
        <v>0</v>
      </c>
      <c r="W79" s="207">
        <f>IFERROR(SUMIF(data!$E:$E,科目余额表!$B79,data!S:S),0)</f>
        <v>0</v>
      </c>
      <c r="X79" s="207"/>
      <c r="Y79" s="207"/>
      <c r="Z79" s="207"/>
      <c r="AA79" s="207"/>
      <c r="AB79" s="207"/>
      <c r="AC79" s="207"/>
      <c r="AD79" s="207"/>
      <c r="AE79" s="207"/>
      <c r="AF79" s="207"/>
    </row>
    <row r="80" spans="1:32" s="214" customFormat="1" ht="11.65" customHeight="1">
      <c r="A80" s="215"/>
      <c r="B80" s="220">
        <v>13025</v>
      </c>
      <c r="C80" s="205" t="s">
        <v>329</v>
      </c>
      <c r="D80" s="221">
        <v>0</v>
      </c>
      <c r="E80" s="221">
        <v>0</v>
      </c>
      <c r="F80" s="222">
        <f t="shared" si="1"/>
        <v>0</v>
      </c>
      <c r="G80" s="205" t="s">
        <v>310</v>
      </c>
      <c r="H80" s="219" t="s">
        <v>250</v>
      </c>
      <c r="J80" s="207">
        <v>0</v>
      </c>
      <c r="K80" s="207"/>
      <c r="L80" s="207">
        <f>IFERROR(SUMIF(data!$E:$E,科目余额表!$B80,data!H:H),0)</f>
        <v>0</v>
      </c>
      <c r="M80" s="207">
        <f>IFERROR(SUMIF(data!$E:$E,科目余额表!$B80,data!I:I),0)</f>
        <v>0</v>
      </c>
      <c r="N80" s="207">
        <f>IFERROR(SUMIF(data!$E:$E,科目余额表!$B80,data!J:J),0)</f>
        <v>0</v>
      </c>
      <c r="O80" s="207">
        <f>IFERROR(SUMIF(data!$E:$E,科目余额表!$B80,data!K:K),0)</f>
        <v>0</v>
      </c>
      <c r="P80" s="207">
        <f>IFERROR(SUMIF(data!$E:$E,科目余额表!$B80,data!L:L),0)</f>
        <v>0</v>
      </c>
      <c r="Q80" s="207">
        <f>IFERROR(SUMIF(data!$E:$E,科目余额表!$B80,data!M:M),0)</f>
        <v>0</v>
      </c>
      <c r="R80" s="207">
        <f>IFERROR(SUMIF(data!$E:$E,科目余额表!$B80,data!N:N),0)</f>
        <v>0</v>
      </c>
      <c r="S80" s="207">
        <f>IFERROR(SUMIF(data!$E:$E,科目余额表!$B80,data!O:O),0)</f>
        <v>0</v>
      </c>
      <c r="T80" s="207">
        <f>IFERROR(SUMIF(data!$E:$E,科目余额表!$B80,data!P:P),0)</f>
        <v>0</v>
      </c>
      <c r="U80" s="207">
        <f>IFERROR(SUMIF(data!$E:$E,科目余额表!$B80,data!Q:Q),0)</f>
        <v>0</v>
      </c>
      <c r="V80" s="207">
        <f>IFERROR(SUMIF(data!$E:$E,科目余额表!$B80,data!R:R),0)</f>
        <v>0</v>
      </c>
      <c r="W80" s="207">
        <f>IFERROR(SUMIF(data!$E:$E,科目余额表!$B80,data!S:S),0)</f>
        <v>0</v>
      </c>
      <c r="X80" s="207"/>
      <c r="Y80" s="207"/>
      <c r="Z80" s="207"/>
      <c r="AA80" s="207"/>
      <c r="AB80" s="207"/>
      <c r="AC80" s="207"/>
      <c r="AD80" s="207"/>
      <c r="AE80" s="207"/>
      <c r="AF80" s="207"/>
    </row>
    <row r="81" spans="1:32" s="214" customFormat="1" ht="11.65" customHeight="1">
      <c r="A81" s="215"/>
      <c r="B81" s="220">
        <v>13026</v>
      </c>
      <c r="C81" s="205" t="s">
        <v>330</v>
      </c>
      <c r="D81" s="221">
        <v>0</v>
      </c>
      <c r="E81" s="221">
        <v>0</v>
      </c>
      <c r="F81" s="222">
        <f t="shared" si="1"/>
        <v>0</v>
      </c>
      <c r="G81" s="205" t="s">
        <v>310</v>
      </c>
      <c r="H81" s="219" t="s">
        <v>250</v>
      </c>
      <c r="J81" s="207">
        <v>0</v>
      </c>
      <c r="K81" s="207"/>
      <c r="L81" s="207">
        <f>IFERROR(SUMIF(data!$E:$E,科目余额表!$B81,data!H:H),0)</f>
        <v>0</v>
      </c>
      <c r="M81" s="207">
        <f>IFERROR(SUMIF(data!$E:$E,科目余额表!$B81,data!I:I),0)</f>
        <v>0</v>
      </c>
      <c r="N81" s="207">
        <f>IFERROR(SUMIF(data!$E:$E,科目余额表!$B81,data!J:J),0)</f>
        <v>0</v>
      </c>
      <c r="O81" s="207">
        <f>IFERROR(SUMIF(data!$E:$E,科目余额表!$B81,data!K:K),0)</f>
        <v>0</v>
      </c>
      <c r="P81" s="207">
        <f>IFERROR(SUMIF(data!$E:$E,科目余额表!$B81,data!L:L),0)</f>
        <v>0</v>
      </c>
      <c r="Q81" s="207">
        <f>IFERROR(SUMIF(data!$E:$E,科目余额表!$B81,data!M:M),0)</f>
        <v>0</v>
      </c>
      <c r="R81" s="207">
        <f>IFERROR(SUMIF(data!$E:$E,科目余额表!$B81,data!N:N),0)</f>
        <v>0</v>
      </c>
      <c r="S81" s="207">
        <f>IFERROR(SUMIF(data!$E:$E,科目余额表!$B81,data!O:O),0)</f>
        <v>0</v>
      </c>
      <c r="T81" s="207">
        <f>IFERROR(SUMIF(data!$E:$E,科目余额表!$B81,data!P:P),0)</f>
        <v>0</v>
      </c>
      <c r="U81" s="207">
        <f>IFERROR(SUMIF(data!$E:$E,科目余额表!$B81,data!Q:Q),0)</f>
        <v>0</v>
      </c>
      <c r="V81" s="207">
        <f>IFERROR(SUMIF(data!$E:$E,科目余额表!$B81,data!R:R),0)</f>
        <v>0</v>
      </c>
      <c r="W81" s="207">
        <f>IFERROR(SUMIF(data!$E:$E,科目余额表!$B81,data!S:S),0)</f>
        <v>0</v>
      </c>
      <c r="X81" s="207"/>
      <c r="Y81" s="207"/>
      <c r="Z81" s="207"/>
      <c r="AA81" s="207"/>
      <c r="AB81" s="207"/>
      <c r="AC81" s="207"/>
      <c r="AD81" s="207"/>
      <c r="AE81" s="207"/>
      <c r="AF81" s="207"/>
    </row>
    <row r="82" spans="1:32" s="214" customFormat="1" ht="11.65" customHeight="1">
      <c r="A82" s="215"/>
      <c r="B82" s="220">
        <v>13027</v>
      </c>
      <c r="C82" s="205" t="s">
        <v>331</v>
      </c>
      <c r="D82" s="221">
        <v>0</v>
      </c>
      <c r="E82" s="221">
        <v>0</v>
      </c>
      <c r="F82" s="222">
        <f t="shared" si="1"/>
        <v>0</v>
      </c>
      <c r="G82" s="205" t="s">
        <v>310</v>
      </c>
      <c r="H82" s="219" t="s">
        <v>250</v>
      </c>
      <c r="J82" s="207">
        <v>0</v>
      </c>
      <c r="K82" s="207"/>
      <c r="L82" s="207">
        <f>IFERROR(SUMIF(data!$E:$E,科目余额表!$B82,data!H:H),0)</f>
        <v>0</v>
      </c>
      <c r="M82" s="207">
        <f>IFERROR(SUMIF(data!$E:$E,科目余额表!$B82,data!I:I),0)</f>
        <v>0</v>
      </c>
      <c r="N82" s="207">
        <f>IFERROR(SUMIF(data!$E:$E,科目余额表!$B82,data!J:J),0)</f>
        <v>0</v>
      </c>
      <c r="O82" s="207">
        <f>IFERROR(SUMIF(data!$E:$E,科目余额表!$B82,data!K:K),0)</f>
        <v>0</v>
      </c>
      <c r="P82" s="207">
        <f>IFERROR(SUMIF(data!$E:$E,科目余额表!$B82,data!L:L),0)</f>
        <v>0</v>
      </c>
      <c r="Q82" s="207">
        <f>IFERROR(SUMIF(data!$E:$E,科目余额表!$B82,data!M:M),0)</f>
        <v>0</v>
      </c>
      <c r="R82" s="207">
        <f>IFERROR(SUMIF(data!$E:$E,科目余额表!$B82,data!N:N),0)</f>
        <v>0</v>
      </c>
      <c r="S82" s="207">
        <f>IFERROR(SUMIF(data!$E:$E,科目余额表!$B82,data!O:O),0)</f>
        <v>0</v>
      </c>
      <c r="T82" s="207">
        <f>IFERROR(SUMIF(data!$E:$E,科目余额表!$B82,data!P:P),0)</f>
        <v>0</v>
      </c>
      <c r="U82" s="207">
        <f>IFERROR(SUMIF(data!$E:$E,科目余额表!$B82,data!Q:Q),0)</f>
        <v>0</v>
      </c>
      <c r="V82" s="207">
        <f>IFERROR(SUMIF(data!$E:$E,科目余额表!$B82,data!R:R),0)</f>
        <v>0</v>
      </c>
      <c r="W82" s="207">
        <f>IFERROR(SUMIF(data!$E:$E,科目余额表!$B82,data!S:S),0)</f>
        <v>0</v>
      </c>
      <c r="X82" s="207"/>
      <c r="Y82" s="207"/>
      <c r="Z82" s="207"/>
      <c r="AA82" s="207"/>
      <c r="AB82" s="207"/>
      <c r="AC82" s="207"/>
      <c r="AD82" s="207"/>
      <c r="AE82" s="207"/>
      <c r="AF82" s="207"/>
    </row>
    <row r="83" spans="1:32" s="214" customFormat="1" ht="11.65" customHeight="1">
      <c r="A83" s="215"/>
      <c r="B83" s="220">
        <v>13029</v>
      </c>
      <c r="C83" s="205" t="s">
        <v>332</v>
      </c>
      <c r="D83" s="221">
        <v>0</v>
      </c>
      <c r="E83" s="221">
        <v>0</v>
      </c>
      <c r="F83" s="222">
        <f t="shared" si="1"/>
        <v>0</v>
      </c>
      <c r="G83" s="205" t="s">
        <v>310</v>
      </c>
      <c r="H83" s="219" t="s">
        <v>250</v>
      </c>
      <c r="J83" s="207">
        <v>0</v>
      </c>
      <c r="K83" s="207"/>
      <c r="L83" s="207">
        <f>IFERROR(SUMIF(data!$E:$E,科目余额表!$B83,data!H:H),0)</f>
        <v>0</v>
      </c>
      <c r="M83" s="207">
        <f>IFERROR(SUMIF(data!$E:$E,科目余额表!$B83,data!I:I),0)</f>
        <v>0</v>
      </c>
      <c r="N83" s="207">
        <f>IFERROR(SUMIF(data!$E:$E,科目余额表!$B83,data!J:J),0)</f>
        <v>0</v>
      </c>
      <c r="O83" s="207">
        <f>IFERROR(SUMIF(data!$E:$E,科目余额表!$B83,data!K:K),0)</f>
        <v>0</v>
      </c>
      <c r="P83" s="207">
        <f>IFERROR(SUMIF(data!$E:$E,科目余额表!$B83,data!L:L),0)</f>
        <v>0</v>
      </c>
      <c r="Q83" s="207">
        <f>IFERROR(SUMIF(data!$E:$E,科目余额表!$B83,data!M:M),0)</f>
        <v>0</v>
      </c>
      <c r="R83" s="207">
        <f>IFERROR(SUMIF(data!$E:$E,科目余额表!$B83,data!N:N),0)</f>
        <v>0</v>
      </c>
      <c r="S83" s="207">
        <f>IFERROR(SUMIF(data!$E:$E,科目余额表!$B83,data!O:O),0)</f>
        <v>0</v>
      </c>
      <c r="T83" s="207">
        <f>IFERROR(SUMIF(data!$E:$E,科目余额表!$B83,data!P:P),0)</f>
        <v>0</v>
      </c>
      <c r="U83" s="207">
        <f>IFERROR(SUMIF(data!$E:$E,科目余额表!$B83,data!Q:Q),0)</f>
        <v>0</v>
      </c>
      <c r="V83" s="207">
        <f>IFERROR(SUMIF(data!$E:$E,科目余额表!$B83,data!R:R),0)</f>
        <v>0</v>
      </c>
      <c r="W83" s="207">
        <f>IFERROR(SUMIF(data!$E:$E,科目余额表!$B83,data!S:S),0)</f>
        <v>0</v>
      </c>
      <c r="X83" s="207"/>
      <c r="Y83" s="207"/>
      <c r="Z83" s="207"/>
      <c r="AA83" s="207"/>
      <c r="AB83" s="207"/>
      <c r="AC83" s="207"/>
      <c r="AD83" s="207"/>
      <c r="AE83" s="207"/>
      <c r="AF83" s="207"/>
    </row>
    <row r="84" spans="1:32" s="214" customFormat="1" ht="11.65" customHeight="1">
      <c r="A84" s="215"/>
      <c r="B84" s="220">
        <v>13030</v>
      </c>
      <c r="C84" s="205" t="s">
        <v>333</v>
      </c>
      <c r="D84" s="221">
        <v>0</v>
      </c>
      <c r="E84" s="221">
        <v>0</v>
      </c>
      <c r="F84" s="222">
        <f t="shared" si="1"/>
        <v>0</v>
      </c>
      <c r="G84" s="205" t="s">
        <v>310</v>
      </c>
      <c r="H84" s="219" t="s">
        <v>250</v>
      </c>
      <c r="J84" s="207">
        <v>0</v>
      </c>
      <c r="K84" s="207"/>
      <c r="L84" s="207">
        <f>IFERROR(SUMIF(data!$E:$E,科目余额表!$B84,data!H:H),0)</f>
        <v>0</v>
      </c>
      <c r="M84" s="207">
        <f>IFERROR(SUMIF(data!$E:$E,科目余额表!$B84,data!I:I),0)</f>
        <v>0</v>
      </c>
      <c r="N84" s="207">
        <f>IFERROR(SUMIF(data!$E:$E,科目余额表!$B84,data!J:J),0)</f>
        <v>0</v>
      </c>
      <c r="O84" s="207">
        <f>IFERROR(SUMIF(data!$E:$E,科目余额表!$B84,data!K:K),0)</f>
        <v>0</v>
      </c>
      <c r="P84" s="207">
        <f>IFERROR(SUMIF(data!$E:$E,科目余额表!$B84,data!L:L),0)</f>
        <v>0</v>
      </c>
      <c r="Q84" s="207">
        <f>IFERROR(SUMIF(data!$E:$E,科目余额表!$B84,data!M:M),0)</f>
        <v>0</v>
      </c>
      <c r="R84" s="207">
        <f>IFERROR(SUMIF(data!$E:$E,科目余额表!$B84,data!N:N),0)</f>
        <v>0</v>
      </c>
      <c r="S84" s="207">
        <f>IFERROR(SUMIF(data!$E:$E,科目余额表!$B84,data!O:O),0)</f>
        <v>0</v>
      </c>
      <c r="T84" s="207">
        <f>IFERROR(SUMIF(data!$E:$E,科目余额表!$B84,data!P:P),0)</f>
        <v>0</v>
      </c>
      <c r="U84" s="207">
        <f>IFERROR(SUMIF(data!$E:$E,科目余额表!$B84,data!Q:Q),0)</f>
        <v>0</v>
      </c>
      <c r="V84" s="207">
        <f>IFERROR(SUMIF(data!$E:$E,科目余额表!$B84,data!R:R),0)</f>
        <v>0</v>
      </c>
      <c r="W84" s="207">
        <f>IFERROR(SUMIF(data!$E:$E,科目余额表!$B84,data!S:S),0)</f>
        <v>0</v>
      </c>
      <c r="X84" s="207"/>
      <c r="Y84" s="207"/>
      <c r="Z84" s="207"/>
      <c r="AA84" s="207"/>
      <c r="AB84" s="207"/>
      <c r="AC84" s="207"/>
      <c r="AD84" s="207"/>
      <c r="AE84" s="207"/>
      <c r="AF84" s="207"/>
    </row>
    <row r="85" spans="1:32" s="214" customFormat="1" ht="11.65" customHeight="1">
      <c r="A85" s="215"/>
      <c r="B85" s="220">
        <v>13032</v>
      </c>
      <c r="C85" s="205" t="s">
        <v>334</v>
      </c>
      <c r="D85" s="221">
        <v>0</v>
      </c>
      <c r="E85" s="221">
        <v>0</v>
      </c>
      <c r="F85" s="222">
        <f t="shared" si="1"/>
        <v>0</v>
      </c>
      <c r="G85" s="205" t="s">
        <v>310</v>
      </c>
      <c r="H85" s="219" t="s">
        <v>250</v>
      </c>
      <c r="J85" s="207">
        <v>0</v>
      </c>
      <c r="K85" s="207"/>
      <c r="L85" s="207">
        <f>IFERROR(SUMIF(data!$E:$E,科目余额表!$B85,data!H:H),0)</f>
        <v>0</v>
      </c>
      <c r="M85" s="207">
        <f>IFERROR(SUMIF(data!$E:$E,科目余额表!$B85,data!I:I),0)</f>
        <v>0</v>
      </c>
      <c r="N85" s="207">
        <f>IFERROR(SUMIF(data!$E:$E,科目余额表!$B85,data!J:J),0)</f>
        <v>0</v>
      </c>
      <c r="O85" s="207">
        <f>IFERROR(SUMIF(data!$E:$E,科目余额表!$B85,data!K:K),0)</f>
        <v>0</v>
      </c>
      <c r="P85" s="207">
        <f>IFERROR(SUMIF(data!$E:$E,科目余额表!$B85,data!L:L),0)</f>
        <v>0</v>
      </c>
      <c r="Q85" s="207">
        <f>IFERROR(SUMIF(data!$E:$E,科目余额表!$B85,data!M:M),0)</f>
        <v>0</v>
      </c>
      <c r="R85" s="207">
        <f>IFERROR(SUMIF(data!$E:$E,科目余额表!$B85,data!N:N),0)</f>
        <v>0</v>
      </c>
      <c r="S85" s="207">
        <f>IFERROR(SUMIF(data!$E:$E,科目余额表!$B85,data!O:O),0)</f>
        <v>0</v>
      </c>
      <c r="T85" s="207">
        <f>IFERROR(SUMIF(data!$E:$E,科目余额表!$B85,data!P:P),0)</f>
        <v>0</v>
      </c>
      <c r="U85" s="207">
        <f>IFERROR(SUMIF(data!$E:$E,科目余额表!$B85,data!Q:Q),0)</f>
        <v>0</v>
      </c>
      <c r="V85" s="207">
        <f>IFERROR(SUMIF(data!$E:$E,科目余额表!$B85,data!R:R),0)</f>
        <v>0</v>
      </c>
      <c r="W85" s="207">
        <f>IFERROR(SUMIF(data!$E:$E,科目余额表!$B85,data!S:S),0)</f>
        <v>0</v>
      </c>
      <c r="X85" s="207"/>
      <c r="Y85" s="207"/>
      <c r="Z85" s="207"/>
      <c r="AA85" s="207"/>
      <c r="AB85" s="207"/>
      <c r="AC85" s="207"/>
      <c r="AD85" s="207"/>
      <c r="AE85" s="207"/>
      <c r="AF85" s="207"/>
    </row>
    <row r="86" spans="1:32" s="214" customFormat="1" ht="11.65" customHeight="1">
      <c r="A86" s="215"/>
      <c r="B86" s="220">
        <v>13033</v>
      </c>
      <c r="C86" s="205" t="s">
        <v>335</v>
      </c>
      <c r="D86" s="221">
        <v>0</v>
      </c>
      <c r="E86" s="221">
        <v>0</v>
      </c>
      <c r="F86" s="222">
        <f t="shared" si="1"/>
        <v>0</v>
      </c>
      <c r="G86" s="205" t="s">
        <v>310</v>
      </c>
      <c r="H86" s="219" t="s">
        <v>250</v>
      </c>
      <c r="J86" s="207">
        <v>0</v>
      </c>
      <c r="K86" s="207"/>
      <c r="L86" s="207">
        <f>IFERROR(SUMIF(data!$E:$E,科目余额表!$B86,data!H:H),0)</f>
        <v>0</v>
      </c>
      <c r="M86" s="207">
        <f>IFERROR(SUMIF(data!$E:$E,科目余额表!$B86,data!I:I),0)</f>
        <v>0</v>
      </c>
      <c r="N86" s="207">
        <f>IFERROR(SUMIF(data!$E:$E,科目余额表!$B86,data!J:J),0)</f>
        <v>0</v>
      </c>
      <c r="O86" s="207">
        <f>IFERROR(SUMIF(data!$E:$E,科目余额表!$B86,data!K:K),0)</f>
        <v>0</v>
      </c>
      <c r="P86" s="207">
        <f>IFERROR(SUMIF(data!$E:$E,科目余额表!$B86,data!L:L),0)</f>
        <v>0</v>
      </c>
      <c r="Q86" s="207">
        <f>IFERROR(SUMIF(data!$E:$E,科目余额表!$B86,data!M:M),0)</f>
        <v>0</v>
      </c>
      <c r="R86" s="207">
        <f>IFERROR(SUMIF(data!$E:$E,科目余额表!$B86,data!N:N),0)</f>
        <v>0</v>
      </c>
      <c r="S86" s="207">
        <f>IFERROR(SUMIF(data!$E:$E,科目余额表!$B86,data!O:O),0)</f>
        <v>0</v>
      </c>
      <c r="T86" s="207">
        <f>IFERROR(SUMIF(data!$E:$E,科目余额表!$B86,data!P:P),0)</f>
        <v>0</v>
      </c>
      <c r="U86" s="207">
        <f>IFERROR(SUMIF(data!$E:$E,科目余额表!$B86,data!Q:Q),0)</f>
        <v>0</v>
      </c>
      <c r="V86" s="207">
        <f>IFERROR(SUMIF(data!$E:$E,科目余额表!$B86,data!R:R),0)</f>
        <v>0</v>
      </c>
      <c r="W86" s="207">
        <f>IFERROR(SUMIF(data!$E:$E,科目余额表!$B86,data!S:S),0)</f>
        <v>0</v>
      </c>
      <c r="X86" s="207"/>
      <c r="Y86" s="207"/>
      <c r="Z86" s="207"/>
      <c r="AA86" s="207"/>
      <c r="AB86" s="207"/>
      <c r="AC86" s="207"/>
      <c r="AD86" s="207"/>
      <c r="AE86" s="207"/>
      <c r="AF86" s="207"/>
    </row>
    <row r="87" spans="1:32" s="214" customFormat="1" ht="11.65" customHeight="1">
      <c r="A87" s="215"/>
      <c r="B87" s="220">
        <v>13034</v>
      </c>
      <c r="C87" s="205" t="s">
        <v>336</v>
      </c>
      <c r="D87" s="221">
        <v>0</v>
      </c>
      <c r="E87" s="221">
        <v>0</v>
      </c>
      <c r="F87" s="222">
        <f t="shared" si="1"/>
        <v>0</v>
      </c>
      <c r="G87" s="205" t="s">
        <v>310</v>
      </c>
      <c r="H87" s="219" t="s">
        <v>250</v>
      </c>
      <c r="J87" s="207">
        <v>0</v>
      </c>
      <c r="K87" s="207"/>
      <c r="L87" s="207">
        <f>IFERROR(SUMIF(data!$E:$E,科目余额表!$B87,data!H:H),0)</f>
        <v>0</v>
      </c>
      <c r="M87" s="207">
        <f>IFERROR(SUMIF(data!$E:$E,科目余额表!$B87,data!I:I),0)</f>
        <v>0</v>
      </c>
      <c r="N87" s="207">
        <f>IFERROR(SUMIF(data!$E:$E,科目余额表!$B87,data!J:J),0)</f>
        <v>0</v>
      </c>
      <c r="O87" s="207">
        <f>IFERROR(SUMIF(data!$E:$E,科目余额表!$B87,data!K:K),0)</f>
        <v>0</v>
      </c>
      <c r="P87" s="207">
        <f>IFERROR(SUMIF(data!$E:$E,科目余额表!$B87,data!L:L),0)</f>
        <v>0</v>
      </c>
      <c r="Q87" s="207">
        <f>IFERROR(SUMIF(data!$E:$E,科目余额表!$B87,data!M:M),0)</f>
        <v>0</v>
      </c>
      <c r="R87" s="207">
        <f>IFERROR(SUMIF(data!$E:$E,科目余额表!$B87,data!N:N),0)</f>
        <v>0</v>
      </c>
      <c r="S87" s="207">
        <f>IFERROR(SUMIF(data!$E:$E,科目余额表!$B87,data!O:O),0)</f>
        <v>0</v>
      </c>
      <c r="T87" s="207">
        <f>IFERROR(SUMIF(data!$E:$E,科目余额表!$B87,data!P:P),0)</f>
        <v>0</v>
      </c>
      <c r="U87" s="207">
        <f>IFERROR(SUMIF(data!$E:$E,科目余额表!$B87,data!Q:Q),0)</f>
        <v>0</v>
      </c>
      <c r="V87" s="207">
        <f>IFERROR(SUMIF(data!$E:$E,科目余额表!$B87,data!R:R),0)</f>
        <v>0</v>
      </c>
      <c r="W87" s="207">
        <f>IFERROR(SUMIF(data!$E:$E,科目余额表!$B87,data!S:S),0)</f>
        <v>0</v>
      </c>
      <c r="X87" s="207"/>
      <c r="Y87" s="207"/>
      <c r="Z87" s="207"/>
      <c r="AA87" s="207"/>
      <c r="AB87" s="207"/>
      <c r="AC87" s="207"/>
      <c r="AD87" s="207"/>
      <c r="AE87" s="207"/>
      <c r="AF87" s="207"/>
    </row>
    <row r="88" spans="1:32" s="214" customFormat="1" ht="11.65" customHeight="1">
      <c r="A88" s="215"/>
      <c r="B88" s="220">
        <v>13036</v>
      </c>
      <c r="C88" s="205" t="s">
        <v>337</v>
      </c>
      <c r="D88" s="221">
        <v>0</v>
      </c>
      <c r="E88" s="221">
        <v>0</v>
      </c>
      <c r="F88" s="222">
        <f t="shared" si="1"/>
        <v>0</v>
      </c>
      <c r="G88" s="205" t="s">
        <v>310</v>
      </c>
      <c r="H88" s="219" t="s">
        <v>250</v>
      </c>
      <c r="J88" s="207">
        <v>0</v>
      </c>
      <c r="K88" s="207"/>
      <c r="L88" s="207">
        <f>IFERROR(SUMIF(data!$E:$E,科目余额表!$B88,data!H:H),0)</f>
        <v>0</v>
      </c>
      <c r="M88" s="207">
        <f>IFERROR(SUMIF(data!$E:$E,科目余额表!$B88,data!I:I),0)</f>
        <v>0</v>
      </c>
      <c r="N88" s="207">
        <f>IFERROR(SUMIF(data!$E:$E,科目余额表!$B88,data!J:J),0)</f>
        <v>0</v>
      </c>
      <c r="O88" s="207">
        <f>IFERROR(SUMIF(data!$E:$E,科目余额表!$B88,data!K:K),0)</f>
        <v>0</v>
      </c>
      <c r="P88" s="207">
        <f>IFERROR(SUMIF(data!$E:$E,科目余额表!$B88,data!L:L),0)</f>
        <v>0</v>
      </c>
      <c r="Q88" s="207">
        <f>IFERROR(SUMIF(data!$E:$E,科目余额表!$B88,data!M:M),0)</f>
        <v>0</v>
      </c>
      <c r="R88" s="207">
        <f>IFERROR(SUMIF(data!$E:$E,科目余额表!$B88,data!N:N),0)</f>
        <v>0</v>
      </c>
      <c r="S88" s="207">
        <f>IFERROR(SUMIF(data!$E:$E,科目余额表!$B88,data!O:O),0)</f>
        <v>0</v>
      </c>
      <c r="T88" s="207">
        <f>IFERROR(SUMIF(data!$E:$E,科目余额表!$B88,data!P:P),0)</f>
        <v>0</v>
      </c>
      <c r="U88" s="207">
        <f>IFERROR(SUMIF(data!$E:$E,科目余额表!$B88,data!Q:Q),0)</f>
        <v>0</v>
      </c>
      <c r="V88" s="207">
        <f>IFERROR(SUMIF(data!$E:$E,科目余额表!$B88,data!R:R),0)</f>
        <v>0</v>
      </c>
      <c r="W88" s="207">
        <f>IFERROR(SUMIF(data!$E:$E,科目余额表!$B88,data!S:S),0)</f>
        <v>0</v>
      </c>
      <c r="X88" s="207"/>
      <c r="Y88" s="207"/>
      <c r="Z88" s="207"/>
      <c r="AA88" s="207"/>
      <c r="AB88" s="207"/>
      <c r="AC88" s="207"/>
      <c r="AD88" s="207"/>
      <c r="AE88" s="207"/>
      <c r="AF88" s="207"/>
    </row>
    <row r="89" spans="1:32" s="214" customFormat="1" ht="11.65" customHeight="1">
      <c r="A89" s="215"/>
      <c r="B89" s="220">
        <v>13037</v>
      </c>
      <c r="C89" s="205" t="s">
        <v>338</v>
      </c>
      <c r="D89" s="221">
        <v>0</v>
      </c>
      <c r="E89" s="221">
        <v>0</v>
      </c>
      <c r="F89" s="222">
        <f t="shared" si="1"/>
        <v>0</v>
      </c>
      <c r="G89" s="205" t="s">
        <v>310</v>
      </c>
      <c r="H89" s="219" t="s">
        <v>250</v>
      </c>
      <c r="J89" s="207">
        <v>0</v>
      </c>
      <c r="K89" s="207"/>
      <c r="L89" s="207">
        <f>IFERROR(SUMIF(data!$E:$E,科目余额表!$B89,data!H:H),0)</f>
        <v>0</v>
      </c>
      <c r="M89" s="207">
        <f>IFERROR(SUMIF(data!$E:$E,科目余额表!$B89,data!I:I),0)</f>
        <v>0</v>
      </c>
      <c r="N89" s="207">
        <f>IFERROR(SUMIF(data!$E:$E,科目余额表!$B89,data!J:J),0)</f>
        <v>0</v>
      </c>
      <c r="O89" s="207">
        <f>IFERROR(SUMIF(data!$E:$E,科目余额表!$B89,data!K:K),0)</f>
        <v>0</v>
      </c>
      <c r="P89" s="207">
        <f>IFERROR(SUMIF(data!$E:$E,科目余额表!$B89,data!L:L),0)</f>
        <v>0</v>
      </c>
      <c r="Q89" s="207">
        <f>IFERROR(SUMIF(data!$E:$E,科目余额表!$B89,data!M:M),0)</f>
        <v>0</v>
      </c>
      <c r="R89" s="207">
        <f>IFERROR(SUMIF(data!$E:$E,科目余额表!$B89,data!N:N),0)</f>
        <v>0</v>
      </c>
      <c r="S89" s="207">
        <f>IFERROR(SUMIF(data!$E:$E,科目余额表!$B89,data!O:O),0)</f>
        <v>0</v>
      </c>
      <c r="T89" s="207">
        <f>IFERROR(SUMIF(data!$E:$E,科目余额表!$B89,data!P:P),0)</f>
        <v>0</v>
      </c>
      <c r="U89" s="207">
        <f>IFERROR(SUMIF(data!$E:$E,科目余额表!$B89,data!Q:Q),0)</f>
        <v>0</v>
      </c>
      <c r="V89" s="207">
        <f>IFERROR(SUMIF(data!$E:$E,科目余额表!$B89,data!R:R),0)</f>
        <v>0</v>
      </c>
      <c r="W89" s="207">
        <f>IFERROR(SUMIF(data!$E:$E,科目余额表!$B89,data!S:S),0)</f>
        <v>0</v>
      </c>
      <c r="X89" s="207"/>
      <c r="Y89" s="207"/>
      <c r="Z89" s="207"/>
      <c r="AA89" s="207"/>
      <c r="AB89" s="207"/>
      <c r="AC89" s="207"/>
      <c r="AD89" s="207"/>
      <c r="AE89" s="207"/>
      <c r="AF89" s="207"/>
    </row>
    <row r="90" spans="1:32" s="214" customFormat="1" ht="11.65" customHeight="1">
      <c r="A90" s="215"/>
      <c r="B90" s="220">
        <v>13039</v>
      </c>
      <c r="C90" s="205" t="s">
        <v>339</v>
      </c>
      <c r="D90" s="221">
        <v>0</v>
      </c>
      <c r="E90" s="221">
        <v>0</v>
      </c>
      <c r="F90" s="222">
        <f t="shared" si="1"/>
        <v>0</v>
      </c>
      <c r="G90" s="205" t="s">
        <v>310</v>
      </c>
      <c r="H90" s="219" t="s">
        <v>250</v>
      </c>
      <c r="J90" s="207">
        <v>0</v>
      </c>
      <c r="K90" s="207"/>
      <c r="L90" s="207">
        <f>IFERROR(SUMIF(data!$E:$E,科目余额表!$B90,data!H:H),0)</f>
        <v>0</v>
      </c>
      <c r="M90" s="207">
        <f>IFERROR(SUMIF(data!$E:$E,科目余额表!$B90,data!I:I),0)</f>
        <v>0</v>
      </c>
      <c r="N90" s="207">
        <f>IFERROR(SUMIF(data!$E:$E,科目余额表!$B90,data!J:J),0)</f>
        <v>0</v>
      </c>
      <c r="O90" s="207">
        <f>IFERROR(SUMIF(data!$E:$E,科目余额表!$B90,data!K:K),0)</f>
        <v>0</v>
      </c>
      <c r="P90" s="207">
        <f>IFERROR(SUMIF(data!$E:$E,科目余额表!$B90,data!L:L),0)</f>
        <v>0</v>
      </c>
      <c r="Q90" s="207">
        <f>IFERROR(SUMIF(data!$E:$E,科目余额表!$B90,data!M:M),0)</f>
        <v>0</v>
      </c>
      <c r="R90" s="207">
        <f>IFERROR(SUMIF(data!$E:$E,科目余额表!$B90,data!N:N),0)</f>
        <v>0</v>
      </c>
      <c r="S90" s="207">
        <f>IFERROR(SUMIF(data!$E:$E,科目余额表!$B90,data!O:O),0)</f>
        <v>0</v>
      </c>
      <c r="T90" s="207">
        <f>IFERROR(SUMIF(data!$E:$E,科目余额表!$B90,data!P:P),0)</f>
        <v>0</v>
      </c>
      <c r="U90" s="207">
        <f>IFERROR(SUMIF(data!$E:$E,科目余额表!$B90,data!Q:Q),0)</f>
        <v>0</v>
      </c>
      <c r="V90" s="207">
        <f>IFERROR(SUMIF(data!$E:$E,科目余额表!$B90,data!R:R),0)</f>
        <v>0</v>
      </c>
      <c r="W90" s="207">
        <f>IFERROR(SUMIF(data!$E:$E,科目余额表!$B90,data!S:S),0)</f>
        <v>0</v>
      </c>
      <c r="X90" s="207"/>
      <c r="Y90" s="207"/>
      <c r="Z90" s="207"/>
      <c r="AA90" s="207"/>
      <c r="AB90" s="207"/>
      <c r="AC90" s="207"/>
      <c r="AD90" s="207"/>
      <c r="AE90" s="207"/>
      <c r="AF90" s="207"/>
    </row>
    <row r="91" spans="1:32" s="214" customFormat="1" ht="11.65" customHeight="1">
      <c r="A91" s="215"/>
      <c r="B91" s="220">
        <v>13042</v>
      </c>
      <c r="C91" s="205" t="s">
        <v>340</v>
      </c>
      <c r="D91" s="221">
        <v>0</v>
      </c>
      <c r="E91" s="221">
        <v>0</v>
      </c>
      <c r="F91" s="222">
        <f t="shared" si="1"/>
        <v>0</v>
      </c>
      <c r="G91" s="205" t="s">
        <v>310</v>
      </c>
      <c r="H91" s="219" t="s">
        <v>250</v>
      </c>
      <c r="J91" s="207">
        <v>0</v>
      </c>
      <c r="K91" s="207"/>
      <c r="L91" s="207">
        <f>IFERROR(SUMIF(data!$E:$E,科目余额表!$B91,data!H:H),0)</f>
        <v>0</v>
      </c>
      <c r="M91" s="207">
        <f>IFERROR(SUMIF(data!$E:$E,科目余额表!$B91,data!I:I),0)</f>
        <v>0</v>
      </c>
      <c r="N91" s="207">
        <f>IFERROR(SUMIF(data!$E:$E,科目余额表!$B91,data!J:J),0)</f>
        <v>0</v>
      </c>
      <c r="O91" s="207">
        <f>IFERROR(SUMIF(data!$E:$E,科目余额表!$B91,data!K:K),0)</f>
        <v>0</v>
      </c>
      <c r="P91" s="207">
        <f>IFERROR(SUMIF(data!$E:$E,科目余额表!$B91,data!L:L),0)</f>
        <v>0</v>
      </c>
      <c r="Q91" s="207">
        <f>IFERROR(SUMIF(data!$E:$E,科目余额表!$B91,data!M:M),0)</f>
        <v>0</v>
      </c>
      <c r="R91" s="207">
        <f>IFERROR(SUMIF(data!$E:$E,科目余额表!$B91,data!N:N),0)</f>
        <v>0</v>
      </c>
      <c r="S91" s="207">
        <f>IFERROR(SUMIF(data!$E:$E,科目余额表!$B91,data!O:O),0)</f>
        <v>0</v>
      </c>
      <c r="T91" s="207">
        <f>IFERROR(SUMIF(data!$E:$E,科目余额表!$B91,data!P:P),0)</f>
        <v>0</v>
      </c>
      <c r="U91" s="207">
        <f>IFERROR(SUMIF(data!$E:$E,科目余额表!$B91,data!Q:Q),0)</f>
        <v>0</v>
      </c>
      <c r="V91" s="207">
        <f>IFERROR(SUMIF(data!$E:$E,科目余额表!$B91,data!R:R),0)</f>
        <v>0</v>
      </c>
      <c r="W91" s="207">
        <f>IFERROR(SUMIF(data!$E:$E,科目余额表!$B91,data!S:S),0)</f>
        <v>0</v>
      </c>
      <c r="X91" s="207"/>
      <c r="Y91" s="207"/>
      <c r="Z91" s="207"/>
      <c r="AA91" s="207"/>
      <c r="AB91" s="207"/>
      <c r="AC91" s="207"/>
      <c r="AD91" s="207"/>
      <c r="AE91" s="207"/>
      <c r="AF91" s="207"/>
    </row>
    <row r="92" spans="1:32" s="214" customFormat="1" ht="11.65" customHeight="1">
      <c r="A92" s="215"/>
      <c r="B92" s="220">
        <v>13043</v>
      </c>
      <c r="C92" s="205" t="s">
        <v>341</v>
      </c>
      <c r="D92" s="221">
        <v>0</v>
      </c>
      <c r="E92" s="221">
        <v>0</v>
      </c>
      <c r="F92" s="222">
        <f t="shared" si="1"/>
        <v>0</v>
      </c>
      <c r="G92" s="205" t="s">
        <v>310</v>
      </c>
      <c r="H92" s="219" t="s">
        <v>250</v>
      </c>
      <c r="J92" s="207">
        <v>0</v>
      </c>
      <c r="K92" s="207"/>
      <c r="L92" s="207">
        <f>IFERROR(SUMIF(data!$E:$E,科目余额表!$B92,data!H:H),0)</f>
        <v>0</v>
      </c>
      <c r="M92" s="207">
        <f>IFERROR(SUMIF(data!$E:$E,科目余额表!$B92,data!I:I),0)</f>
        <v>0</v>
      </c>
      <c r="N92" s="207">
        <f>IFERROR(SUMIF(data!$E:$E,科目余额表!$B92,data!J:J),0)</f>
        <v>0</v>
      </c>
      <c r="O92" s="207">
        <f>IFERROR(SUMIF(data!$E:$E,科目余额表!$B92,data!K:K),0)</f>
        <v>0</v>
      </c>
      <c r="P92" s="207">
        <f>IFERROR(SUMIF(data!$E:$E,科目余额表!$B92,data!L:L),0)</f>
        <v>0</v>
      </c>
      <c r="Q92" s="207">
        <f>IFERROR(SUMIF(data!$E:$E,科目余额表!$B92,data!M:M),0)</f>
        <v>0</v>
      </c>
      <c r="R92" s="207">
        <f>IFERROR(SUMIF(data!$E:$E,科目余额表!$B92,data!N:N),0)</f>
        <v>0</v>
      </c>
      <c r="S92" s="207">
        <f>IFERROR(SUMIF(data!$E:$E,科目余额表!$B92,data!O:O),0)</f>
        <v>0</v>
      </c>
      <c r="T92" s="207">
        <f>IFERROR(SUMIF(data!$E:$E,科目余额表!$B92,data!P:P),0)</f>
        <v>0</v>
      </c>
      <c r="U92" s="207">
        <f>IFERROR(SUMIF(data!$E:$E,科目余额表!$B92,data!Q:Q),0)</f>
        <v>0</v>
      </c>
      <c r="V92" s="207">
        <f>IFERROR(SUMIF(data!$E:$E,科目余额表!$B92,data!R:R),0)</f>
        <v>0</v>
      </c>
      <c r="W92" s="207">
        <f>IFERROR(SUMIF(data!$E:$E,科目余额表!$B92,data!S:S),0)</f>
        <v>0</v>
      </c>
      <c r="X92" s="207"/>
      <c r="Y92" s="207"/>
      <c r="Z92" s="207"/>
      <c r="AA92" s="207"/>
      <c r="AB92" s="207"/>
      <c r="AC92" s="207"/>
      <c r="AD92" s="207"/>
      <c r="AE92" s="207"/>
      <c r="AF92" s="207"/>
    </row>
    <row r="93" spans="1:32" s="214" customFormat="1" ht="11.65" customHeight="1">
      <c r="A93" s="215"/>
      <c r="B93" s="220">
        <v>13044</v>
      </c>
      <c r="C93" s="205" t="s">
        <v>342</v>
      </c>
      <c r="D93" s="221">
        <v>0</v>
      </c>
      <c r="E93" s="221">
        <v>0</v>
      </c>
      <c r="F93" s="222">
        <f t="shared" si="1"/>
        <v>0</v>
      </c>
      <c r="G93" s="205" t="s">
        <v>310</v>
      </c>
      <c r="H93" s="219" t="s">
        <v>250</v>
      </c>
      <c r="J93" s="207">
        <v>0</v>
      </c>
      <c r="K93" s="207"/>
      <c r="L93" s="207">
        <f>IFERROR(SUMIF(data!$E:$E,科目余额表!$B93,data!H:H),0)</f>
        <v>0</v>
      </c>
      <c r="M93" s="207">
        <f>IFERROR(SUMIF(data!$E:$E,科目余额表!$B93,data!I:I),0)</f>
        <v>0</v>
      </c>
      <c r="N93" s="207">
        <f>IFERROR(SUMIF(data!$E:$E,科目余额表!$B93,data!J:J),0)</f>
        <v>0</v>
      </c>
      <c r="O93" s="207">
        <f>IFERROR(SUMIF(data!$E:$E,科目余额表!$B93,data!K:K),0)</f>
        <v>0</v>
      </c>
      <c r="P93" s="207">
        <f>IFERROR(SUMIF(data!$E:$E,科目余额表!$B93,data!L:L),0)</f>
        <v>0</v>
      </c>
      <c r="Q93" s="207">
        <f>IFERROR(SUMIF(data!$E:$E,科目余额表!$B93,data!M:M),0)</f>
        <v>0</v>
      </c>
      <c r="R93" s="207">
        <f>IFERROR(SUMIF(data!$E:$E,科目余额表!$B93,data!N:N),0)</f>
        <v>0</v>
      </c>
      <c r="S93" s="207">
        <f>IFERROR(SUMIF(data!$E:$E,科目余额表!$B93,data!O:O),0)</f>
        <v>0</v>
      </c>
      <c r="T93" s="207">
        <f>IFERROR(SUMIF(data!$E:$E,科目余额表!$B93,data!P:P),0)</f>
        <v>0</v>
      </c>
      <c r="U93" s="207">
        <f>IFERROR(SUMIF(data!$E:$E,科目余额表!$B93,data!Q:Q),0)</f>
        <v>0</v>
      </c>
      <c r="V93" s="207">
        <f>IFERROR(SUMIF(data!$E:$E,科目余额表!$B93,data!R:R),0)</f>
        <v>0</v>
      </c>
      <c r="W93" s="207">
        <f>IFERROR(SUMIF(data!$E:$E,科目余额表!$B93,data!S:S),0)</f>
        <v>0</v>
      </c>
      <c r="X93" s="207"/>
      <c r="Y93" s="207"/>
      <c r="Z93" s="207"/>
      <c r="AA93" s="207"/>
      <c r="AB93" s="207"/>
      <c r="AC93" s="207"/>
      <c r="AD93" s="207"/>
      <c r="AE93" s="207"/>
      <c r="AF93" s="207"/>
    </row>
    <row r="94" spans="1:32" s="214" customFormat="1" ht="11.65" customHeight="1">
      <c r="A94" s="215"/>
      <c r="B94" s="220">
        <v>13046</v>
      </c>
      <c r="C94" s="223" t="s">
        <v>343</v>
      </c>
      <c r="D94" s="221">
        <v>0</v>
      </c>
      <c r="E94" s="221">
        <v>0</v>
      </c>
      <c r="F94" s="222">
        <f t="shared" si="1"/>
        <v>0</v>
      </c>
      <c r="G94" s="205" t="s">
        <v>310</v>
      </c>
      <c r="H94" s="219" t="s">
        <v>250</v>
      </c>
      <c r="J94" s="207">
        <v>0</v>
      </c>
      <c r="K94" s="207"/>
      <c r="L94" s="207">
        <f>IFERROR(SUMIF(data!$E:$E,科目余额表!$B94,data!H:H),0)</f>
        <v>0</v>
      </c>
      <c r="M94" s="207">
        <f>IFERROR(SUMIF(data!$E:$E,科目余额表!$B94,data!I:I),0)</f>
        <v>0</v>
      </c>
      <c r="N94" s="207">
        <f>IFERROR(SUMIF(data!$E:$E,科目余额表!$B94,data!J:J),0)</f>
        <v>0</v>
      </c>
      <c r="O94" s="207">
        <f>IFERROR(SUMIF(data!$E:$E,科目余额表!$B94,data!K:K),0)</f>
        <v>0</v>
      </c>
      <c r="P94" s="207">
        <f>IFERROR(SUMIF(data!$E:$E,科目余额表!$B94,data!L:L),0)</f>
        <v>0</v>
      </c>
      <c r="Q94" s="207">
        <f>IFERROR(SUMIF(data!$E:$E,科目余额表!$B94,data!M:M),0)</f>
        <v>0</v>
      </c>
      <c r="R94" s="207">
        <f>IFERROR(SUMIF(data!$E:$E,科目余额表!$B94,data!N:N),0)</f>
        <v>0</v>
      </c>
      <c r="S94" s="207">
        <f>IFERROR(SUMIF(data!$E:$E,科目余额表!$B94,data!O:O),0)</f>
        <v>0</v>
      </c>
      <c r="T94" s="207">
        <f>IFERROR(SUMIF(data!$E:$E,科目余额表!$B94,data!P:P),0)</f>
        <v>0</v>
      </c>
      <c r="U94" s="207">
        <f>IFERROR(SUMIF(data!$E:$E,科目余额表!$B94,data!Q:Q),0)</f>
        <v>0</v>
      </c>
      <c r="V94" s="207">
        <f>IFERROR(SUMIF(data!$E:$E,科目余额表!$B94,data!R:R),0)</f>
        <v>0</v>
      </c>
      <c r="W94" s="207">
        <f>IFERROR(SUMIF(data!$E:$E,科目余额表!$B94,data!S:S),0)</f>
        <v>0</v>
      </c>
      <c r="X94" s="207"/>
      <c r="Y94" s="207"/>
      <c r="Z94" s="207"/>
      <c r="AA94" s="207"/>
      <c r="AB94" s="207"/>
      <c r="AC94" s="207"/>
      <c r="AD94" s="207"/>
      <c r="AE94" s="207"/>
      <c r="AF94" s="207"/>
    </row>
    <row r="95" spans="1:32" s="214" customFormat="1" ht="11.65" customHeight="1">
      <c r="A95" s="215"/>
      <c r="B95" s="220">
        <v>13048</v>
      </c>
      <c r="C95" s="223" t="s">
        <v>344</v>
      </c>
      <c r="D95" s="221">
        <v>0</v>
      </c>
      <c r="E95" s="221">
        <v>0</v>
      </c>
      <c r="F95" s="222">
        <f t="shared" si="1"/>
        <v>0</v>
      </c>
      <c r="G95" s="205" t="s">
        <v>310</v>
      </c>
      <c r="H95" s="219" t="s">
        <v>250</v>
      </c>
      <c r="J95" s="207">
        <v>0</v>
      </c>
      <c r="K95" s="207"/>
      <c r="L95" s="207">
        <f>IFERROR(SUMIF(data!$E:$E,科目余额表!$B95,data!H:H),0)</f>
        <v>0</v>
      </c>
      <c r="M95" s="207">
        <f>IFERROR(SUMIF(data!$E:$E,科目余额表!$B95,data!I:I),0)</f>
        <v>0</v>
      </c>
      <c r="N95" s="207">
        <f>IFERROR(SUMIF(data!$E:$E,科目余额表!$B95,data!J:J),0)</f>
        <v>0</v>
      </c>
      <c r="O95" s="207">
        <f>IFERROR(SUMIF(data!$E:$E,科目余额表!$B95,data!K:K),0)</f>
        <v>0</v>
      </c>
      <c r="P95" s="207">
        <f>IFERROR(SUMIF(data!$E:$E,科目余额表!$B95,data!L:L),0)</f>
        <v>0</v>
      </c>
      <c r="Q95" s="207">
        <f>IFERROR(SUMIF(data!$E:$E,科目余额表!$B95,data!M:M),0)</f>
        <v>0</v>
      </c>
      <c r="R95" s="207">
        <f>IFERROR(SUMIF(data!$E:$E,科目余额表!$B95,data!N:N),0)</f>
        <v>0</v>
      </c>
      <c r="S95" s="207">
        <f>IFERROR(SUMIF(data!$E:$E,科目余额表!$B95,data!O:O),0)</f>
        <v>0</v>
      </c>
      <c r="T95" s="207">
        <f>IFERROR(SUMIF(data!$E:$E,科目余额表!$B95,data!P:P),0)</f>
        <v>0</v>
      </c>
      <c r="U95" s="207">
        <f>IFERROR(SUMIF(data!$E:$E,科目余额表!$B95,data!Q:Q),0)</f>
        <v>0</v>
      </c>
      <c r="V95" s="207">
        <f>IFERROR(SUMIF(data!$E:$E,科目余额表!$B95,data!R:R),0)</f>
        <v>0</v>
      </c>
      <c r="W95" s="207">
        <f>IFERROR(SUMIF(data!$E:$E,科目余额表!$B95,data!S:S),0)</f>
        <v>0</v>
      </c>
      <c r="X95" s="207"/>
      <c r="Y95" s="207"/>
      <c r="Z95" s="207"/>
      <c r="AA95" s="207"/>
      <c r="AB95" s="207"/>
      <c r="AC95" s="207"/>
      <c r="AD95" s="207"/>
      <c r="AE95" s="207"/>
      <c r="AF95" s="207"/>
    </row>
    <row r="96" spans="1:32" s="214" customFormat="1" ht="11.65" customHeight="1">
      <c r="A96" s="215"/>
      <c r="B96" s="220">
        <v>13049</v>
      </c>
      <c r="C96" s="205" t="s">
        <v>345</v>
      </c>
      <c r="D96" s="221">
        <v>0</v>
      </c>
      <c r="E96" s="221">
        <v>0</v>
      </c>
      <c r="F96" s="222">
        <f t="shared" si="1"/>
        <v>0</v>
      </c>
      <c r="G96" s="205" t="s">
        <v>310</v>
      </c>
      <c r="H96" s="219" t="s">
        <v>250</v>
      </c>
      <c r="J96" s="207">
        <v>0</v>
      </c>
      <c r="K96" s="207"/>
      <c r="L96" s="207">
        <f>IFERROR(SUMIF(data!$E:$E,科目余额表!$B96,data!H:H),0)</f>
        <v>0</v>
      </c>
      <c r="M96" s="207">
        <f>IFERROR(SUMIF(data!$E:$E,科目余额表!$B96,data!I:I),0)</f>
        <v>0</v>
      </c>
      <c r="N96" s="207">
        <f>IFERROR(SUMIF(data!$E:$E,科目余额表!$B96,data!J:J),0)</f>
        <v>0</v>
      </c>
      <c r="O96" s="207">
        <f>IFERROR(SUMIF(data!$E:$E,科目余额表!$B96,data!K:K),0)</f>
        <v>0</v>
      </c>
      <c r="P96" s="207">
        <f>IFERROR(SUMIF(data!$E:$E,科目余额表!$B96,data!L:L),0)</f>
        <v>0</v>
      </c>
      <c r="Q96" s="207">
        <f>IFERROR(SUMIF(data!$E:$E,科目余额表!$B96,data!M:M),0)</f>
        <v>0</v>
      </c>
      <c r="R96" s="207">
        <f>IFERROR(SUMIF(data!$E:$E,科目余额表!$B96,data!N:N),0)</f>
        <v>0</v>
      </c>
      <c r="S96" s="207">
        <f>IFERROR(SUMIF(data!$E:$E,科目余额表!$B96,data!O:O),0)</f>
        <v>0</v>
      </c>
      <c r="T96" s="207">
        <f>IFERROR(SUMIF(data!$E:$E,科目余额表!$B96,data!P:P),0)</f>
        <v>0</v>
      </c>
      <c r="U96" s="207">
        <f>IFERROR(SUMIF(data!$E:$E,科目余额表!$B96,data!Q:Q),0)</f>
        <v>0</v>
      </c>
      <c r="V96" s="207">
        <f>IFERROR(SUMIF(data!$E:$E,科目余额表!$B96,data!R:R),0)</f>
        <v>0</v>
      </c>
      <c r="W96" s="207">
        <f>IFERROR(SUMIF(data!$E:$E,科目余额表!$B96,data!S:S),0)</f>
        <v>0</v>
      </c>
      <c r="X96" s="207"/>
      <c r="Y96" s="207"/>
      <c r="Z96" s="207"/>
      <c r="AA96" s="207"/>
      <c r="AB96" s="207"/>
      <c r="AC96" s="207"/>
      <c r="AD96" s="207"/>
      <c r="AE96" s="207"/>
      <c r="AF96" s="207"/>
    </row>
    <row r="97" spans="1:32" s="214" customFormat="1" ht="11.65" customHeight="1">
      <c r="A97" s="215"/>
      <c r="B97" s="220">
        <v>13051</v>
      </c>
      <c r="C97" s="205" t="s">
        <v>346</v>
      </c>
      <c r="D97" s="221">
        <v>0</v>
      </c>
      <c r="E97" s="221">
        <v>0</v>
      </c>
      <c r="F97" s="222">
        <f t="shared" si="1"/>
        <v>0</v>
      </c>
      <c r="G97" s="205" t="s">
        <v>310</v>
      </c>
      <c r="H97" s="219" t="s">
        <v>250</v>
      </c>
      <c r="J97" s="207">
        <v>0</v>
      </c>
      <c r="K97" s="207"/>
      <c r="L97" s="207">
        <f>IFERROR(SUMIF(data!$E:$E,科目余额表!$B97,data!H:H),0)</f>
        <v>0</v>
      </c>
      <c r="M97" s="207">
        <f>IFERROR(SUMIF(data!$E:$E,科目余额表!$B97,data!I:I),0)</f>
        <v>0</v>
      </c>
      <c r="N97" s="207">
        <f>IFERROR(SUMIF(data!$E:$E,科目余额表!$B97,data!J:J),0)</f>
        <v>0</v>
      </c>
      <c r="O97" s="207">
        <f>IFERROR(SUMIF(data!$E:$E,科目余额表!$B97,data!K:K),0)</f>
        <v>0</v>
      </c>
      <c r="P97" s="207">
        <f>IFERROR(SUMIF(data!$E:$E,科目余额表!$B97,data!L:L),0)</f>
        <v>0</v>
      </c>
      <c r="Q97" s="207">
        <f>IFERROR(SUMIF(data!$E:$E,科目余额表!$B97,data!M:M),0)</f>
        <v>0</v>
      </c>
      <c r="R97" s="207">
        <f>IFERROR(SUMIF(data!$E:$E,科目余额表!$B97,data!N:N),0)</f>
        <v>0</v>
      </c>
      <c r="S97" s="207">
        <f>IFERROR(SUMIF(data!$E:$E,科目余额表!$B97,data!O:O),0)</f>
        <v>0</v>
      </c>
      <c r="T97" s="207">
        <f>IFERROR(SUMIF(data!$E:$E,科目余额表!$B97,data!P:P),0)</f>
        <v>0</v>
      </c>
      <c r="U97" s="207">
        <f>IFERROR(SUMIF(data!$E:$E,科目余额表!$B97,data!Q:Q),0)</f>
        <v>0</v>
      </c>
      <c r="V97" s="207">
        <f>IFERROR(SUMIF(data!$E:$E,科目余额表!$B97,data!R:R),0)</f>
        <v>0</v>
      </c>
      <c r="W97" s="207">
        <f>IFERROR(SUMIF(data!$E:$E,科目余额表!$B97,data!S:S),0)</f>
        <v>0</v>
      </c>
      <c r="X97" s="207"/>
      <c r="Y97" s="207"/>
      <c r="Z97" s="207"/>
      <c r="AA97" s="207"/>
      <c r="AB97" s="207"/>
      <c r="AC97" s="207"/>
      <c r="AD97" s="207"/>
      <c r="AE97" s="207"/>
      <c r="AF97" s="207"/>
    </row>
    <row r="98" spans="1:32" s="214" customFormat="1" ht="11.65" customHeight="1">
      <c r="A98" s="215"/>
      <c r="B98" s="220">
        <v>13052</v>
      </c>
      <c r="C98" s="205" t="s">
        <v>347</v>
      </c>
      <c r="D98" s="221">
        <v>0</v>
      </c>
      <c r="E98" s="221">
        <v>0</v>
      </c>
      <c r="F98" s="222">
        <f t="shared" si="1"/>
        <v>0</v>
      </c>
      <c r="G98" s="205" t="s">
        <v>310</v>
      </c>
      <c r="H98" s="219" t="s">
        <v>250</v>
      </c>
      <c r="J98" s="207">
        <v>0</v>
      </c>
      <c r="K98" s="207"/>
      <c r="L98" s="207">
        <f>IFERROR(SUMIF(data!$E:$E,科目余额表!$B98,data!H:H),0)</f>
        <v>0</v>
      </c>
      <c r="M98" s="207">
        <f>IFERROR(SUMIF(data!$E:$E,科目余额表!$B98,data!I:I),0)</f>
        <v>0</v>
      </c>
      <c r="N98" s="207">
        <f>IFERROR(SUMIF(data!$E:$E,科目余额表!$B98,data!J:J),0)</f>
        <v>0</v>
      </c>
      <c r="O98" s="207">
        <f>IFERROR(SUMIF(data!$E:$E,科目余额表!$B98,data!K:K),0)</f>
        <v>0</v>
      </c>
      <c r="P98" s="207">
        <f>IFERROR(SUMIF(data!$E:$E,科目余额表!$B98,data!L:L),0)</f>
        <v>0</v>
      </c>
      <c r="Q98" s="207">
        <f>IFERROR(SUMIF(data!$E:$E,科目余额表!$B98,data!M:M),0)</f>
        <v>0</v>
      </c>
      <c r="R98" s="207">
        <f>IFERROR(SUMIF(data!$E:$E,科目余额表!$B98,data!N:N),0)</f>
        <v>0</v>
      </c>
      <c r="S98" s="207">
        <f>IFERROR(SUMIF(data!$E:$E,科目余额表!$B98,data!O:O),0)</f>
        <v>0</v>
      </c>
      <c r="T98" s="207">
        <f>IFERROR(SUMIF(data!$E:$E,科目余额表!$B98,data!P:P),0)</f>
        <v>0</v>
      </c>
      <c r="U98" s="207">
        <f>IFERROR(SUMIF(data!$E:$E,科目余额表!$B98,data!Q:Q),0)</f>
        <v>0</v>
      </c>
      <c r="V98" s="207">
        <f>IFERROR(SUMIF(data!$E:$E,科目余额表!$B98,data!R:R),0)</f>
        <v>0</v>
      </c>
      <c r="W98" s="207">
        <f>IFERROR(SUMIF(data!$E:$E,科目余额表!$B98,data!S:S),0)</f>
        <v>0</v>
      </c>
      <c r="X98" s="207"/>
      <c r="Y98" s="207"/>
      <c r="Z98" s="207"/>
      <c r="AA98" s="207"/>
      <c r="AB98" s="207"/>
      <c r="AC98" s="207"/>
      <c r="AD98" s="207"/>
      <c r="AE98" s="207"/>
      <c r="AF98" s="207"/>
    </row>
    <row r="99" spans="1:32" s="214" customFormat="1" ht="11.65" customHeight="1">
      <c r="A99" s="215"/>
      <c r="B99" s="220">
        <v>13055</v>
      </c>
      <c r="C99" s="205" t="s">
        <v>348</v>
      </c>
      <c r="D99" s="221">
        <v>0</v>
      </c>
      <c r="E99" s="221">
        <v>0</v>
      </c>
      <c r="F99" s="222">
        <f t="shared" si="1"/>
        <v>0</v>
      </c>
      <c r="G99" s="205" t="s">
        <v>310</v>
      </c>
      <c r="H99" s="219" t="s">
        <v>250</v>
      </c>
      <c r="J99" s="207">
        <v>0</v>
      </c>
      <c r="K99" s="207"/>
      <c r="L99" s="207">
        <f>IFERROR(SUMIF(data!$E:$E,科目余额表!$B99,data!H:H),0)</f>
        <v>0</v>
      </c>
      <c r="M99" s="207">
        <f>IFERROR(SUMIF(data!$E:$E,科目余额表!$B99,data!I:I),0)</f>
        <v>0</v>
      </c>
      <c r="N99" s="207">
        <f>IFERROR(SUMIF(data!$E:$E,科目余额表!$B99,data!J:J),0)</f>
        <v>0</v>
      </c>
      <c r="O99" s="207">
        <f>IFERROR(SUMIF(data!$E:$E,科目余额表!$B99,data!K:K),0)</f>
        <v>0</v>
      </c>
      <c r="P99" s="207">
        <f>IFERROR(SUMIF(data!$E:$E,科目余额表!$B99,data!L:L),0)</f>
        <v>0</v>
      </c>
      <c r="Q99" s="207">
        <f>IFERROR(SUMIF(data!$E:$E,科目余额表!$B99,data!M:M),0)</f>
        <v>0</v>
      </c>
      <c r="R99" s="207">
        <f>IFERROR(SUMIF(data!$E:$E,科目余额表!$B99,data!N:N),0)</f>
        <v>0</v>
      </c>
      <c r="S99" s="207">
        <f>IFERROR(SUMIF(data!$E:$E,科目余额表!$B99,data!O:O),0)</f>
        <v>0</v>
      </c>
      <c r="T99" s="207">
        <f>IFERROR(SUMIF(data!$E:$E,科目余额表!$B99,data!P:P),0)</f>
        <v>0</v>
      </c>
      <c r="U99" s="207">
        <f>IFERROR(SUMIF(data!$E:$E,科目余额表!$B99,data!Q:Q),0)</f>
        <v>0</v>
      </c>
      <c r="V99" s="207">
        <f>IFERROR(SUMIF(data!$E:$E,科目余额表!$B99,data!R:R),0)</f>
        <v>0</v>
      </c>
      <c r="W99" s="207">
        <f>IFERROR(SUMIF(data!$E:$E,科目余额表!$B99,data!S:S),0)</f>
        <v>0</v>
      </c>
      <c r="X99" s="207"/>
      <c r="Y99" s="207"/>
      <c r="Z99" s="207"/>
      <c r="AA99" s="207"/>
      <c r="AB99" s="207"/>
      <c r="AC99" s="207"/>
      <c r="AD99" s="207"/>
      <c r="AE99" s="207"/>
      <c r="AF99" s="207"/>
    </row>
    <row r="100" spans="1:32" s="214" customFormat="1" ht="11.65" customHeight="1">
      <c r="A100" s="215"/>
      <c r="B100" s="220">
        <v>13056</v>
      </c>
      <c r="C100" s="205" t="s">
        <v>349</v>
      </c>
      <c r="D100" s="221">
        <v>0</v>
      </c>
      <c r="E100" s="221">
        <v>0</v>
      </c>
      <c r="F100" s="222">
        <f t="shared" si="1"/>
        <v>0</v>
      </c>
      <c r="G100" s="205" t="s">
        <v>310</v>
      </c>
      <c r="H100" s="219" t="s">
        <v>250</v>
      </c>
      <c r="J100" s="207">
        <v>0</v>
      </c>
      <c r="K100" s="207"/>
      <c r="L100" s="207">
        <f>IFERROR(SUMIF(data!$E:$E,科目余额表!$B100,data!H:H),0)</f>
        <v>0</v>
      </c>
      <c r="M100" s="207">
        <f>IFERROR(SUMIF(data!$E:$E,科目余额表!$B100,data!I:I),0)</f>
        <v>0</v>
      </c>
      <c r="N100" s="207">
        <f>IFERROR(SUMIF(data!$E:$E,科目余额表!$B100,data!J:J),0)</f>
        <v>0</v>
      </c>
      <c r="O100" s="207">
        <f>IFERROR(SUMIF(data!$E:$E,科目余额表!$B100,data!K:K),0)</f>
        <v>0</v>
      </c>
      <c r="P100" s="207">
        <f>IFERROR(SUMIF(data!$E:$E,科目余额表!$B100,data!L:L),0)</f>
        <v>0</v>
      </c>
      <c r="Q100" s="207">
        <f>IFERROR(SUMIF(data!$E:$E,科目余额表!$B100,data!M:M),0)</f>
        <v>0</v>
      </c>
      <c r="R100" s="207">
        <f>IFERROR(SUMIF(data!$E:$E,科目余额表!$B100,data!N:N),0)</f>
        <v>0</v>
      </c>
      <c r="S100" s="207">
        <f>IFERROR(SUMIF(data!$E:$E,科目余额表!$B100,data!O:O),0)</f>
        <v>0</v>
      </c>
      <c r="T100" s="207">
        <f>IFERROR(SUMIF(data!$E:$E,科目余额表!$B100,data!P:P),0)</f>
        <v>0</v>
      </c>
      <c r="U100" s="207">
        <f>IFERROR(SUMIF(data!$E:$E,科目余额表!$B100,data!Q:Q),0)</f>
        <v>0</v>
      </c>
      <c r="V100" s="207">
        <f>IFERROR(SUMIF(data!$E:$E,科目余额表!$B100,data!R:R),0)</f>
        <v>0</v>
      </c>
      <c r="W100" s="207">
        <f>IFERROR(SUMIF(data!$E:$E,科目余额表!$B100,data!S:S),0)</f>
        <v>0</v>
      </c>
      <c r="X100" s="207"/>
      <c r="Y100" s="207"/>
      <c r="Z100" s="207"/>
      <c r="AA100" s="207"/>
      <c r="AB100" s="207"/>
      <c r="AC100" s="207"/>
      <c r="AD100" s="207"/>
      <c r="AE100" s="207"/>
      <c r="AF100" s="207"/>
    </row>
    <row r="101" spans="1:32" s="214" customFormat="1" ht="11.65" customHeight="1">
      <c r="A101" s="215"/>
      <c r="B101" s="220">
        <v>13057</v>
      </c>
      <c r="C101" s="205" t="s">
        <v>350</v>
      </c>
      <c r="D101" s="221">
        <v>0</v>
      </c>
      <c r="E101" s="221">
        <v>0</v>
      </c>
      <c r="F101" s="222">
        <f t="shared" si="1"/>
        <v>0</v>
      </c>
      <c r="G101" s="205" t="s">
        <v>310</v>
      </c>
      <c r="H101" s="219" t="s">
        <v>250</v>
      </c>
      <c r="J101" s="207">
        <v>0</v>
      </c>
      <c r="K101" s="207"/>
      <c r="L101" s="207">
        <f>IFERROR(SUMIF(data!$E:$E,科目余额表!$B101,data!H:H),0)</f>
        <v>0</v>
      </c>
      <c r="M101" s="207">
        <f>IFERROR(SUMIF(data!$E:$E,科目余额表!$B101,data!I:I),0)</f>
        <v>0</v>
      </c>
      <c r="N101" s="207">
        <f>IFERROR(SUMIF(data!$E:$E,科目余额表!$B101,data!J:J),0)</f>
        <v>0</v>
      </c>
      <c r="O101" s="207">
        <f>IFERROR(SUMIF(data!$E:$E,科目余额表!$B101,data!K:K),0)</f>
        <v>0</v>
      </c>
      <c r="P101" s="207">
        <f>IFERROR(SUMIF(data!$E:$E,科目余额表!$B101,data!L:L),0)</f>
        <v>0</v>
      </c>
      <c r="Q101" s="207">
        <f>IFERROR(SUMIF(data!$E:$E,科目余额表!$B101,data!M:M),0)</f>
        <v>0</v>
      </c>
      <c r="R101" s="207">
        <f>IFERROR(SUMIF(data!$E:$E,科目余额表!$B101,data!N:N),0)</f>
        <v>0</v>
      </c>
      <c r="S101" s="207">
        <f>IFERROR(SUMIF(data!$E:$E,科目余额表!$B101,data!O:O),0)</f>
        <v>0</v>
      </c>
      <c r="T101" s="207">
        <f>IFERROR(SUMIF(data!$E:$E,科目余额表!$B101,data!P:P),0)</f>
        <v>0</v>
      </c>
      <c r="U101" s="207">
        <f>IFERROR(SUMIF(data!$E:$E,科目余额表!$B101,data!Q:Q),0)</f>
        <v>0</v>
      </c>
      <c r="V101" s="207">
        <f>IFERROR(SUMIF(data!$E:$E,科目余额表!$B101,data!R:R),0)</f>
        <v>0</v>
      </c>
      <c r="W101" s="207">
        <f>IFERROR(SUMIF(data!$E:$E,科目余额表!$B101,data!S:S),0)</f>
        <v>0</v>
      </c>
      <c r="X101" s="207"/>
      <c r="Y101" s="207"/>
      <c r="Z101" s="207"/>
      <c r="AA101" s="207"/>
      <c r="AB101" s="207"/>
      <c r="AC101" s="207"/>
      <c r="AD101" s="207"/>
      <c r="AE101" s="207"/>
      <c r="AF101" s="207"/>
    </row>
    <row r="102" spans="1:32" s="214" customFormat="1" ht="11.65" customHeight="1">
      <c r="A102" s="215"/>
      <c r="B102" s="220">
        <v>13058</v>
      </c>
      <c r="C102" s="205" t="s">
        <v>351</v>
      </c>
      <c r="D102" s="221">
        <v>0</v>
      </c>
      <c r="E102" s="221">
        <v>0</v>
      </c>
      <c r="F102" s="222">
        <f t="shared" si="1"/>
        <v>0</v>
      </c>
      <c r="G102" s="205" t="s">
        <v>310</v>
      </c>
      <c r="H102" s="219" t="s">
        <v>250</v>
      </c>
      <c r="J102" s="207">
        <v>0</v>
      </c>
      <c r="K102" s="207"/>
      <c r="L102" s="207">
        <f>IFERROR(SUMIF(data!$E:$E,科目余额表!$B102,data!H:H),0)</f>
        <v>0</v>
      </c>
      <c r="M102" s="207">
        <f>IFERROR(SUMIF(data!$E:$E,科目余额表!$B102,data!I:I),0)</f>
        <v>0</v>
      </c>
      <c r="N102" s="207">
        <f>IFERROR(SUMIF(data!$E:$E,科目余额表!$B102,data!J:J),0)</f>
        <v>0</v>
      </c>
      <c r="O102" s="207">
        <f>IFERROR(SUMIF(data!$E:$E,科目余额表!$B102,data!K:K),0)</f>
        <v>0</v>
      </c>
      <c r="P102" s="207">
        <f>IFERROR(SUMIF(data!$E:$E,科目余额表!$B102,data!L:L),0)</f>
        <v>0</v>
      </c>
      <c r="Q102" s="207">
        <f>IFERROR(SUMIF(data!$E:$E,科目余额表!$B102,data!M:M),0)</f>
        <v>0</v>
      </c>
      <c r="R102" s="207">
        <f>IFERROR(SUMIF(data!$E:$E,科目余额表!$B102,data!N:N),0)</f>
        <v>0</v>
      </c>
      <c r="S102" s="207">
        <f>IFERROR(SUMIF(data!$E:$E,科目余额表!$B102,data!O:O),0)</f>
        <v>0</v>
      </c>
      <c r="T102" s="207">
        <f>IFERROR(SUMIF(data!$E:$E,科目余额表!$B102,data!P:P),0)</f>
        <v>0</v>
      </c>
      <c r="U102" s="207">
        <f>IFERROR(SUMIF(data!$E:$E,科目余额表!$B102,data!Q:Q),0)</f>
        <v>0</v>
      </c>
      <c r="V102" s="207">
        <f>IFERROR(SUMIF(data!$E:$E,科目余额表!$B102,data!R:R),0)</f>
        <v>0</v>
      </c>
      <c r="W102" s="207">
        <f>IFERROR(SUMIF(data!$E:$E,科目余额表!$B102,data!S:S),0)</f>
        <v>0</v>
      </c>
      <c r="X102" s="207"/>
      <c r="Y102" s="207"/>
      <c r="Z102" s="207"/>
      <c r="AA102" s="207"/>
      <c r="AB102" s="207"/>
      <c r="AC102" s="207"/>
      <c r="AD102" s="207"/>
      <c r="AE102" s="207"/>
      <c r="AF102" s="207"/>
    </row>
    <row r="103" spans="1:32" s="214" customFormat="1" ht="11.65" customHeight="1">
      <c r="A103" s="215"/>
      <c r="B103" s="220">
        <v>13060</v>
      </c>
      <c r="C103" s="205" t="s">
        <v>352</v>
      </c>
      <c r="D103" s="221">
        <v>0</v>
      </c>
      <c r="E103" s="221">
        <v>0</v>
      </c>
      <c r="F103" s="222">
        <f t="shared" si="1"/>
        <v>0</v>
      </c>
      <c r="G103" s="205" t="s">
        <v>310</v>
      </c>
      <c r="H103" s="219" t="s">
        <v>250</v>
      </c>
      <c r="J103" s="207">
        <v>0</v>
      </c>
      <c r="K103" s="207"/>
      <c r="L103" s="207">
        <f>IFERROR(SUMIF(data!$E:$E,科目余额表!$B103,data!H:H),0)</f>
        <v>0</v>
      </c>
      <c r="M103" s="207">
        <f>IFERROR(SUMIF(data!$E:$E,科目余额表!$B103,data!I:I),0)</f>
        <v>0</v>
      </c>
      <c r="N103" s="207">
        <f>IFERROR(SUMIF(data!$E:$E,科目余额表!$B103,data!J:J),0)</f>
        <v>0</v>
      </c>
      <c r="O103" s="207">
        <f>IFERROR(SUMIF(data!$E:$E,科目余额表!$B103,data!K:K),0)</f>
        <v>0</v>
      </c>
      <c r="P103" s="207">
        <f>IFERROR(SUMIF(data!$E:$E,科目余额表!$B103,data!L:L),0)</f>
        <v>0</v>
      </c>
      <c r="Q103" s="207">
        <f>IFERROR(SUMIF(data!$E:$E,科目余额表!$B103,data!M:M),0)</f>
        <v>0</v>
      </c>
      <c r="R103" s="207">
        <f>IFERROR(SUMIF(data!$E:$E,科目余额表!$B103,data!N:N),0)</f>
        <v>0</v>
      </c>
      <c r="S103" s="207">
        <f>IFERROR(SUMIF(data!$E:$E,科目余额表!$B103,data!O:O),0)</f>
        <v>0</v>
      </c>
      <c r="T103" s="207">
        <f>IFERROR(SUMIF(data!$E:$E,科目余额表!$B103,data!P:P),0)</f>
        <v>0</v>
      </c>
      <c r="U103" s="207">
        <f>IFERROR(SUMIF(data!$E:$E,科目余额表!$B103,data!Q:Q),0)</f>
        <v>0</v>
      </c>
      <c r="V103" s="207">
        <f>IFERROR(SUMIF(data!$E:$E,科目余额表!$B103,data!R:R),0)</f>
        <v>0</v>
      </c>
      <c r="W103" s="207">
        <f>IFERROR(SUMIF(data!$E:$E,科目余额表!$B103,data!S:S),0)</f>
        <v>0</v>
      </c>
      <c r="X103" s="207"/>
      <c r="Y103" s="207"/>
      <c r="Z103" s="207"/>
      <c r="AA103" s="207"/>
      <c r="AB103" s="207"/>
      <c r="AC103" s="207"/>
      <c r="AD103" s="207"/>
      <c r="AE103" s="207"/>
      <c r="AF103" s="207"/>
    </row>
    <row r="104" spans="1:32" s="214" customFormat="1" ht="11.65" customHeight="1">
      <c r="A104" s="215"/>
      <c r="B104" s="220">
        <v>13061</v>
      </c>
      <c r="C104" s="205" t="s">
        <v>353</v>
      </c>
      <c r="D104" s="221">
        <v>0</v>
      </c>
      <c r="E104" s="221">
        <v>0</v>
      </c>
      <c r="F104" s="222">
        <f t="shared" si="1"/>
        <v>0</v>
      </c>
      <c r="G104" s="205" t="s">
        <v>310</v>
      </c>
      <c r="H104" s="219" t="s">
        <v>250</v>
      </c>
      <c r="J104" s="207">
        <v>0</v>
      </c>
      <c r="K104" s="207"/>
      <c r="L104" s="207">
        <f>IFERROR(SUMIF(data!$E:$E,科目余额表!$B104,data!H:H),0)</f>
        <v>0</v>
      </c>
      <c r="M104" s="207">
        <f>IFERROR(SUMIF(data!$E:$E,科目余额表!$B104,data!I:I),0)</f>
        <v>0</v>
      </c>
      <c r="N104" s="207">
        <f>IFERROR(SUMIF(data!$E:$E,科目余额表!$B104,data!J:J),0)</f>
        <v>0</v>
      </c>
      <c r="O104" s="207">
        <f>IFERROR(SUMIF(data!$E:$E,科目余额表!$B104,data!K:K),0)</f>
        <v>0</v>
      </c>
      <c r="P104" s="207">
        <f>IFERROR(SUMIF(data!$E:$E,科目余额表!$B104,data!L:L),0)</f>
        <v>0</v>
      </c>
      <c r="Q104" s="207">
        <f>IFERROR(SUMIF(data!$E:$E,科目余额表!$B104,data!M:M),0)</f>
        <v>0</v>
      </c>
      <c r="R104" s="207">
        <f>IFERROR(SUMIF(data!$E:$E,科目余额表!$B104,data!N:N),0)</f>
        <v>0</v>
      </c>
      <c r="S104" s="207">
        <f>IFERROR(SUMIF(data!$E:$E,科目余额表!$B104,data!O:O),0)</f>
        <v>0</v>
      </c>
      <c r="T104" s="207">
        <f>IFERROR(SUMIF(data!$E:$E,科目余额表!$B104,data!P:P),0)</f>
        <v>0</v>
      </c>
      <c r="U104" s="207">
        <f>IFERROR(SUMIF(data!$E:$E,科目余额表!$B104,data!Q:Q),0)</f>
        <v>0</v>
      </c>
      <c r="V104" s="207">
        <f>IFERROR(SUMIF(data!$E:$E,科目余额表!$B104,data!R:R),0)</f>
        <v>0</v>
      </c>
      <c r="W104" s="207">
        <f>IFERROR(SUMIF(data!$E:$E,科目余额表!$B104,data!S:S),0)</f>
        <v>0</v>
      </c>
      <c r="X104" s="207"/>
      <c r="Y104" s="207"/>
      <c r="Z104" s="207"/>
      <c r="AA104" s="207"/>
      <c r="AB104" s="207"/>
      <c r="AC104" s="207"/>
      <c r="AD104" s="207"/>
      <c r="AE104" s="207"/>
      <c r="AF104" s="207"/>
    </row>
    <row r="105" spans="1:32" s="214" customFormat="1" ht="11.65" customHeight="1">
      <c r="A105" s="215"/>
      <c r="B105" s="220">
        <v>13062</v>
      </c>
      <c r="C105" s="205" t="s">
        <v>354</v>
      </c>
      <c r="D105" s="221">
        <v>0</v>
      </c>
      <c r="E105" s="221">
        <v>0</v>
      </c>
      <c r="F105" s="222">
        <f t="shared" si="1"/>
        <v>0</v>
      </c>
      <c r="G105" s="205" t="s">
        <v>310</v>
      </c>
      <c r="H105" s="219" t="s">
        <v>250</v>
      </c>
      <c r="J105" s="207">
        <v>0</v>
      </c>
      <c r="K105" s="207"/>
      <c r="L105" s="207">
        <f>IFERROR(SUMIF(data!$E:$E,科目余额表!$B105,data!H:H),0)</f>
        <v>0</v>
      </c>
      <c r="M105" s="207">
        <f>IFERROR(SUMIF(data!$E:$E,科目余额表!$B105,data!I:I),0)</f>
        <v>0</v>
      </c>
      <c r="N105" s="207">
        <f>IFERROR(SUMIF(data!$E:$E,科目余额表!$B105,data!J:J),0)</f>
        <v>0</v>
      </c>
      <c r="O105" s="207">
        <f>IFERROR(SUMIF(data!$E:$E,科目余额表!$B105,data!K:K),0)</f>
        <v>0</v>
      </c>
      <c r="P105" s="207">
        <f>IFERROR(SUMIF(data!$E:$E,科目余额表!$B105,data!L:L),0)</f>
        <v>0</v>
      </c>
      <c r="Q105" s="207">
        <f>IFERROR(SUMIF(data!$E:$E,科目余额表!$B105,data!M:M),0)</f>
        <v>0</v>
      </c>
      <c r="R105" s="207">
        <f>IFERROR(SUMIF(data!$E:$E,科目余额表!$B105,data!N:N),0)</f>
        <v>0</v>
      </c>
      <c r="S105" s="207">
        <f>IFERROR(SUMIF(data!$E:$E,科目余额表!$B105,data!O:O),0)</f>
        <v>0</v>
      </c>
      <c r="T105" s="207">
        <f>IFERROR(SUMIF(data!$E:$E,科目余额表!$B105,data!P:P),0)</f>
        <v>0</v>
      </c>
      <c r="U105" s="207">
        <f>IFERROR(SUMIF(data!$E:$E,科目余额表!$B105,data!Q:Q),0)</f>
        <v>0</v>
      </c>
      <c r="V105" s="207">
        <f>IFERROR(SUMIF(data!$E:$E,科目余额表!$B105,data!R:R),0)</f>
        <v>0</v>
      </c>
      <c r="W105" s="207">
        <f>IFERROR(SUMIF(data!$E:$E,科目余额表!$B105,data!S:S),0)</f>
        <v>0</v>
      </c>
      <c r="X105" s="207"/>
      <c r="Y105" s="207"/>
      <c r="Z105" s="207"/>
      <c r="AA105" s="207"/>
      <c r="AB105" s="207"/>
      <c r="AC105" s="207"/>
      <c r="AD105" s="207"/>
      <c r="AE105" s="207"/>
      <c r="AF105" s="207"/>
    </row>
    <row r="106" spans="1:32" s="214" customFormat="1" ht="11.65" customHeight="1">
      <c r="A106" s="215"/>
      <c r="B106" s="220">
        <v>13063</v>
      </c>
      <c r="C106" s="205" t="s">
        <v>355</v>
      </c>
      <c r="D106" s="221">
        <v>0</v>
      </c>
      <c r="E106" s="221">
        <v>0</v>
      </c>
      <c r="F106" s="222">
        <f t="shared" si="1"/>
        <v>0</v>
      </c>
      <c r="G106" s="205" t="s">
        <v>310</v>
      </c>
      <c r="H106" s="219" t="s">
        <v>250</v>
      </c>
      <c r="J106" s="207">
        <v>0</v>
      </c>
      <c r="K106" s="207"/>
      <c r="L106" s="207">
        <f>IFERROR(SUMIF(data!$E:$E,科目余额表!$B106,data!H:H),0)</f>
        <v>0</v>
      </c>
      <c r="M106" s="207">
        <f>IFERROR(SUMIF(data!$E:$E,科目余额表!$B106,data!I:I),0)</f>
        <v>0</v>
      </c>
      <c r="N106" s="207">
        <f>IFERROR(SUMIF(data!$E:$E,科目余额表!$B106,data!J:J),0)</f>
        <v>0</v>
      </c>
      <c r="O106" s="207">
        <f>IFERROR(SUMIF(data!$E:$E,科目余额表!$B106,data!K:K),0)</f>
        <v>0</v>
      </c>
      <c r="P106" s="207">
        <f>IFERROR(SUMIF(data!$E:$E,科目余额表!$B106,data!L:L),0)</f>
        <v>0</v>
      </c>
      <c r="Q106" s="207">
        <f>IFERROR(SUMIF(data!$E:$E,科目余额表!$B106,data!M:M),0)</f>
        <v>0</v>
      </c>
      <c r="R106" s="207">
        <f>IFERROR(SUMIF(data!$E:$E,科目余额表!$B106,data!N:N),0)</f>
        <v>0</v>
      </c>
      <c r="S106" s="207">
        <f>IFERROR(SUMIF(data!$E:$E,科目余额表!$B106,data!O:O),0)</f>
        <v>0</v>
      </c>
      <c r="T106" s="207">
        <f>IFERROR(SUMIF(data!$E:$E,科目余额表!$B106,data!P:P),0)</f>
        <v>0</v>
      </c>
      <c r="U106" s="207">
        <f>IFERROR(SUMIF(data!$E:$E,科目余额表!$B106,data!Q:Q),0)</f>
        <v>0</v>
      </c>
      <c r="V106" s="207">
        <f>IFERROR(SUMIF(data!$E:$E,科目余额表!$B106,data!R:R),0)</f>
        <v>0</v>
      </c>
      <c r="W106" s="207">
        <f>IFERROR(SUMIF(data!$E:$E,科目余额表!$B106,data!S:S),0)</f>
        <v>0</v>
      </c>
      <c r="X106" s="207"/>
      <c r="Y106" s="207"/>
      <c r="Z106" s="207"/>
      <c r="AA106" s="207"/>
      <c r="AB106" s="207"/>
      <c r="AC106" s="207"/>
      <c r="AD106" s="207"/>
      <c r="AE106" s="207"/>
      <c r="AF106" s="207"/>
    </row>
    <row r="107" spans="1:32" s="214" customFormat="1" ht="11.65" customHeight="1">
      <c r="A107" s="215"/>
      <c r="B107" s="220">
        <v>13064</v>
      </c>
      <c r="C107" s="205" t="s">
        <v>356</v>
      </c>
      <c r="D107" s="221">
        <v>0</v>
      </c>
      <c r="E107" s="221">
        <v>0</v>
      </c>
      <c r="F107" s="222">
        <f t="shared" si="1"/>
        <v>0</v>
      </c>
      <c r="G107" s="205" t="s">
        <v>310</v>
      </c>
      <c r="H107" s="219" t="s">
        <v>250</v>
      </c>
      <c r="J107" s="207">
        <v>0</v>
      </c>
      <c r="K107" s="207"/>
      <c r="L107" s="207">
        <f>IFERROR(SUMIF(data!$E:$E,科目余额表!$B107,data!H:H),0)</f>
        <v>0</v>
      </c>
      <c r="M107" s="207">
        <f>IFERROR(SUMIF(data!$E:$E,科目余额表!$B107,data!I:I),0)</f>
        <v>0</v>
      </c>
      <c r="N107" s="207">
        <f>IFERROR(SUMIF(data!$E:$E,科目余额表!$B107,data!J:J),0)</f>
        <v>0</v>
      </c>
      <c r="O107" s="207">
        <f>IFERROR(SUMIF(data!$E:$E,科目余额表!$B107,data!K:K),0)</f>
        <v>0</v>
      </c>
      <c r="P107" s="207">
        <f>IFERROR(SUMIF(data!$E:$E,科目余额表!$B107,data!L:L),0)</f>
        <v>0</v>
      </c>
      <c r="Q107" s="207">
        <f>IFERROR(SUMIF(data!$E:$E,科目余额表!$B107,data!M:M),0)</f>
        <v>0</v>
      </c>
      <c r="R107" s="207">
        <f>IFERROR(SUMIF(data!$E:$E,科目余额表!$B107,data!N:N),0)</f>
        <v>0</v>
      </c>
      <c r="S107" s="207">
        <f>IFERROR(SUMIF(data!$E:$E,科目余额表!$B107,data!O:O),0)</f>
        <v>0</v>
      </c>
      <c r="T107" s="207">
        <f>IFERROR(SUMIF(data!$E:$E,科目余额表!$B107,data!P:P),0)</f>
        <v>0</v>
      </c>
      <c r="U107" s="207">
        <f>IFERROR(SUMIF(data!$E:$E,科目余额表!$B107,data!Q:Q),0)</f>
        <v>0</v>
      </c>
      <c r="V107" s="207">
        <f>IFERROR(SUMIF(data!$E:$E,科目余额表!$B107,data!R:R),0)</f>
        <v>0</v>
      </c>
      <c r="W107" s="207">
        <f>IFERROR(SUMIF(data!$E:$E,科目余额表!$B107,data!S:S),0)</f>
        <v>0</v>
      </c>
      <c r="X107" s="207"/>
      <c r="Y107" s="207"/>
      <c r="Z107" s="207"/>
      <c r="AA107" s="207"/>
      <c r="AB107" s="207"/>
      <c r="AC107" s="207"/>
      <c r="AD107" s="207"/>
      <c r="AE107" s="207"/>
      <c r="AF107" s="207"/>
    </row>
    <row r="108" spans="1:32" s="214" customFormat="1" ht="11.65" customHeight="1">
      <c r="A108" s="215"/>
      <c r="B108" s="220">
        <v>13066</v>
      </c>
      <c r="C108" s="205" t="s">
        <v>357</v>
      </c>
      <c r="D108" s="221">
        <v>0</v>
      </c>
      <c r="E108" s="221">
        <v>0</v>
      </c>
      <c r="F108" s="222">
        <f t="shared" si="1"/>
        <v>0</v>
      </c>
      <c r="G108" s="205" t="s">
        <v>310</v>
      </c>
      <c r="H108" s="219" t="s">
        <v>250</v>
      </c>
      <c r="J108" s="207">
        <v>0</v>
      </c>
      <c r="K108" s="207"/>
      <c r="L108" s="207">
        <f>IFERROR(SUMIF(data!$E:$E,科目余额表!$B108,data!H:H),0)</f>
        <v>0</v>
      </c>
      <c r="M108" s="207">
        <f>IFERROR(SUMIF(data!$E:$E,科目余额表!$B108,data!I:I),0)</f>
        <v>0</v>
      </c>
      <c r="N108" s="207">
        <f>IFERROR(SUMIF(data!$E:$E,科目余额表!$B108,data!J:J),0)</f>
        <v>0</v>
      </c>
      <c r="O108" s="207">
        <f>IFERROR(SUMIF(data!$E:$E,科目余额表!$B108,data!K:K),0)</f>
        <v>0</v>
      </c>
      <c r="P108" s="207">
        <f>IFERROR(SUMIF(data!$E:$E,科目余额表!$B108,data!L:L),0)</f>
        <v>0</v>
      </c>
      <c r="Q108" s="207">
        <f>IFERROR(SUMIF(data!$E:$E,科目余额表!$B108,data!M:M),0)</f>
        <v>0</v>
      </c>
      <c r="R108" s="207">
        <f>IFERROR(SUMIF(data!$E:$E,科目余额表!$B108,data!N:N),0)</f>
        <v>0</v>
      </c>
      <c r="S108" s="207">
        <f>IFERROR(SUMIF(data!$E:$E,科目余额表!$B108,data!O:O),0)</f>
        <v>0</v>
      </c>
      <c r="T108" s="207">
        <f>IFERROR(SUMIF(data!$E:$E,科目余额表!$B108,data!P:P),0)</f>
        <v>0</v>
      </c>
      <c r="U108" s="207">
        <f>IFERROR(SUMIF(data!$E:$E,科目余额表!$B108,data!Q:Q),0)</f>
        <v>0</v>
      </c>
      <c r="V108" s="207">
        <f>IFERROR(SUMIF(data!$E:$E,科目余额表!$B108,data!R:R),0)</f>
        <v>0</v>
      </c>
      <c r="W108" s="207">
        <f>IFERROR(SUMIF(data!$E:$E,科目余额表!$B108,data!S:S),0)</f>
        <v>0</v>
      </c>
      <c r="X108" s="207"/>
      <c r="Y108" s="207"/>
      <c r="Z108" s="207"/>
      <c r="AA108" s="207"/>
      <c r="AB108" s="207"/>
      <c r="AC108" s="207"/>
      <c r="AD108" s="207"/>
      <c r="AE108" s="207"/>
      <c r="AF108" s="207"/>
    </row>
    <row r="109" spans="1:32" s="214" customFormat="1" ht="11.65" customHeight="1">
      <c r="A109" s="215"/>
      <c r="B109" s="220">
        <v>13067</v>
      </c>
      <c r="C109" s="205" t="s">
        <v>358</v>
      </c>
      <c r="D109" s="221">
        <v>0</v>
      </c>
      <c r="E109" s="221">
        <v>0</v>
      </c>
      <c r="F109" s="222">
        <f t="shared" si="1"/>
        <v>0</v>
      </c>
      <c r="G109" s="205" t="s">
        <v>310</v>
      </c>
      <c r="H109" s="219" t="s">
        <v>250</v>
      </c>
      <c r="J109" s="207">
        <v>0</v>
      </c>
      <c r="K109" s="207"/>
      <c r="L109" s="207">
        <f>IFERROR(SUMIF(data!$E:$E,科目余额表!$B109,data!H:H),0)</f>
        <v>0</v>
      </c>
      <c r="M109" s="207">
        <f>IFERROR(SUMIF(data!$E:$E,科目余额表!$B109,data!I:I),0)</f>
        <v>0</v>
      </c>
      <c r="N109" s="207">
        <f>IFERROR(SUMIF(data!$E:$E,科目余额表!$B109,data!J:J),0)</f>
        <v>0</v>
      </c>
      <c r="O109" s="207">
        <f>IFERROR(SUMIF(data!$E:$E,科目余额表!$B109,data!K:K),0)</f>
        <v>0</v>
      </c>
      <c r="P109" s="207">
        <f>IFERROR(SUMIF(data!$E:$E,科目余额表!$B109,data!L:L),0)</f>
        <v>0</v>
      </c>
      <c r="Q109" s="207">
        <f>IFERROR(SUMIF(data!$E:$E,科目余额表!$B109,data!M:M),0)</f>
        <v>0</v>
      </c>
      <c r="R109" s="207">
        <f>IFERROR(SUMIF(data!$E:$E,科目余额表!$B109,data!N:N),0)</f>
        <v>0</v>
      </c>
      <c r="S109" s="207">
        <f>IFERROR(SUMIF(data!$E:$E,科目余额表!$B109,data!O:O),0)</f>
        <v>0</v>
      </c>
      <c r="T109" s="207">
        <f>IFERROR(SUMIF(data!$E:$E,科目余额表!$B109,data!P:P),0)</f>
        <v>0</v>
      </c>
      <c r="U109" s="207">
        <f>IFERROR(SUMIF(data!$E:$E,科目余额表!$B109,data!Q:Q),0)</f>
        <v>0</v>
      </c>
      <c r="V109" s="207">
        <f>IFERROR(SUMIF(data!$E:$E,科目余额表!$B109,data!R:R),0)</f>
        <v>0</v>
      </c>
      <c r="W109" s="207">
        <f>IFERROR(SUMIF(data!$E:$E,科目余额表!$B109,data!S:S),0)</f>
        <v>0</v>
      </c>
      <c r="X109" s="207"/>
      <c r="Y109" s="207"/>
      <c r="Z109" s="207"/>
      <c r="AA109" s="207"/>
      <c r="AB109" s="207"/>
      <c r="AC109" s="207"/>
      <c r="AD109" s="207"/>
      <c r="AE109" s="207"/>
      <c r="AF109" s="207"/>
    </row>
    <row r="110" spans="1:32" s="214" customFormat="1" ht="11.65" customHeight="1">
      <c r="A110" s="215"/>
      <c r="B110" s="220">
        <v>13068</v>
      </c>
      <c r="C110" s="205" t="s">
        <v>359</v>
      </c>
      <c r="D110" s="221">
        <v>0</v>
      </c>
      <c r="E110" s="221">
        <v>0</v>
      </c>
      <c r="F110" s="222">
        <f t="shared" si="1"/>
        <v>0</v>
      </c>
      <c r="G110" s="205" t="s">
        <v>310</v>
      </c>
      <c r="H110" s="219" t="s">
        <v>250</v>
      </c>
      <c r="J110" s="207">
        <v>0</v>
      </c>
      <c r="K110" s="207"/>
      <c r="L110" s="207">
        <f>IFERROR(SUMIF(data!$E:$E,科目余额表!$B110,data!H:H),0)</f>
        <v>0</v>
      </c>
      <c r="M110" s="207">
        <f>IFERROR(SUMIF(data!$E:$E,科目余额表!$B110,data!I:I),0)</f>
        <v>0</v>
      </c>
      <c r="N110" s="207">
        <f>IFERROR(SUMIF(data!$E:$E,科目余额表!$B110,data!J:J),0)</f>
        <v>0</v>
      </c>
      <c r="O110" s="207">
        <f>IFERROR(SUMIF(data!$E:$E,科目余额表!$B110,data!K:K),0)</f>
        <v>0</v>
      </c>
      <c r="P110" s="207">
        <f>IFERROR(SUMIF(data!$E:$E,科目余额表!$B110,data!L:L),0)</f>
        <v>0</v>
      </c>
      <c r="Q110" s="207">
        <f>IFERROR(SUMIF(data!$E:$E,科目余额表!$B110,data!M:M),0)</f>
        <v>0</v>
      </c>
      <c r="R110" s="207">
        <f>IFERROR(SUMIF(data!$E:$E,科目余额表!$B110,data!N:N),0)</f>
        <v>0</v>
      </c>
      <c r="S110" s="207">
        <f>IFERROR(SUMIF(data!$E:$E,科目余额表!$B110,data!O:O),0)</f>
        <v>0</v>
      </c>
      <c r="T110" s="207">
        <f>IFERROR(SUMIF(data!$E:$E,科目余额表!$B110,data!P:P),0)</f>
        <v>0</v>
      </c>
      <c r="U110" s="207">
        <f>IFERROR(SUMIF(data!$E:$E,科目余额表!$B110,data!Q:Q),0)</f>
        <v>0</v>
      </c>
      <c r="V110" s="207">
        <f>IFERROR(SUMIF(data!$E:$E,科目余额表!$B110,data!R:R),0)</f>
        <v>0</v>
      </c>
      <c r="W110" s="207">
        <f>IFERROR(SUMIF(data!$E:$E,科目余额表!$B110,data!S:S),0)</f>
        <v>0</v>
      </c>
      <c r="X110" s="207"/>
      <c r="Y110" s="207"/>
      <c r="Z110" s="207"/>
      <c r="AA110" s="207"/>
      <c r="AB110" s="207"/>
      <c r="AC110" s="207"/>
      <c r="AD110" s="207"/>
      <c r="AE110" s="207"/>
      <c r="AF110" s="207"/>
    </row>
    <row r="111" spans="1:32" s="214" customFormat="1" ht="11.65" customHeight="1">
      <c r="A111" s="215"/>
      <c r="B111" s="220">
        <v>13069</v>
      </c>
      <c r="C111" s="205" t="s">
        <v>360</v>
      </c>
      <c r="D111" s="221">
        <v>0</v>
      </c>
      <c r="E111" s="221">
        <v>0</v>
      </c>
      <c r="F111" s="222">
        <f t="shared" si="1"/>
        <v>0</v>
      </c>
      <c r="G111" s="205" t="s">
        <v>310</v>
      </c>
      <c r="H111" s="219" t="s">
        <v>250</v>
      </c>
      <c r="J111" s="207">
        <v>0</v>
      </c>
      <c r="K111" s="207"/>
      <c r="L111" s="207">
        <f>IFERROR(SUMIF(data!$E:$E,科目余额表!$B111,data!H:H),0)</f>
        <v>0</v>
      </c>
      <c r="M111" s="207">
        <f>IFERROR(SUMIF(data!$E:$E,科目余额表!$B111,data!I:I),0)</f>
        <v>0</v>
      </c>
      <c r="N111" s="207">
        <f>IFERROR(SUMIF(data!$E:$E,科目余额表!$B111,data!J:J),0)</f>
        <v>0</v>
      </c>
      <c r="O111" s="207">
        <f>IFERROR(SUMIF(data!$E:$E,科目余额表!$B111,data!K:K),0)</f>
        <v>0</v>
      </c>
      <c r="P111" s="207">
        <f>IFERROR(SUMIF(data!$E:$E,科目余额表!$B111,data!L:L),0)</f>
        <v>0</v>
      </c>
      <c r="Q111" s="207">
        <f>IFERROR(SUMIF(data!$E:$E,科目余额表!$B111,data!M:M),0)</f>
        <v>0</v>
      </c>
      <c r="R111" s="207">
        <f>IFERROR(SUMIF(data!$E:$E,科目余额表!$B111,data!N:N),0)</f>
        <v>0</v>
      </c>
      <c r="S111" s="207">
        <f>IFERROR(SUMIF(data!$E:$E,科目余额表!$B111,data!O:O),0)</f>
        <v>0</v>
      </c>
      <c r="T111" s="207">
        <f>IFERROR(SUMIF(data!$E:$E,科目余额表!$B111,data!P:P),0)</f>
        <v>0</v>
      </c>
      <c r="U111" s="207">
        <f>IFERROR(SUMIF(data!$E:$E,科目余额表!$B111,data!Q:Q),0)</f>
        <v>0</v>
      </c>
      <c r="V111" s="207">
        <f>IFERROR(SUMIF(data!$E:$E,科目余额表!$B111,data!R:R),0)</f>
        <v>0</v>
      </c>
      <c r="W111" s="207">
        <f>IFERROR(SUMIF(data!$E:$E,科目余额表!$B111,data!S:S),0)</f>
        <v>0</v>
      </c>
      <c r="X111" s="207"/>
      <c r="Y111" s="207"/>
      <c r="Z111" s="207"/>
      <c r="AA111" s="207"/>
      <c r="AB111" s="207"/>
      <c r="AC111" s="207"/>
      <c r="AD111" s="207"/>
      <c r="AE111" s="207"/>
      <c r="AF111" s="207"/>
    </row>
    <row r="112" spans="1:32" s="214" customFormat="1" ht="11.65" customHeight="1">
      <c r="A112" s="215"/>
      <c r="B112" s="220">
        <v>13070</v>
      </c>
      <c r="C112" s="205" t="s">
        <v>361</v>
      </c>
      <c r="D112" s="221">
        <v>0</v>
      </c>
      <c r="E112" s="221">
        <v>0</v>
      </c>
      <c r="F112" s="222">
        <f t="shared" si="1"/>
        <v>0</v>
      </c>
      <c r="G112" s="205" t="s">
        <v>310</v>
      </c>
      <c r="H112" s="219" t="s">
        <v>250</v>
      </c>
      <c r="J112" s="207">
        <v>0</v>
      </c>
      <c r="K112" s="207"/>
      <c r="L112" s="207">
        <f>IFERROR(SUMIF(data!$E:$E,科目余额表!$B112,data!H:H),0)</f>
        <v>0</v>
      </c>
      <c r="M112" s="207">
        <f>IFERROR(SUMIF(data!$E:$E,科目余额表!$B112,data!I:I),0)</f>
        <v>0</v>
      </c>
      <c r="N112" s="207">
        <f>IFERROR(SUMIF(data!$E:$E,科目余额表!$B112,data!J:J),0)</f>
        <v>0</v>
      </c>
      <c r="O112" s="207">
        <f>IFERROR(SUMIF(data!$E:$E,科目余额表!$B112,data!K:K),0)</f>
        <v>0</v>
      </c>
      <c r="P112" s="207">
        <f>IFERROR(SUMIF(data!$E:$E,科目余额表!$B112,data!L:L),0)</f>
        <v>0</v>
      </c>
      <c r="Q112" s="207">
        <f>IFERROR(SUMIF(data!$E:$E,科目余额表!$B112,data!M:M),0)</f>
        <v>0</v>
      </c>
      <c r="R112" s="207">
        <f>IFERROR(SUMIF(data!$E:$E,科目余额表!$B112,data!N:N),0)</f>
        <v>0</v>
      </c>
      <c r="S112" s="207">
        <f>IFERROR(SUMIF(data!$E:$E,科目余额表!$B112,data!O:O),0)</f>
        <v>0</v>
      </c>
      <c r="T112" s="207">
        <f>IFERROR(SUMIF(data!$E:$E,科目余额表!$B112,data!P:P),0)</f>
        <v>0</v>
      </c>
      <c r="U112" s="207">
        <f>IFERROR(SUMIF(data!$E:$E,科目余额表!$B112,data!Q:Q),0)</f>
        <v>0</v>
      </c>
      <c r="V112" s="207">
        <f>IFERROR(SUMIF(data!$E:$E,科目余额表!$B112,data!R:R),0)</f>
        <v>0</v>
      </c>
      <c r="W112" s="207">
        <f>IFERROR(SUMIF(data!$E:$E,科目余额表!$B112,data!S:S),0)</f>
        <v>0</v>
      </c>
      <c r="X112" s="207"/>
      <c r="Y112" s="207"/>
      <c r="Z112" s="207"/>
      <c r="AA112" s="207"/>
      <c r="AB112" s="207"/>
      <c r="AC112" s="207"/>
      <c r="AD112" s="207"/>
      <c r="AE112" s="207"/>
      <c r="AF112" s="207"/>
    </row>
    <row r="113" spans="1:32" s="214" customFormat="1" ht="11.65" customHeight="1">
      <c r="A113" s="215"/>
      <c r="B113" s="220">
        <v>13071</v>
      </c>
      <c r="C113" s="205" t="s">
        <v>362</v>
      </c>
      <c r="D113" s="221">
        <v>0</v>
      </c>
      <c r="E113" s="221">
        <v>0</v>
      </c>
      <c r="F113" s="222">
        <f t="shared" si="1"/>
        <v>0</v>
      </c>
      <c r="G113" s="205" t="s">
        <v>310</v>
      </c>
      <c r="H113" s="219" t="s">
        <v>250</v>
      </c>
      <c r="J113" s="207">
        <v>0</v>
      </c>
      <c r="K113" s="207"/>
      <c r="L113" s="207">
        <f>IFERROR(SUMIF(data!$E:$E,科目余额表!$B113,data!H:H),0)</f>
        <v>0</v>
      </c>
      <c r="M113" s="207">
        <f>IFERROR(SUMIF(data!$E:$E,科目余额表!$B113,data!I:I),0)</f>
        <v>0</v>
      </c>
      <c r="N113" s="207">
        <f>IFERROR(SUMIF(data!$E:$E,科目余额表!$B113,data!J:J),0)</f>
        <v>0</v>
      </c>
      <c r="O113" s="207">
        <f>IFERROR(SUMIF(data!$E:$E,科目余额表!$B113,data!K:K),0)</f>
        <v>0</v>
      </c>
      <c r="P113" s="207">
        <f>IFERROR(SUMIF(data!$E:$E,科目余额表!$B113,data!L:L),0)</f>
        <v>0</v>
      </c>
      <c r="Q113" s="207">
        <f>IFERROR(SUMIF(data!$E:$E,科目余额表!$B113,data!M:M),0)</f>
        <v>0</v>
      </c>
      <c r="R113" s="207">
        <f>IFERROR(SUMIF(data!$E:$E,科目余额表!$B113,data!N:N),0)</f>
        <v>0</v>
      </c>
      <c r="S113" s="207">
        <f>IFERROR(SUMIF(data!$E:$E,科目余额表!$B113,data!O:O),0)</f>
        <v>0</v>
      </c>
      <c r="T113" s="207">
        <f>IFERROR(SUMIF(data!$E:$E,科目余额表!$B113,data!P:P),0)</f>
        <v>0</v>
      </c>
      <c r="U113" s="207">
        <f>IFERROR(SUMIF(data!$E:$E,科目余额表!$B113,data!Q:Q),0)</f>
        <v>0</v>
      </c>
      <c r="V113" s="207">
        <f>IFERROR(SUMIF(data!$E:$E,科目余额表!$B113,data!R:R),0)</f>
        <v>0</v>
      </c>
      <c r="W113" s="207">
        <f>IFERROR(SUMIF(data!$E:$E,科目余额表!$B113,data!S:S),0)</f>
        <v>0</v>
      </c>
      <c r="X113" s="207"/>
      <c r="Y113" s="207"/>
      <c r="Z113" s="207"/>
      <c r="AA113" s="207"/>
      <c r="AB113" s="207"/>
      <c r="AC113" s="207"/>
      <c r="AD113" s="207"/>
      <c r="AE113" s="207"/>
      <c r="AF113" s="207"/>
    </row>
    <row r="114" spans="1:32" s="214" customFormat="1" ht="11.65" customHeight="1">
      <c r="A114" s="215"/>
      <c r="B114" s="220">
        <v>13072</v>
      </c>
      <c r="C114" s="205" t="s">
        <v>363</v>
      </c>
      <c r="D114" s="221">
        <v>0</v>
      </c>
      <c r="E114" s="221">
        <v>0</v>
      </c>
      <c r="F114" s="222">
        <f t="shared" si="1"/>
        <v>0</v>
      </c>
      <c r="G114" s="205" t="s">
        <v>310</v>
      </c>
      <c r="H114" s="219" t="s">
        <v>250</v>
      </c>
      <c r="J114" s="207">
        <v>0</v>
      </c>
      <c r="K114" s="207"/>
      <c r="L114" s="207">
        <f>IFERROR(SUMIF(data!$E:$E,科目余额表!$B114,data!H:H),0)</f>
        <v>0</v>
      </c>
      <c r="M114" s="207">
        <f>IFERROR(SUMIF(data!$E:$E,科目余额表!$B114,data!I:I),0)</f>
        <v>0</v>
      </c>
      <c r="N114" s="207">
        <f>IFERROR(SUMIF(data!$E:$E,科目余额表!$B114,data!J:J),0)</f>
        <v>0</v>
      </c>
      <c r="O114" s="207">
        <f>IFERROR(SUMIF(data!$E:$E,科目余额表!$B114,data!K:K),0)</f>
        <v>0</v>
      </c>
      <c r="P114" s="207">
        <f>IFERROR(SUMIF(data!$E:$E,科目余额表!$B114,data!L:L),0)</f>
        <v>0</v>
      </c>
      <c r="Q114" s="207">
        <f>IFERROR(SUMIF(data!$E:$E,科目余额表!$B114,data!M:M),0)</f>
        <v>0</v>
      </c>
      <c r="R114" s="207">
        <f>IFERROR(SUMIF(data!$E:$E,科目余额表!$B114,data!N:N),0)</f>
        <v>0</v>
      </c>
      <c r="S114" s="207">
        <f>IFERROR(SUMIF(data!$E:$E,科目余额表!$B114,data!O:O),0)</f>
        <v>0</v>
      </c>
      <c r="T114" s="207">
        <f>IFERROR(SUMIF(data!$E:$E,科目余额表!$B114,data!P:P),0)</f>
        <v>0</v>
      </c>
      <c r="U114" s="207">
        <f>IFERROR(SUMIF(data!$E:$E,科目余额表!$B114,data!Q:Q),0)</f>
        <v>0</v>
      </c>
      <c r="V114" s="207">
        <f>IFERROR(SUMIF(data!$E:$E,科目余额表!$B114,data!R:R),0)</f>
        <v>0</v>
      </c>
      <c r="W114" s="207">
        <f>IFERROR(SUMIF(data!$E:$E,科目余额表!$B114,data!S:S),0)</f>
        <v>0</v>
      </c>
      <c r="X114" s="207"/>
      <c r="Y114" s="207"/>
      <c r="Z114" s="207"/>
      <c r="AA114" s="207"/>
      <c r="AB114" s="207"/>
      <c r="AC114" s="207"/>
      <c r="AD114" s="207"/>
      <c r="AE114" s="207"/>
      <c r="AF114" s="207"/>
    </row>
    <row r="115" spans="1:32" s="214" customFormat="1" ht="11.65" customHeight="1">
      <c r="A115" s="215"/>
      <c r="B115" s="220">
        <v>13073</v>
      </c>
      <c r="C115" s="205" t="s">
        <v>364</v>
      </c>
      <c r="D115" s="221">
        <v>0</v>
      </c>
      <c r="E115" s="221">
        <v>0</v>
      </c>
      <c r="F115" s="222">
        <f t="shared" si="1"/>
        <v>0</v>
      </c>
      <c r="G115" s="205" t="s">
        <v>310</v>
      </c>
      <c r="H115" s="219" t="s">
        <v>250</v>
      </c>
      <c r="J115" s="207">
        <v>0</v>
      </c>
      <c r="K115" s="207"/>
      <c r="L115" s="207">
        <f>IFERROR(SUMIF(data!$E:$E,科目余额表!$B115,data!H:H),0)</f>
        <v>0</v>
      </c>
      <c r="M115" s="207">
        <f>IFERROR(SUMIF(data!$E:$E,科目余额表!$B115,data!I:I),0)</f>
        <v>0</v>
      </c>
      <c r="N115" s="207">
        <f>IFERROR(SUMIF(data!$E:$E,科目余额表!$B115,data!J:J),0)</f>
        <v>0</v>
      </c>
      <c r="O115" s="207">
        <f>IFERROR(SUMIF(data!$E:$E,科目余额表!$B115,data!K:K),0)</f>
        <v>0</v>
      </c>
      <c r="P115" s="207">
        <f>IFERROR(SUMIF(data!$E:$E,科目余额表!$B115,data!L:L),0)</f>
        <v>0</v>
      </c>
      <c r="Q115" s="207">
        <f>IFERROR(SUMIF(data!$E:$E,科目余额表!$B115,data!M:M),0)</f>
        <v>0</v>
      </c>
      <c r="R115" s="207">
        <f>IFERROR(SUMIF(data!$E:$E,科目余额表!$B115,data!N:N),0)</f>
        <v>0</v>
      </c>
      <c r="S115" s="207">
        <f>IFERROR(SUMIF(data!$E:$E,科目余额表!$B115,data!O:O),0)</f>
        <v>0</v>
      </c>
      <c r="T115" s="207">
        <f>IFERROR(SUMIF(data!$E:$E,科目余额表!$B115,data!P:P),0)</f>
        <v>0</v>
      </c>
      <c r="U115" s="207">
        <f>IFERROR(SUMIF(data!$E:$E,科目余额表!$B115,data!Q:Q),0)</f>
        <v>0</v>
      </c>
      <c r="V115" s="207">
        <f>IFERROR(SUMIF(data!$E:$E,科目余额表!$B115,data!R:R),0)</f>
        <v>0</v>
      </c>
      <c r="W115" s="207">
        <f>IFERROR(SUMIF(data!$E:$E,科目余额表!$B115,data!S:S),0)</f>
        <v>0</v>
      </c>
      <c r="X115" s="207"/>
      <c r="Y115" s="207"/>
      <c r="Z115" s="207"/>
      <c r="AA115" s="207"/>
      <c r="AB115" s="207"/>
      <c r="AC115" s="207"/>
      <c r="AD115" s="207"/>
      <c r="AE115" s="207"/>
      <c r="AF115" s="207"/>
    </row>
    <row r="116" spans="1:32" s="214" customFormat="1" ht="11.65" customHeight="1">
      <c r="A116" s="215"/>
      <c r="B116" s="220">
        <v>13074</v>
      </c>
      <c r="C116" s="205" t="s">
        <v>365</v>
      </c>
      <c r="D116" s="221">
        <v>0</v>
      </c>
      <c r="E116" s="221">
        <v>0</v>
      </c>
      <c r="F116" s="222">
        <f t="shared" si="1"/>
        <v>0</v>
      </c>
      <c r="G116" s="205" t="s">
        <v>310</v>
      </c>
      <c r="H116" s="219" t="s">
        <v>250</v>
      </c>
      <c r="J116" s="207">
        <v>0</v>
      </c>
      <c r="K116" s="207"/>
      <c r="L116" s="207">
        <f>IFERROR(SUMIF(data!$E:$E,科目余额表!$B116,data!H:H),0)</f>
        <v>0</v>
      </c>
      <c r="M116" s="207">
        <f>IFERROR(SUMIF(data!$E:$E,科目余额表!$B116,data!I:I),0)</f>
        <v>0</v>
      </c>
      <c r="N116" s="207">
        <f>IFERROR(SUMIF(data!$E:$E,科目余额表!$B116,data!J:J),0)</f>
        <v>0</v>
      </c>
      <c r="O116" s="207">
        <f>IFERROR(SUMIF(data!$E:$E,科目余额表!$B116,data!K:K),0)</f>
        <v>0</v>
      </c>
      <c r="P116" s="207">
        <f>IFERROR(SUMIF(data!$E:$E,科目余额表!$B116,data!L:L),0)</f>
        <v>0</v>
      </c>
      <c r="Q116" s="207">
        <f>IFERROR(SUMIF(data!$E:$E,科目余额表!$B116,data!M:M),0)</f>
        <v>0</v>
      </c>
      <c r="R116" s="207">
        <f>IFERROR(SUMIF(data!$E:$E,科目余额表!$B116,data!N:N),0)</f>
        <v>0</v>
      </c>
      <c r="S116" s="207">
        <f>IFERROR(SUMIF(data!$E:$E,科目余额表!$B116,data!O:O),0)</f>
        <v>0</v>
      </c>
      <c r="T116" s="207">
        <f>IFERROR(SUMIF(data!$E:$E,科目余额表!$B116,data!P:P),0)</f>
        <v>0</v>
      </c>
      <c r="U116" s="207">
        <f>IFERROR(SUMIF(data!$E:$E,科目余额表!$B116,data!Q:Q),0)</f>
        <v>0</v>
      </c>
      <c r="V116" s="207">
        <f>IFERROR(SUMIF(data!$E:$E,科目余额表!$B116,data!R:R),0)</f>
        <v>0</v>
      </c>
      <c r="W116" s="207">
        <f>IFERROR(SUMIF(data!$E:$E,科目余额表!$B116,data!S:S),0)</f>
        <v>0</v>
      </c>
      <c r="X116" s="207"/>
      <c r="Y116" s="207"/>
      <c r="Z116" s="207"/>
      <c r="AA116" s="207"/>
      <c r="AB116" s="207"/>
      <c r="AC116" s="207"/>
      <c r="AD116" s="207"/>
      <c r="AE116" s="207"/>
      <c r="AF116" s="207"/>
    </row>
    <row r="117" spans="1:32" s="214" customFormat="1" ht="11.65" customHeight="1">
      <c r="A117" s="215"/>
      <c r="B117" s="220">
        <v>13075</v>
      </c>
      <c r="C117" s="205" t="s">
        <v>366</v>
      </c>
      <c r="D117" s="221">
        <v>0</v>
      </c>
      <c r="E117" s="221">
        <v>0</v>
      </c>
      <c r="F117" s="222">
        <f t="shared" si="1"/>
        <v>0</v>
      </c>
      <c r="G117" s="205" t="s">
        <v>310</v>
      </c>
      <c r="H117" s="219" t="s">
        <v>250</v>
      </c>
      <c r="J117" s="207">
        <v>0</v>
      </c>
      <c r="K117" s="207"/>
      <c r="L117" s="207">
        <f>IFERROR(SUMIF(data!$E:$E,科目余额表!$B117,data!H:H),0)</f>
        <v>0</v>
      </c>
      <c r="M117" s="207">
        <f>IFERROR(SUMIF(data!$E:$E,科目余额表!$B117,data!I:I),0)</f>
        <v>0</v>
      </c>
      <c r="N117" s="207">
        <f>IFERROR(SUMIF(data!$E:$E,科目余额表!$B117,data!J:J),0)</f>
        <v>0</v>
      </c>
      <c r="O117" s="207">
        <f>IFERROR(SUMIF(data!$E:$E,科目余额表!$B117,data!K:K),0)</f>
        <v>0</v>
      </c>
      <c r="P117" s="207">
        <f>IFERROR(SUMIF(data!$E:$E,科目余额表!$B117,data!L:L),0)</f>
        <v>0</v>
      </c>
      <c r="Q117" s="207">
        <f>IFERROR(SUMIF(data!$E:$E,科目余额表!$B117,data!M:M),0)</f>
        <v>0</v>
      </c>
      <c r="R117" s="207">
        <f>IFERROR(SUMIF(data!$E:$E,科目余额表!$B117,data!N:N),0)</f>
        <v>0</v>
      </c>
      <c r="S117" s="207">
        <f>IFERROR(SUMIF(data!$E:$E,科目余额表!$B117,data!O:O),0)</f>
        <v>0</v>
      </c>
      <c r="T117" s="207">
        <f>IFERROR(SUMIF(data!$E:$E,科目余额表!$B117,data!P:P),0)</f>
        <v>0</v>
      </c>
      <c r="U117" s="207">
        <f>IFERROR(SUMIF(data!$E:$E,科目余额表!$B117,data!Q:Q),0)</f>
        <v>0</v>
      </c>
      <c r="V117" s="207">
        <f>IFERROR(SUMIF(data!$E:$E,科目余额表!$B117,data!R:R),0)</f>
        <v>0</v>
      </c>
      <c r="W117" s="207">
        <f>IFERROR(SUMIF(data!$E:$E,科目余额表!$B117,data!S:S),0)</f>
        <v>0</v>
      </c>
      <c r="X117" s="207"/>
      <c r="Y117" s="207"/>
      <c r="Z117" s="207"/>
      <c r="AA117" s="207"/>
      <c r="AB117" s="207"/>
      <c r="AC117" s="207"/>
      <c r="AD117" s="207"/>
      <c r="AE117" s="207"/>
      <c r="AF117" s="207"/>
    </row>
    <row r="118" spans="1:32" s="214" customFormat="1" ht="11.65" customHeight="1">
      <c r="A118" s="215"/>
      <c r="B118" s="220">
        <v>13076</v>
      </c>
      <c r="C118" s="205" t="s">
        <v>367</v>
      </c>
      <c r="D118" s="221">
        <v>0</v>
      </c>
      <c r="E118" s="221">
        <v>0</v>
      </c>
      <c r="F118" s="222">
        <f t="shared" si="1"/>
        <v>0</v>
      </c>
      <c r="G118" s="205" t="s">
        <v>310</v>
      </c>
      <c r="H118" s="219" t="s">
        <v>250</v>
      </c>
      <c r="J118" s="207">
        <v>0</v>
      </c>
      <c r="K118" s="207"/>
      <c r="L118" s="207">
        <f>IFERROR(SUMIF(data!$E:$E,科目余额表!$B118,data!H:H),0)</f>
        <v>0</v>
      </c>
      <c r="M118" s="207">
        <f>IFERROR(SUMIF(data!$E:$E,科目余额表!$B118,data!I:I),0)</f>
        <v>0</v>
      </c>
      <c r="N118" s="207">
        <f>IFERROR(SUMIF(data!$E:$E,科目余额表!$B118,data!J:J),0)</f>
        <v>0</v>
      </c>
      <c r="O118" s="207">
        <f>IFERROR(SUMIF(data!$E:$E,科目余额表!$B118,data!K:K),0)</f>
        <v>0</v>
      </c>
      <c r="P118" s="207">
        <f>IFERROR(SUMIF(data!$E:$E,科目余额表!$B118,data!L:L),0)</f>
        <v>0</v>
      </c>
      <c r="Q118" s="207">
        <f>IFERROR(SUMIF(data!$E:$E,科目余额表!$B118,data!M:M),0)</f>
        <v>0</v>
      </c>
      <c r="R118" s="207">
        <f>IFERROR(SUMIF(data!$E:$E,科目余额表!$B118,data!N:N),0)</f>
        <v>0</v>
      </c>
      <c r="S118" s="207">
        <f>IFERROR(SUMIF(data!$E:$E,科目余额表!$B118,data!O:O),0)</f>
        <v>0</v>
      </c>
      <c r="T118" s="207">
        <f>IFERROR(SUMIF(data!$E:$E,科目余额表!$B118,data!P:P),0)</f>
        <v>0</v>
      </c>
      <c r="U118" s="207">
        <f>IFERROR(SUMIF(data!$E:$E,科目余额表!$B118,data!Q:Q),0)</f>
        <v>0</v>
      </c>
      <c r="V118" s="207">
        <f>IFERROR(SUMIF(data!$E:$E,科目余额表!$B118,data!R:R),0)</f>
        <v>0</v>
      </c>
      <c r="W118" s="207">
        <f>IFERROR(SUMIF(data!$E:$E,科目余额表!$B118,data!S:S),0)</f>
        <v>0</v>
      </c>
      <c r="X118" s="207"/>
      <c r="Y118" s="207"/>
      <c r="Z118" s="207"/>
      <c r="AA118" s="207"/>
      <c r="AB118" s="207"/>
      <c r="AC118" s="207"/>
      <c r="AD118" s="207"/>
      <c r="AE118" s="207"/>
      <c r="AF118" s="207"/>
    </row>
    <row r="119" spans="1:32" s="214" customFormat="1" ht="11.65" customHeight="1">
      <c r="A119" s="215"/>
      <c r="B119" s="220">
        <v>13078</v>
      </c>
      <c r="C119" s="205" t="s">
        <v>368</v>
      </c>
      <c r="D119" s="221">
        <v>0</v>
      </c>
      <c r="E119" s="221">
        <v>0</v>
      </c>
      <c r="F119" s="222">
        <f t="shared" si="1"/>
        <v>0</v>
      </c>
      <c r="G119" s="205" t="s">
        <v>310</v>
      </c>
      <c r="H119" s="219" t="s">
        <v>250</v>
      </c>
      <c r="J119" s="207">
        <v>0</v>
      </c>
      <c r="K119" s="207"/>
      <c r="L119" s="207">
        <f>IFERROR(SUMIF(data!$E:$E,科目余额表!$B119,data!H:H),0)</f>
        <v>0</v>
      </c>
      <c r="M119" s="207">
        <f>IFERROR(SUMIF(data!$E:$E,科目余额表!$B119,data!I:I),0)</f>
        <v>0</v>
      </c>
      <c r="N119" s="207">
        <f>IFERROR(SUMIF(data!$E:$E,科目余额表!$B119,data!J:J),0)</f>
        <v>0</v>
      </c>
      <c r="O119" s="207">
        <f>IFERROR(SUMIF(data!$E:$E,科目余额表!$B119,data!K:K),0)</f>
        <v>0</v>
      </c>
      <c r="P119" s="207">
        <f>IFERROR(SUMIF(data!$E:$E,科目余额表!$B119,data!L:L),0)</f>
        <v>0</v>
      </c>
      <c r="Q119" s="207">
        <f>IFERROR(SUMIF(data!$E:$E,科目余额表!$B119,data!M:M),0)</f>
        <v>0</v>
      </c>
      <c r="R119" s="207">
        <f>IFERROR(SUMIF(data!$E:$E,科目余额表!$B119,data!N:N),0)</f>
        <v>0</v>
      </c>
      <c r="S119" s="207">
        <f>IFERROR(SUMIF(data!$E:$E,科目余额表!$B119,data!O:O),0)</f>
        <v>0</v>
      </c>
      <c r="T119" s="207">
        <f>IFERROR(SUMIF(data!$E:$E,科目余额表!$B119,data!P:P),0)</f>
        <v>0</v>
      </c>
      <c r="U119" s="207">
        <f>IFERROR(SUMIF(data!$E:$E,科目余额表!$B119,data!Q:Q),0)</f>
        <v>0</v>
      </c>
      <c r="V119" s="207">
        <f>IFERROR(SUMIF(data!$E:$E,科目余额表!$B119,data!R:R),0)</f>
        <v>0</v>
      </c>
      <c r="W119" s="207">
        <f>IFERROR(SUMIF(data!$E:$E,科目余额表!$B119,data!S:S),0)</f>
        <v>0</v>
      </c>
      <c r="X119" s="207"/>
      <c r="Y119" s="207"/>
      <c r="Z119" s="207"/>
      <c r="AA119" s="207"/>
      <c r="AB119" s="207"/>
      <c r="AC119" s="207"/>
      <c r="AD119" s="207"/>
      <c r="AE119" s="207"/>
      <c r="AF119" s="207"/>
    </row>
    <row r="120" spans="1:32" s="214" customFormat="1" ht="11.65" customHeight="1">
      <c r="A120" s="215"/>
      <c r="B120" s="220">
        <v>13079</v>
      </c>
      <c r="C120" s="205" t="s">
        <v>369</v>
      </c>
      <c r="D120" s="221">
        <v>0</v>
      </c>
      <c r="E120" s="221">
        <v>0</v>
      </c>
      <c r="F120" s="222">
        <f t="shared" si="1"/>
        <v>0</v>
      </c>
      <c r="G120" s="205" t="s">
        <v>310</v>
      </c>
      <c r="H120" s="219" t="s">
        <v>250</v>
      </c>
      <c r="J120" s="207">
        <v>0</v>
      </c>
      <c r="K120" s="207"/>
      <c r="L120" s="207">
        <f>IFERROR(SUMIF(data!$E:$E,科目余额表!$B120,data!H:H),0)</f>
        <v>0</v>
      </c>
      <c r="M120" s="207">
        <f>IFERROR(SUMIF(data!$E:$E,科目余额表!$B120,data!I:I),0)</f>
        <v>0</v>
      </c>
      <c r="N120" s="207">
        <f>IFERROR(SUMIF(data!$E:$E,科目余额表!$B120,data!J:J),0)</f>
        <v>0</v>
      </c>
      <c r="O120" s="207">
        <f>IFERROR(SUMIF(data!$E:$E,科目余额表!$B120,data!K:K),0)</f>
        <v>0</v>
      </c>
      <c r="P120" s="207">
        <f>IFERROR(SUMIF(data!$E:$E,科目余额表!$B120,data!L:L),0)</f>
        <v>0</v>
      </c>
      <c r="Q120" s="207">
        <f>IFERROR(SUMIF(data!$E:$E,科目余额表!$B120,data!M:M),0)</f>
        <v>0</v>
      </c>
      <c r="R120" s="207">
        <f>IFERROR(SUMIF(data!$E:$E,科目余额表!$B120,data!N:N),0)</f>
        <v>0</v>
      </c>
      <c r="S120" s="207">
        <f>IFERROR(SUMIF(data!$E:$E,科目余额表!$B120,data!O:O),0)</f>
        <v>0</v>
      </c>
      <c r="T120" s="207">
        <f>IFERROR(SUMIF(data!$E:$E,科目余额表!$B120,data!P:P),0)</f>
        <v>0</v>
      </c>
      <c r="U120" s="207">
        <f>IFERROR(SUMIF(data!$E:$E,科目余额表!$B120,data!Q:Q),0)</f>
        <v>0</v>
      </c>
      <c r="V120" s="207">
        <f>IFERROR(SUMIF(data!$E:$E,科目余额表!$B120,data!R:R),0)</f>
        <v>0</v>
      </c>
      <c r="W120" s="207">
        <f>IFERROR(SUMIF(data!$E:$E,科目余额表!$B120,data!S:S),0)</f>
        <v>0</v>
      </c>
      <c r="X120" s="207"/>
      <c r="Y120" s="207"/>
      <c r="Z120" s="207"/>
      <c r="AA120" s="207"/>
      <c r="AB120" s="207"/>
      <c r="AC120" s="207"/>
      <c r="AD120" s="207"/>
      <c r="AE120" s="207"/>
      <c r="AF120" s="207"/>
    </row>
    <row r="121" spans="1:32" s="214" customFormat="1" ht="11.65" customHeight="1">
      <c r="A121" s="215"/>
      <c r="B121" s="220">
        <v>13080</v>
      </c>
      <c r="C121" s="205" t="s">
        <v>370</v>
      </c>
      <c r="D121" s="221">
        <v>0</v>
      </c>
      <c r="E121" s="221">
        <v>0</v>
      </c>
      <c r="F121" s="222">
        <f t="shared" si="1"/>
        <v>0</v>
      </c>
      <c r="G121" s="205" t="s">
        <v>310</v>
      </c>
      <c r="H121" s="219" t="s">
        <v>250</v>
      </c>
      <c r="J121" s="207">
        <v>0</v>
      </c>
      <c r="K121" s="207"/>
      <c r="L121" s="207">
        <f>IFERROR(SUMIF(data!$E:$E,科目余额表!$B121,data!H:H),0)</f>
        <v>0</v>
      </c>
      <c r="M121" s="207">
        <f>IFERROR(SUMIF(data!$E:$E,科目余额表!$B121,data!I:I),0)</f>
        <v>0</v>
      </c>
      <c r="N121" s="207">
        <f>IFERROR(SUMIF(data!$E:$E,科目余额表!$B121,data!J:J),0)</f>
        <v>0</v>
      </c>
      <c r="O121" s="207">
        <f>IFERROR(SUMIF(data!$E:$E,科目余额表!$B121,data!K:K),0)</f>
        <v>0</v>
      </c>
      <c r="P121" s="207">
        <f>IFERROR(SUMIF(data!$E:$E,科目余额表!$B121,data!L:L),0)</f>
        <v>0</v>
      </c>
      <c r="Q121" s="207">
        <f>IFERROR(SUMIF(data!$E:$E,科目余额表!$B121,data!M:M),0)</f>
        <v>0</v>
      </c>
      <c r="R121" s="207">
        <f>IFERROR(SUMIF(data!$E:$E,科目余额表!$B121,data!N:N),0)</f>
        <v>0</v>
      </c>
      <c r="S121" s="207">
        <f>IFERROR(SUMIF(data!$E:$E,科目余额表!$B121,data!O:O),0)</f>
        <v>0</v>
      </c>
      <c r="T121" s="207">
        <f>IFERROR(SUMIF(data!$E:$E,科目余额表!$B121,data!P:P),0)</f>
        <v>0</v>
      </c>
      <c r="U121" s="207">
        <f>IFERROR(SUMIF(data!$E:$E,科目余额表!$B121,data!Q:Q),0)</f>
        <v>0</v>
      </c>
      <c r="V121" s="207">
        <f>IFERROR(SUMIF(data!$E:$E,科目余额表!$B121,data!R:R),0)</f>
        <v>0</v>
      </c>
      <c r="W121" s="207">
        <f>IFERROR(SUMIF(data!$E:$E,科目余额表!$B121,data!S:S),0)</f>
        <v>0</v>
      </c>
      <c r="X121" s="207"/>
      <c r="Y121" s="207"/>
      <c r="Z121" s="207"/>
      <c r="AA121" s="207"/>
      <c r="AB121" s="207"/>
      <c r="AC121" s="207"/>
      <c r="AD121" s="207"/>
      <c r="AE121" s="207"/>
      <c r="AF121" s="207"/>
    </row>
    <row r="122" spans="1:32" s="214" customFormat="1" ht="11.65" customHeight="1">
      <c r="A122" s="215"/>
      <c r="B122" s="220">
        <v>13081</v>
      </c>
      <c r="C122" s="205" t="s">
        <v>371</v>
      </c>
      <c r="D122" s="221">
        <v>0</v>
      </c>
      <c r="E122" s="221">
        <v>0</v>
      </c>
      <c r="F122" s="222">
        <f t="shared" si="1"/>
        <v>0</v>
      </c>
      <c r="G122" s="205" t="s">
        <v>310</v>
      </c>
      <c r="H122" s="219" t="s">
        <v>250</v>
      </c>
      <c r="J122" s="207">
        <v>0</v>
      </c>
      <c r="K122" s="207"/>
      <c r="L122" s="207">
        <f>IFERROR(SUMIF(data!$E:$E,科目余额表!$B122,data!H:H),0)</f>
        <v>0</v>
      </c>
      <c r="M122" s="207">
        <f>IFERROR(SUMIF(data!$E:$E,科目余额表!$B122,data!I:I),0)</f>
        <v>0</v>
      </c>
      <c r="N122" s="207">
        <f>IFERROR(SUMIF(data!$E:$E,科目余额表!$B122,data!J:J),0)</f>
        <v>0</v>
      </c>
      <c r="O122" s="207">
        <f>IFERROR(SUMIF(data!$E:$E,科目余额表!$B122,data!K:K),0)</f>
        <v>0</v>
      </c>
      <c r="P122" s="207">
        <f>IFERROR(SUMIF(data!$E:$E,科目余额表!$B122,data!L:L),0)</f>
        <v>0</v>
      </c>
      <c r="Q122" s="207">
        <f>IFERROR(SUMIF(data!$E:$E,科目余额表!$B122,data!M:M),0)</f>
        <v>0</v>
      </c>
      <c r="R122" s="207">
        <f>IFERROR(SUMIF(data!$E:$E,科目余额表!$B122,data!N:N),0)</f>
        <v>0</v>
      </c>
      <c r="S122" s="207">
        <f>IFERROR(SUMIF(data!$E:$E,科目余额表!$B122,data!O:O),0)</f>
        <v>0</v>
      </c>
      <c r="T122" s="207">
        <f>IFERROR(SUMIF(data!$E:$E,科目余额表!$B122,data!P:P),0)</f>
        <v>0</v>
      </c>
      <c r="U122" s="207">
        <f>IFERROR(SUMIF(data!$E:$E,科目余额表!$B122,data!Q:Q),0)</f>
        <v>0</v>
      </c>
      <c r="V122" s="207">
        <f>IFERROR(SUMIF(data!$E:$E,科目余额表!$B122,data!R:R),0)</f>
        <v>0</v>
      </c>
      <c r="W122" s="207">
        <f>IFERROR(SUMIF(data!$E:$E,科目余额表!$B122,data!S:S),0)</f>
        <v>0</v>
      </c>
      <c r="X122" s="207"/>
      <c r="Y122" s="207"/>
      <c r="Z122" s="207"/>
      <c r="AA122" s="207"/>
      <c r="AB122" s="207"/>
      <c r="AC122" s="207"/>
      <c r="AD122" s="207"/>
      <c r="AE122" s="207"/>
      <c r="AF122" s="207"/>
    </row>
    <row r="123" spans="1:32" s="214" customFormat="1" ht="11.65" customHeight="1">
      <c r="A123" s="215"/>
      <c r="B123" s="220">
        <v>13082</v>
      </c>
      <c r="C123" s="205" t="s">
        <v>372</v>
      </c>
      <c r="D123" s="221">
        <v>0</v>
      </c>
      <c r="E123" s="221">
        <v>0</v>
      </c>
      <c r="F123" s="222">
        <f t="shared" si="1"/>
        <v>0</v>
      </c>
      <c r="G123" s="205" t="s">
        <v>310</v>
      </c>
      <c r="H123" s="219" t="s">
        <v>250</v>
      </c>
      <c r="J123" s="207">
        <v>0</v>
      </c>
      <c r="K123" s="207"/>
      <c r="L123" s="207">
        <f>IFERROR(SUMIF(data!$E:$E,科目余额表!$B123,data!H:H),0)</f>
        <v>0</v>
      </c>
      <c r="M123" s="207">
        <f>IFERROR(SUMIF(data!$E:$E,科目余额表!$B123,data!I:I),0)</f>
        <v>0</v>
      </c>
      <c r="N123" s="207">
        <f>IFERROR(SUMIF(data!$E:$E,科目余额表!$B123,data!J:J),0)</f>
        <v>0</v>
      </c>
      <c r="O123" s="207">
        <f>IFERROR(SUMIF(data!$E:$E,科目余额表!$B123,data!K:K),0)</f>
        <v>0</v>
      </c>
      <c r="P123" s="207">
        <f>IFERROR(SUMIF(data!$E:$E,科目余额表!$B123,data!L:L),0)</f>
        <v>0</v>
      </c>
      <c r="Q123" s="207">
        <f>IFERROR(SUMIF(data!$E:$E,科目余额表!$B123,data!M:M),0)</f>
        <v>0</v>
      </c>
      <c r="R123" s="207">
        <f>IFERROR(SUMIF(data!$E:$E,科目余额表!$B123,data!N:N),0)</f>
        <v>0</v>
      </c>
      <c r="S123" s="207">
        <f>IFERROR(SUMIF(data!$E:$E,科目余额表!$B123,data!O:O),0)</f>
        <v>0</v>
      </c>
      <c r="T123" s="207">
        <f>IFERROR(SUMIF(data!$E:$E,科目余额表!$B123,data!P:P),0)</f>
        <v>0</v>
      </c>
      <c r="U123" s="207">
        <f>IFERROR(SUMIF(data!$E:$E,科目余额表!$B123,data!Q:Q),0)</f>
        <v>0</v>
      </c>
      <c r="V123" s="207">
        <f>IFERROR(SUMIF(data!$E:$E,科目余额表!$B123,data!R:R),0)</f>
        <v>0</v>
      </c>
      <c r="W123" s="207">
        <f>IFERROR(SUMIF(data!$E:$E,科目余额表!$B123,data!S:S),0)</f>
        <v>0</v>
      </c>
      <c r="X123" s="207"/>
      <c r="Y123" s="207"/>
      <c r="Z123" s="207"/>
      <c r="AA123" s="207"/>
      <c r="AB123" s="207"/>
      <c r="AC123" s="207"/>
      <c r="AD123" s="207"/>
      <c r="AE123" s="207"/>
      <c r="AF123" s="207"/>
    </row>
    <row r="124" spans="1:32" s="214" customFormat="1" ht="11.65" customHeight="1">
      <c r="A124" s="215"/>
      <c r="B124" s="220">
        <v>13083</v>
      </c>
      <c r="C124" s="205" t="s">
        <v>373</v>
      </c>
      <c r="D124" s="221">
        <v>0</v>
      </c>
      <c r="E124" s="221">
        <v>0</v>
      </c>
      <c r="F124" s="222">
        <f t="shared" si="1"/>
        <v>0</v>
      </c>
      <c r="G124" s="205" t="s">
        <v>310</v>
      </c>
      <c r="H124" s="219" t="s">
        <v>250</v>
      </c>
      <c r="J124" s="207">
        <v>0</v>
      </c>
      <c r="K124" s="207"/>
      <c r="L124" s="207">
        <f>IFERROR(SUMIF(data!$E:$E,科目余额表!$B124,data!H:H),0)</f>
        <v>0</v>
      </c>
      <c r="M124" s="207">
        <f>IFERROR(SUMIF(data!$E:$E,科目余额表!$B124,data!I:I),0)</f>
        <v>0</v>
      </c>
      <c r="N124" s="207">
        <f>IFERROR(SUMIF(data!$E:$E,科目余额表!$B124,data!J:J),0)</f>
        <v>0</v>
      </c>
      <c r="O124" s="207">
        <f>IFERROR(SUMIF(data!$E:$E,科目余额表!$B124,data!K:K),0)</f>
        <v>0</v>
      </c>
      <c r="P124" s="207">
        <f>IFERROR(SUMIF(data!$E:$E,科目余额表!$B124,data!L:L),0)</f>
        <v>0</v>
      </c>
      <c r="Q124" s="207">
        <f>IFERROR(SUMIF(data!$E:$E,科目余额表!$B124,data!M:M),0)</f>
        <v>0</v>
      </c>
      <c r="R124" s="207">
        <f>IFERROR(SUMIF(data!$E:$E,科目余额表!$B124,data!N:N),0)</f>
        <v>0</v>
      </c>
      <c r="S124" s="207">
        <f>IFERROR(SUMIF(data!$E:$E,科目余额表!$B124,data!O:O),0)</f>
        <v>0</v>
      </c>
      <c r="T124" s="207">
        <f>IFERROR(SUMIF(data!$E:$E,科目余额表!$B124,data!P:P),0)</f>
        <v>0</v>
      </c>
      <c r="U124" s="207">
        <f>IFERROR(SUMIF(data!$E:$E,科目余额表!$B124,data!Q:Q),0)</f>
        <v>0</v>
      </c>
      <c r="V124" s="207">
        <f>IFERROR(SUMIF(data!$E:$E,科目余额表!$B124,data!R:R),0)</f>
        <v>0</v>
      </c>
      <c r="W124" s="207">
        <f>IFERROR(SUMIF(data!$E:$E,科目余额表!$B124,data!S:S),0)</f>
        <v>0</v>
      </c>
      <c r="X124" s="207"/>
      <c r="Y124" s="207"/>
      <c r="Z124" s="207"/>
      <c r="AA124" s="207"/>
      <c r="AB124" s="207"/>
      <c r="AC124" s="207"/>
      <c r="AD124" s="207"/>
      <c r="AE124" s="207"/>
      <c r="AF124" s="207"/>
    </row>
    <row r="125" spans="1:32" s="214" customFormat="1" ht="11.65" customHeight="1">
      <c r="A125" s="215"/>
      <c r="B125" s="220">
        <v>13084</v>
      </c>
      <c r="C125" s="205" t="s">
        <v>374</v>
      </c>
      <c r="D125" s="221">
        <v>0</v>
      </c>
      <c r="E125" s="221">
        <v>0</v>
      </c>
      <c r="F125" s="222">
        <f t="shared" si="1"/>
        <v>0</v>
      </c>
      <c r="G125" s="205" t="s">
        <v>310</v>
      </c>
      <c r="H125" s="219" t="s">
        <v>250</v>
      </c>
      <c r="J125" s="207">
        <v>0</v>
      </c>
      <c r="K125" s="207"/>
      <c r="L125" s="207">
        <f>IFERROR(SUMIF(data!$E:$E,科目余额表!$B125,data!H:H),0)</f>
        <v>0</v>
      </c>
      <c r="M125" s="207">
        <f>IFERROR(SUMIF(data!$E:$E,科目余额表!$B125,data!I:I),0)</f>
        <v>0</v>
      </c>
      <c r="N125" s="207">
        <f>IFERROR(SUMIF(data!$E:$E,科目余额表!$B125,data!J:J),0)</f>
        <v>0</v>
      </c>
      <c r="O125" s="207">
        <f>IFERROR(SUMIF(data!$E:$E,科目余额表!$B125,data!K:K),0)</f>
        <v>0</v>
      </c>
      <c r="P125" s="207">
        <f>IFERROR(SUMIF(data!$E:$E,科目余额表!$B125,data!L:L),0)</f>
        <v>0</v>
      </c>
      <c r="Q125" s="207">
        <f>IFERROR(SUMIF(data!$E:$E,科目余额表!$B125,data!M:M),0)</f>
        <v>0</v>
      </c>
      <c r="R125" s="207">
        <f>IFERROR(SUMIF(data!$E:$E,科目余额表!$B125,data!N:N),0)</f>
        <v>0</v>
      </c>
      <c r="S125" s="207">
        <f>IFERROR(SUMIF(data!$E:$E,科目余额表!$B125,data!O:O),0)</f>
        <v>0</v>
      </c>
      <c r="T125" s="207">
        <f>IFERROR(SUMIF(data!$E:$E,科目余额表!$B125,data!P:P),0)</f>
        <v>0</v>
      </c>
      <c r="U125" s="207">
        <f>IFERROR(SUMIF(data!$E:$E,科目余额表!$B125,data!Q:Q),0)</f>
        <v>0</v>
      </c>
      <c r="V125" s="207">
        <f>IFERROR(SUMIF(data!$E:$E,科目余额表!$B125,data!R:R),0)</f>
        <v>0</v>
      </c>
      <c r="W125" s="207">
        <f>IFERROR(SUMIF(data!$E:$E,科目余额表!$B125,data!S:S),0)</f>
        <v>0</v>
      </c>
      <c r="X125" s="207"/>
      <c r="Y125" s="207"/>
      <c r="Z125" s="207"/>
      <c r="AA125" s="207"/>
      <c r="AB125" s="207"/>
      <c r="AC125" s="207"/>
      <c r="AD125" s="207"/>
      <c r="AE125" s="207"/>
      <c r="AF125" s="207"/>
    </row>
    <row r="126" spans="1:32" s="214" customFormat="1" ht="11.65" customHeight="1">
      <c r="A126" s="215"/>
      <c r="B126" s="220">
        <v>13085</v>
      </c>
      <c r="C126" s="205" t="s">
        <v>375</v>
      </c>
      <c r="D126" s="221">
        <v>0</v>
      </c>
      <c r="E126" s="221">
        <v>0</v>
      </c>
      <c r="F126" s="222">
        <f t="shared" si="1"/>
        <v>0</v>
      </c>
      <c r="G126" s="205" t="s">
        <v>310</v>
      </c>
      <c r="H126" s="219" t="s">
        <v>250</v>
      </c>
      <c r="J126" s="207">
        <v>0</v>
      </c>
      <c r="K126" s="207"/>
      <c r="L126" s="207">
        <f>IFERROR(SUMIF(data!$E:$E,科目余额表!$B126,data!H:H),0)</f>
        <v>0</v>
      </c>
      <c r="M126" s="207">
        <f>IFERROR(SUMIF(data!$E:$E,科目余额表!$B126,data!I:I),0)</f>
        <v>0</v>
      </c>
      <c r="N126" s="207">
        <f>IFERROR(SUMIF(data!$E:$E,科目余额表!$B126,data!J:J),0)</f>
        <v>0</v>
      </c>
      <c r="O126" s="207">
        <f>IFERROR(SUMIF(data!$E:$E,科目余额表!$B126,data!K:K),0)</f>
        <v>0</v>
      </c>
      <c r="P126" s="207">
        <f>IFERROR(SUMIF(data!$E:$E,科目余额表!$B126,data!L:L),0)</f>
        <v>0</v>
      </c>
      <c r="Q126" s="207">
        <f>IFERROR(SUMIF(data!$E:$E,科目余额表!$B126,data!M:M),0)</f>
        <v>0</v>
      </c>
      <c r="R126" s="207">
        <f>IFERROR(SUMIF(data!$E:$E,科目余额表!$B126,data!N:N),0)</f>
        <v>0</v>
      </c>
      <c r="S126" s="207">
        <f>IFERROR(SUMIF(data!$E:$E,科目余额表!$B126,data!O:O),0)</f>
        <v>0</v>
      </c>
      <c r="T126" s="207">
        <f>IFERROR(SUMIF(data!$E:$E,科目余额表!$B126,data!P:P),0)</f>
        <v>0</v>
      </c>
      <c r="U126" s="207">
        <f>IFERROR(SUMIF(data!$E:$E,科目余额表!$B126,data!Q:Q),0)</f>
        <v>0</v>
      </c>
      <c r="V126" s="207">
        <f>IFERROR(SUMIF(data!$E:$E,科目余额表!$B126,data!R:R),0)</f>
        <v>0</v>
      </c>
      <c r="W126" s="207">
        <f>IFERROR(SUMIF(data!$E:$E,科目余额表!$B126,data!S:S),0)</f>
        <v>0</v>
      </c>
      <c r="X126" s="207"/>
      <c r="Y126" s="207"/>
      <c r="Z126" s="207"/>
      <c r="AA126" s="207"/>
      <c r="AB126" s="207"/>
      <c r="AC126" s="207"/>
      <c r="AD126" s="207"/>
      <c r="AE126" s="207"/>
      <c r="AF126" s="207"/>
    </row>
    <row r="127" spans="1:32" s="214" customFormat="1" ht="11.65" customHeight="1">
      <c r="A127" s="215"/>
      <c r="B127" s="220">
        <v>13086</v>
      </c>
      <c r="C127" s="205" t="s">
        <v>376</v>
      </c>
      <c r="D127" s="221">
        <v>0</v>
      </c>
      <c r="E127" s="221">
        <v>0</v>
      </c>
      <c r="F127" s="222">
        <f t="shared" si="1"/>
        <v>0</v>
      </c>
      <c r="G127" s="205" t="s">
        <v>310</v>
      </c>
      <c r="H127" s="219" t="s">
        <v>250</v>
      </c>
      <c r="J127" s="207">
        <v>0</v>
      </c>
      <c r="K127" s="207"/>
      <c r="L127" s="207">
        <f>IFERROR(SUMIF(data!$E:$E,科目余额表!$B127,data!H:H),0)</f>
        <v>0</v>
      </c>
      <c r="M127" s="207">
        <f>IFERROR(SUMIF(data!$E:$E,科目余额表!$B127,data!I:I),0)</f>
        <v>0</v>
      </c>
      <c r="N127" s="207">
        <f>IFERROR(SUMIF(data!$E:$E,科目余额表!$B127,data!J:J),0)</f>
        <v>0</v>
      </c>
      <c r="O127" s="207">
        <f>IFERROR(SUMIF(data!$E:$E,科目余额表!$B127,data!K:K),0)</f>
        <v>0</v>
      </c>
      <c r="P127" s="207">
        <f>IFERROR(SUMIF(data!$E:$E,科目余额表!$B127,data!L:L),0)</f>
        <v>0</v>
      </c>
      <c r="Q127" s="207">
        <f>IFERROR(SUMIF(data!$E:$E,科目余额表!$B127,data!M:M),0)</f>
        <v>0</v>
      </c>
      <c r="R127" s="207">
        <f>IFERROR(SUMIF(data!$E:$E,科目余额表!$B127,data!N:N),0)</f>
        <v>0</v>
      </c>
      <c r="S127" s="207">
        <f>IFERROR(SUMIF(data!$E:$E,科目余额表!$B127,data!O:O),0)</f>
        <v>0</v>
      </c>
      <c r="T127" s="207">
        <f>IFERROR(SUMIF(data!$E:$E,科目余额表!$B127,data!P:P),0)</f>
        <v>0</v>
      </c>
      <c r="U127" s="207">
        <f>IFERROR(SUMIF(data!$E:$E,科目余额表!$B127,data!Q:Q),0)</f>
        <v>0</v>
      </c>
      <c r="V127" s="207">
        <f>IFERROR(SUMIF(data!$E:$E,科目余额表!$B127,data!R:R),0)</f>
        <v>0</v>
      </c>
      <c r="W127" s="207">
        <f>IFERROR(SUMIF(data!$E:$E,科目余额表!$B127,data!S:S),0)</f>
        <v>0</v>
      </c>
      <c r="X127" s="207"/>
      <c r="Y127" s="207"/>
      <c r="Z127" s="207"/>
      <c r="AA127" s="207"/>
      <c r="AB127" s="207"/>
      <c r="AC127" s="207"/>
      <c r="AD127" s="207"/>
      <c r="AE127" s="207"/>
      <c r="AF127" s="207"/>
    </row>
    <row r="128" spans="1:32" s="214" customFormat="1" ht="11.65" customHeight="1">
      <c r="A128" s="215"/>
      <c r="B128" s="220">
        <v>13087</v>
      </c>
      <c r="C128" s="205" t="s">
        <v>377</v>
      </c>
      <c r="D128" s="221">
        <v>0</v>
      </c>
      <c r="E128" s="221">
        <v>0</v>
      </c>
      <c r="F128" s="222">
        <f t="shared" si="1"/>
        <v>0</v>
      </c>
      <c r="G128" s="205" t="s">
        <v>310</v>
      </c>
      <c r="H128" s="219" t="s">
        <v>250</v>
      </c>
      <c r="J128" s="207">
        <v>0</v>
      </c>
      <c r="K128" s="207"/>
      <c r="L128" s="207">
        <f>IFERROR(SUMIF(data!$E:$E,科目余额表!$B128,data!H:H),0)</f>
        <v>0</v>
      </c>
      <c r="M128" s="207">
        <f>IFERROR(SUMIF(data!$E:$E,科目余额表!$B128,data!I:I),0)</f>
        <v>0</v>
      </c>
      <c r="N128" s="207">
        <f>IFERROR(SUMIF(data!$E:$E,科目余额表!$B128,data!J:J),0)</f>
        <v>0</v>
      </c>
      <c r="O128" s="207">
        <f>IFERROR(SUMIF(data!$E:$E,科目余额表!$B128,data!K:K),0)</f>
        <v>0</v>
      </c>
      <c r="P128" s="207">
        <f>IFERROR(SUMIF(data!$E:$E,科目余额表!$B128,data!L:L),0)</f>
        <v>0</v>
      </c>
      <c r="Q128" s="207">
        <f>IFERROR(SUMIF(data!$E:$E,科目余额表!$B128,data!M:M),0)</f>
        <v>0</v>
      </c>
      <c r="R128" s="207">
        <f>IFERROR(SUMIF(data!$E:$E,科目余额表!$B128,data!N:N),0)</f>
        <v>0</v>
      </c>
      <c r="S128" s="207">
        <f>IFERROR(SUMIF(data!$E:$E,科目余额表!$B128,data!O:O),0)</f>
        <v>0</v>
      </c>
      <c r="T128" s="207">
        <f>IFERROR(SUMIF(data!$E:$E,科目余额表!$B128,data!P:P),0)</f>
        <v>0</v>
      </c>
      <c r="U128" s="207">
        <f>IFERROR(SUMIF(data!$E:$E,科目余额表!$B128,data!Q:Q),0)</f>
        <v>0</v>
      </c>
      <c r="V128" s="207">
        <f>IFERROR(SUMIF(data!$E:$E,科目余额表!$B128,data!R:R),0)</f>
        <v>0</v>
      </c>
      <c r="W128" s="207">
        <f>IFERROR(SUMIF(data!$E:$E,科目余额表!$B128,data!S:S),0)</f>
        <v>0</v>
      </c>
      <c r="X128" s="207"/>
      <c r="Y128" s="207"/>
      <c r="Z128" s="207"/>
      <c r="AA128" s="207"/>
      <c r="AB128" s="207"/>
      <c r="AC128" s="207"/>
      <c r="AD128" s="207"/>
      <c r="AE128" s="207"/>
      <c r="AF128" s="207"/>
    </row>
    <row r="129" spans="1:32" s="214" customFormat="1" ht="11.65" customHeight="1">
      <c r="A129" s="215"/>
      <c r="B129" s="220">
        <v>13088</v>
      </c>
      <c r="C129" s="205" t="s">
        <v>378</v>
      </c>
      <c r="D129" s="221">
        <v>0</v>
      </c>
      <c r="E129" s="221">
        <v>0</v>
      </c>
      <c r="F129" s="222">
        <f t="shared" si="1"/>
        <v>0</v>
      </c>
      <c r="G129" s="205" t="s">
        <v>310</v>
      </c>
      <c r="H129" s="219" t="s">
        <v>250</v>
      </c>
      <c r="J129" s="207">
        <v>0</v>
      </c>
      <c r="K129" s="207"/>
      <c r="L129" s="207">
        <f>IFERROR(SUMIF(data!$E:$E,科目余额表!$B129,data!H:H),0)</f>
        <v>0</v>
      </c>
      <c r="M129" s="207">
        <f>IFERROR(SUMIF(data!$E:$E,科目余额表!$B129,data!I:I),0)</f>
        <v>0</v>
      </c>
      <c r="N129" s="207">
        <f>IFERROR(SUMIF(data!$E:$E,科目余额表!$B129,data!J:J),0)</f>
        <v>0</v>
      </c>
      <c r="O129" s="207">
        <f>IFERROR(SUMIF(data!$E:$E,科目余额表!$B129,data!K:K),0)</f>
        <v>0</v>
      </c>
      <c r="P129" s="207">
        <f>IFERROR(SUMIF(data!$E:$E,科目余额表!$B129,data!L:L),0)</f>
        <v>0</v>
      </c>
      <c r="Q129" s="207">
        <f>IFERROR(SUMIF(data!$E:$E,科目余额表!$B129,data!M:M),0)</f>
        <v>0</v>
      </c>
      <c r="R129" s="207">
        <f>IFERROR(SUMIF(data!$E:$E,科目余额表!$B129,data!N:N),0)</f>
        <v>0</v>
      </c>
      <c r="S129" s="207">
        <f>IFERROR(SUMIF(data!$E:$E,科目余额表!$B129,data!O:O),0)</f>
        <v>0</v>
      </c>
      <c r="T129" s="207">
        <f>IFERROR(SUMIF(data!$E:$E,科目余额表!$B129,data!P:P),0)</f>
        <v>0</v>
      </c>
      <c r="U129" s="207">
        <f>IFERROR(SUMIF(data!$E:$E,科目余额表!$B129,data!Q:Q),0)</f>
        <v>0</v>
      </c>
      <c r="V129" s="207">
        <f>IFERROR(SUMIF(data!$E:$E,科目余额表!$B129,data!R:R),0)</f>
        <v>0</v>
      </c>
      <c r="W129" s="207">
        <f>IFERROR(SUMIF(data!$E:$E,科目余额表!$B129,data!S:S),0)</f>
        <v>0</v>
      </c>
      <c r="X129" s="207"/>
      <c r="Y129" s="207"/>
      <c r="Z129" s="207"/>
      <c r="AA129" s="207"/>
      <c r="AB129" s="207"/>
      <c r="AC129" s="207"/>
      <c r="AD129" s="207"/>
      <c r="AE129" s="207"/>
      <c r="AF129" s="207"/>
    </row>
    <row r="130" spans="1:32" s="214" customFormat="1" ht="11.65" customHeight="1">
      <c r="A130" s="215"/>
      <c r="B130" s="220">
        <v>13089</v>
      </c>
      <c r="C130" s="205" t="s">
        <v>379</v>
      </c>
      <c r="D130" s="221">
        <v>0</v>
      </c>
      <c r="E130" s="221">
        <v>0</v>
      </c>
      <c r="F130" s="222">
        <f t="shared" si="1"/>
        <v>0</v>
      </c>
      <c r="G130" s="205" t="s">
        <v>310</v>
      </c>
      <c r="H130" s="219" t="s">
        <v>250</v>
      </c>
      <c r="J130" s="207">
        <v>0</v>
      </c>
      <c r="K130" s="207"/>
      <c r="L130" s="207">
        <f>IFERROR(SUMIF(data!$E:$E,科目余额表!$B130,data!H:H),0)</f>
        <v>0</v>
      </c>
      <c r="M130" s="207">
        <f>IFERROR(SUMIF(data!$E:$E,科目余额表!$B130,data!I:I),0)</f>
        <v>0</v>
      </c>
      <c r="N130" s="207">
        <f>IFERROR(SUMIF(data!$E:$E,科目余额表!$B130,data!J:J),0)</f>
        <v>0</v>
      </c>
      <c r="O130" s="207">
        <f>IFERROR(SUMIF(data!$E:$E,科目余额表!$B130,data!K:K),0)</f>
        <v>0</v>
      </c>
      <c r="P130" s="207">
        <f>IFERROR(SUMIF(data!$E:$E,科目余额表!$B130,data!L:L),0)</f>
        <v>0</v>
      </c>
      <c r="Q130" s="207">
        <f>IFERROR(SUMIF(data!$E:$E,科目余额表!$B130,data!M:M),0)</f>
        <v>0</v>
      </c>
      <c r="R130" s="207">
        <f>IFERROR(SUMIF(data!$E:$E,科目余额表!$B130,data!N:N),0)</f>
        <v>0</v>
      </c>
      <c r="S130" s="207">
        <f>IFERROR(SUMIF(data!$E:$E,科目余额表!$B130,data!O:O),0)</f>
        <v>0</v>
      </c>
      <c r="T130" s="207">
        <f>IFERROR(SUMIF(data!$E:$E,科目余额表!$B130,data!P:P),0)</f>
        <v>0</v>
      </c>
      <c r="U130" s="207">
        <f>IFERROR(SUMIF(data!$E:$E,科目余额表!$B130,data!Q:Q),0)</f>
        <v>0</v>
      </c>
      <c r="V130" s="207">
        <f>IFERROR(SUMIF(data!$E:$E,科目余额表!$B130,data!R:R),0)</f>
        <v>0</v>
      </c>
      <c r="W130" s="207">
        <f>IFERROR(SUMIF(data!$E:$E,科目余额表!$B130,data!S:S),0)</f>
        <v>0</v>
      </c>
      <c r="X130" s="207"/>
      <c r="Y130" s="207"/>
      <c r="Z130" s="207"/>
      <c r="AA130" s="207"/>
      <c r="AB130" s="207"/>
      <c r="AC130" s="207"/>
      <c r="AD130" s="207"/>
      <c r="AE130" s="207"/>
      <c r="AF130" s="207"/>
    </row>
    <row r="131" spans="1:32" s="214" customFormat="1" ht="11.65" customHeight="1">
      <c r="A131" s="215"/>
      <c r="B131" s="220">
        <v>13090</v>
      </c>
      <c r="C131" s="205" t="s">
        <v>380</v>
      </c>
      <c r="D131" s="221">
        <v>0</v>
      </c>
      <c r="E131" s="221">
        <v>0</v>
      </c>
      <c r="F131" s="222">
        <f t="shared" si="1"/>
        <v>0</v>
      </c>
      <c r="G131" s="205" t="s">
        <v>310</v>
      </c>
      <c r="H131" s="219" t="s">
        <v>250</v>
      </c>
      <c r="J131" s="207">
        <v>0</v>
      </c>
      <c r="K131" s="207"/>
      <c r="L131" s="207">
        <f>IFERROR(SUMIF(data!$E:$E,科目余额表!$B131,data!H:H),0)</f>
        <v>0</v>
      </c>
      <c r="M131" s="207">
        <f>IFERROR(SUMIF(data!$E:$E,科目余额表!$B131,data!I:I),0)</f>
        <v>0</v>
      </c>
      <c r="N131" s="207">
        <f>IFERROR(SUMIF(data!$E:$E,科目余额表!$B131,data!J:J),0)</f>
        <v>0</v>
      </c>
      <c r="O131" s="207">
        <f>IFERROR(SUMIF(data!$E:$E,科目余额表!$B131,data!K:K),0)</f>
        <v>0</v>
      </c>
      <c r="P131" s="207">
        <f>IFERROR(SUMIF(data!$E:$E,科目余额表!$B131,data!L:L),0)</f>
        <v>0</v>
      </c>
      <c r="Q131" s="207">
        <f>IFERROR(SUMIF(data!$E:$E,科目余额表!$B131,data!M:M),0)</f>
        <v>0</v>
      </c>
      <c r="R131" s="207">
        <f>IFERROR(SUMIF(data!$E:$E,科目余额表!$B131,data!N:N),0)</f>
        <v>0</v>
      </c>
      <c r="S131" s="207">
        <f>IFERROR(SUMIF(data!$E:$E,科目余额表!$B131,data!O:O),0)</f>
        <v>0</v>
      </c>
      <c r="T131" s="207">
        <f>IFERROR(SUMIF(data!$E:$E,科目余额表!$B131,data!P:P),0)</f>
        <v>0</v>
      </c>
      <c r="U131" s="207">
        <f>IFERROR(SUMIF(data!$E:$E,科目余额表!$B131,data!Q:Q),0)</f>
        <v>0</v>
      </c>
      <c r="V131" s="207">
        <f>IFERROR(SUMIF(data!$E:$E,科目余额表!$B131,data!R:R),0)</f>
        <v>0</v>
      </c>
      <c r="W131" s="207">
        <f>IFERROR(SUMIF(data!$E:$E,科目余额表!$B131,data!S:S),0)</f>
        <v>0</v>
      </c>
      <c r="X131" s="207"/>
      <c r="Y131" s="207"/>
      <c r="Z131" s="207"/>
      <c r="AA131" s="207"/>
      <c r="AB131" s="207"/>
      <c r="AC131" s="207"/>
      <c r="AD131" s="207"/>
      <c r="AE131" s="207"/>
      <c r="AF131" s="207"/>
    </row>
    <row r="132" spans="1:32" s="214" customFormat="1" ht="11.65" customHeight="1">
      <c r="A132" s="215"/>
      <c r="B132" s="220">
        <v>13091</v>
      </c>
      <c r="C132" s="205" t="s">
        <v>381</v>
      </c>
      <c r="D132" s="221">
        <v>0</v>
      </c>
      <c r="E132" s="221">
        <v>0</v>
      </c>
      <c r="F132" s="222">
        <f t="shared" si="1"/>
        <v>0</v>
      </c>
      <c r="G132" s="205" t="s">
        <v>310</v>
      </c>
      <c r="H132" s="219" t="s">
        <v>250</v>
      </c>
      <c r="J132" s="207">
        <v>0</v>
      </c>
      <c r="K132" s="207"/>
      <c r="L132" s="207">
        <f>IFERROR(SUMIF(data!$E:$E,科目余额表!$B132,data!H:H),0)</f>
        <v>0</v>
      </c>
      <c r="M132" s="207">
        <f>IFERROR(SUMIF(data!$E:$E,科目余额表!$B132,data!I:I),0)</f>
        <v>0</v>
      </c>
      <c r="N132" s="207">
        <f>IFERROR(SUMIF(data!$E:$E,科目余额表!$B132,data!J:J),0)</f>
        <v>0</v>
      </c>
      <c r="O132" s="207">
        <f>IFERROR(SUMIF(data!$E:$E,科目余额表!$B132,data!K:K),0)</f>
        <v>0</v>
      </c>
      <c r="P132" s="207">
        <f>IFERROR(SUMIF(data!$E:$E,科目余额表!$B132,data!L:L),0)</f>
        <v>0</v>
      </c>
      <c r="Q132" s="207">
        <f>IFERROR(SUMIF(data!$E:$E,科目余额表!$B132,data!M:M),0)</f>
        <v>0</v>
      </c>
      <c r="R132" s="207">
        <f>IFERROR(SUMIF(data!$E:$E,科目余额表!$B132,data!N:N),0)</f>
        <v>0</v>
      </c>
      <c r="S132" s="207">
        <f>IFERROR(SUMIF(data!$E:$E,科目余额表!$B132,data!O:O),0)</f>
        <v>0</v>
      </c>
      <c r="T132" s="207">
        <f>IFERROR(SUMIF(data!$E:$E,科目余额表!$B132,data!P:P),0)</f>
        <v>0</v>
      </c>
      <c r="U132" s="207">
        <f>IFERROR(SUMIF(data!$E:$E,科目余额表!$B132,data!Q:Q),0)</f>
        <v>0</v>
      </c>
      <c r="V132" s="207">
        <f>IFERROR(SUMIF(data!$E:$E,科目余额表!$B132,data!R:R),0)</f>
        <v>0</v>
      </c>
      <c r="W132" s="207">
        <f>IFERROR(SUMIF(data!$E:$E,科目余额表!$B132,data!S:S),0)</f>
        <v>0</v>
      </c>
      <c r="X132" s="207"/>
      <c r="Y132" s="207"/>
      <c r="Z132" s="207"/>
      <c r="AA132" s="207"/>
      <c r="AB132" s="207"/>
      <c r="AC132" s="207"/>
      <c r="AD132" s="207"/>
      <c r="AE132" s="207"/>
      <c r="AF132" s="207"/>
    </row>
    <row r="133" spans="1:32" s="214" customFormat="1" ht="11.65" customHeight="1">
      <c r="A133" s="215"/>
      <c r="B133" s="220">
        <v>13092</v>
      </c>
      <c r="C133" s="205" t="s">
        <v>382</v>
      </c>
      <c r="D133" s="221">
        <v>0</v>
      </c>
      <c r="E133" s="221">
        <v>0</v>
      </c>
      <c r="F133" s="222">
        <f t="shared" si="1"/>
        <v>0</v>
      </c>
      <c r="G133" s="205" t="s">
        <v>310</v>
      </c>
      <c r="H133" s="219" t="s">
        <v>250</v>
      </c>
      <c r="J133" s="207">
        <v>0</v>
      </c>
      <c r="K133" s="207"/>
      <c r="L133" s="207">
        <f>IFERROR(SUMIF(data!$E:$E,科目余额表!$B133,data!H:H),0)</f>
        <v>0</v>
      </c>
      <c r="M133" s="207">
        <f>IFERROR(SUMIF(data!$E:$E,科目余额表!$B133,data!I:I),0)</f>
        <v>0</v>
      </c>
      <c r="N133" s="207">
        <f>IFERROR(SUMIF(data!$E:$E,科目余额表!$B133,data!J:J),0)</f>
        <v>0</v>
      </c>
      <c r="O133" s="207">
        <f>IFERROR(SUMIF(data!$E:$E,科目余额表!$B133,data!K:K),0)</f>
        <v>0</v>
      </c>
      <c r="P133" s="207">
        <f>IFERROR(SUMIF(data!$E:$E,科目余额表!$B133,data!L:L),0)</f>
        <v>0</v>
      </c>
      <c r="Q133" s="207">
        <f>IFERROR(SUMIF(data!$E:$E,科目余额表!$B133,data!M:M),0)</f>
        <v>0</v>
      </c>
      <c r="R133" s="207">
        <f>IFERROR(SUMIF(data!$E:$E,科目余额表!$B133,data!N:N),0)</f>
        <v>0</v>
      </c>
      <c r="S133" s="207">
        <f>IFERROR(SUMIF(data!$E:$E,科目余额表!$B133,data!O:O),0)</f>
        <v>0</v>
      </c>
      <c r="T133" s="207">
        <f>IFERROR(SUMIF(data!$E:$E,科目余额表!$B133,data!P:P),0)</f>
        <v>0</v>
      </c>
      <c r="U133" s="207">
        <f>IFERROR(SUMIF(data!$E:$E,科目余额表!$B133,data!Q:Q),0)</f>
        <v>0</v>
      </c>
      <c r="V133" s="207">
        <f>IFERROR(SUMIF(data!$E:$E,科目余额表!$B133,data!R:R),0)</f>
        <v>0</v>
      </c>
      <c r="W133" s="207">
        <f>IFERROR(SUMIF(data!$E:$E,科目余额表!$B133,data!S:S),0)</f>
        <v>0</v>
      </c>
      <c r="X133" s="207"/>
      <c r="Y133" s="207"/>
      <c r="Z133" s="207"/>
      <c r="AA133" s="207"/>
      <c r="AB133" s="207"/>
      <c r="AC133" s="207"/>
      <c r="AD133" s="207"/>
      <c r="AE133" s="207"/>
      <c r="AF133" s="207"/>
    </row>
    <row r="134" spans="1:32" s="214" customFormat="1" ht="11.65" customHeight="1">
      <c r="A134" s="215"/>
      <c r="B134" s="220">
        <v>13093</v>
      </c>
      <c r="C134" s="205" t="s">
        <v>383</v>
      </c>
      <c r="D134" s="221">
        <v>0</v>
      </c>
      <c r="E134" s="221">
        <v>0</v>
      </c>
      <c r="F134" s="222">
        <f t="shared" si="1"/>
        <v>0</v>
      </c>
      <c r="G134" s="205" t="s">
        <v>310</v>
      </c>
      <c r="H134" s="219" t="s">
        <v>250</v>
      </c>
      <c r="J134" s="207">
        <v>0</v>
      </c>
      <c r="K134" s="207"/>
      <c r="L134" s="207">
        <f>IFERROR(SUMIF(data!$E:$E,科目余额表!$B134,data!H:H),0)</f>
        <v>0</v>
      </c>
      <c r="M134" s="207">
        <f>IFERROR(SUMIF(data!$E:$E,科目余额表!$B134,data!I:I),0)</f>
        <v>0</v>
      </c>
      <c r="N134" s="207">
        <f>IFERROR(SUMIF(data!$E:$E,科目余额表!$B134,data!J:J),0)</f>
        <v>0</v>
      </c>
      <c r="O134" s="207">
        <f>IFERROR(SUMIF(data!$E:$E,科目余额表!$B134,data!K:K),0)</f>
        <v>0</v>
      </c>
      <c r="P134" s="207">
        <f>IFERROR(SUMIF(data!$E:$E,科目余额表!$B134,data!L:L),0)</f>
        <v>0</v>
      </c>
      <c r="Q134" s="207">
        <f>IFERROR(SUMIF(data!$E:$E,科目余额表!$B134,data!M:M),0)</f>
        <v>0</v>
      </c>
      <c r="R134" s="207">
        <f>IFERROR(SUMIF(data!$E:$E,科目余额表!$B134,data!N:N),0)</f>
        <v>0</v>
      </c>
      <c r="S134" s="207">
        <f>IFERROR(SUMIF(data!$E:$E,科目余额表!$B134,data!O:O),0)</f>
        <v>0</v>
      </c>
      <c r="T134" s="207">
        <f>IFERROR(SUMIF(data!$E:$E,科目余额表!$B134,data!P:P),0)</f>
        <v>0</v>
      </c>
      <c r="U134" s="207">
        <f>IFERROR(SUMIF(data!$E:$E,科目余额表!$B134,data!Q:Q),0)</f>
        <v>0</v>
      </c>
      <c r="V134" s="207">
        <f>IFERROR(SUMIF(data!$E:$E,科目余额表!$B134,data!R:R),0)</f>
        <v>0</v>
      </c>
      <c r="W134" s="207">
        <f>IFERROR(SUMIF(data!$E:$E,科目余额表!$B134,data!S:S),0)</f>
        <v>0</v>
      </c>
      <c r="X134" s="207"/>
      <c r="Y134" s="207"/>
      <c r="Z134" s="207"/>
      <c r="AA134" s="207"/>
      <c r="AB134" s="207"/>
      <c r="AC134" s="207"/>
      <c r="AD134" s="207"/>
      <c r="AE134" s="207"/>
      <c r="AF134" s="207"/>
    </row>
    <row r="135" spans="1:32" s="214" customFormat="1" ht="11.65" customHeight="1">
      <c r="A135" s="215"/>
      <c r="B135" s="220">
        <v>13094</v>
      </c>
      <c r="C135" s="205" t="s">
        <v>384</v>
      </c>
      <c r="D135" s="221">
        <v>0</v>
      </c>
      <c r="E135" s="221">
        <v>0</v>
      </c>
      <c r="F135" s="222">
        <f t="shared" ref="F135:F198" si="2">D135+E135</f>
        <v>0</v>
      </c>
      <c r="G135" s="205" t="s">
        <v>310</v>
      </c>
      <c r="H135" s="219" t="s">
        <v>250</v>
      </c>
      <c r="J135" s="207">
        <v>0</v>
      </c>
      <c r="K135" s="207"/>
      <c r="L135" s="207">
        <f>IFERROR(SUMIF(data!$E:$E,科目余额表!$B135,data!H:H),0)</f>
        <v>0</v>
      </c>
      <c r="M135" s="207">
        <f>IFERROR(SUMIF(data!$E:$E,科目余额表!$B135,data!I:I),0)</f>
        <v>0</v>
      </c>
      <c r="N135" s="207">
        <f>IFERROR(SUMIF(data!$E:$E,科目余额表!$B135,data!J:J),0)</f>
        <v>0</v>
      </c>
      <c r="O135" s="207">
        <f>IFERROR(SUMIF(data!$E:$E,科目余额表!$B135,data!K:K),0)</f>
        <v>0</v>
      </c>
      <c r="P135" s="207">
        <f>IFERROR(SUMIF(data!$E:$E,科目余额表!$B135,data!L:L),0)</f>
        <v>0</v>
      </c>
      <c r="Q135" s="207">
        <f>IFERROR(SUMIF(data!$E:$E,科目余额表!$B135,data!M:M),0)</f>
        <v>0</v>
      </c>
      <c r="R135" s="207">
        <f>IFERROR(SUMIF(data!$E:$E,科目余额表!$B135,data!N:N),0)</f>
        <v>0</v>
      </c>
      <c r="S135" s="207">
        <f>IFERROR(SUMIF(data!$E:$E,科目余额表!$B135,data!O:O),0)</f>
        <v>0</v>
      </c>
      <c r="T135" s="207">
        <f>IFERROR(SUMIF(data!$E:$E,科目余额表!$B135,data!P:P),0)</f>
        <v>0</v>
      </c>
      <c r="U135" s="207">
        <f>IFERROR(SUMIF(data!$E:$E,科目余额表!$B135,data!Q:Q),0)</f>
        <v>0</v>
      </c>
      <c r="V135" s="207">
        <f>IFERROR(SUMIF(data!$E:$E,科目余额表!$B135,data!R:R),0)</f>
        <v>0</v>
      </c>
      <c r="W135" s="207">
        <f>IFERROR(SUMIF(data!$E:$E,科目余额表!$B135,data!S:S),0)</f>
        <v>0</v>
      </c>
      <c r="X135" s="207"/>
      <c r="Y135" s="207"/>
      <c r="Z135" s="207"/>
      <c r="AA135" s="207"/>
      <c r="AB135" s="207"/>
      <c r="AC135" s="207"/>
      <c r="AD135" s="207"/>
      <c r="AE135" s="207"/>
      <c r="AF135" s="207"/>
    </row>
    <row r="136" spans="1:32" s="214" customFormat="1" ht="11.65" customHeight="1">
      <c r="A136" s="215"/>
      <c r="B136" s="220">
        <v>13095</v>
      </c>
      <c r="C136" s="205" t="s">
        <v>385</v>
      </c>
      <c r="D136" s="221">
        <v>0</v>
      </c>
      <c r="E136" s="221">
        <v>0</v>
      </c>
      <c r="F136" s="222">
        <f t="shared" si="2"/>
        <v>0</v>
      </c>
      <c r="G136" s="205" t="s">
        <v>310</v>
      </c>
      <c r="H136" s="219" t="s">
        <v>250</v>
      </c>
      <c r="J136" s="207">
        <v>0</v>
      </c>
      <c r="K136" s="207"/>
      <c r="L136" s="207">
        <f>IFERROR(SUMIF(data!$E:$E,科目余额表!$B136,data!H:H),0)</f>
        <v>0</v>
      </c>
      <c r="M136" s="207">
        <f>IFERROR(SUMIF(data!$E:$E,科目余额表!$B136,data!I:I),0)</f>
        <v>0</v>
      </c>
      <c r="N136" s="207">
        <f>IFERROR(SUMIF(data!$E:$E,科目余额表!$B136,data!J:J),0)</f>
        <v>0</v>
      </c>
      <c r="O136" s="207">
        <f>IFERROR(SUMIF(data!$E:$E,科目余额表!$B136,data!K:K),0)</f>
        <v>0</v>
      </c>
      <c r="P136" s="207">
        <f>IFERROR(SUMIF(data!$E:$E,科目余额表!$B136,data!L:L),0)</f>
        <v>0</v>
      </c>
      <c r="Q136" s="207">
        <f>IFERROR(SUMIF(data!$E:$E,科目余额表!$B136,data!M:M),0)</f>
        <v>0</v>
      </c>
      <c r="R136" s="207">
        <f>IFERROR(SUMIF(data!$E:$E,科目余额表!$B136,data!N:N),0)</f>
        <v>0</v>
      </c>
      <c r="S136" s="207">
        <f>IFERROR(SUMIF(data!$E:$E,科目余额表!$B136,data!O:O),0)</f>
        <v>0</v>
      </c>
      <c r="T136" s="207">
        <f>IFERROR(SUMIF(data!$E:$E,科目余额表!$B136,data!P:P),0)</f>
        <v>0</v>
      </c>
      <c r="U136" s="207">
        <f>IFERROR(SUMIF(data!$E:$E,科目余额表!$B136,data!Q:Q),0)</f>
        <v>0</v>
      </c>
      <c r="V136" s="207">
        <f>IFERROR(SUMIF(data!$E:$E,科目余额表!$B136,data!R:R),0)</f>
        <v>0</v>
      </c>
      <c r="W136" s="207">
        <f>IFERROR(SUMIF(data!$E:$E,科目余额表!$B136,data!S:S),0)</f>
        <v>0</v>
      </c>
      <c r="X136" s="207"/>
      <c r="Y136" s="207"/>
      <c r="Z136" s="207"/>
      <c r="AA136" s="207"/>
      <c r="AB136" s="207"/>
      <c r="AC136" s="207"/>
      <c r="AD136" s="207"/>
      <c r="AE136" s="207"/>
      <c r="AF136" s="207"/>
    </row>
    <row r="137" spans="1:32" s="214" customFormat="1" ht="11.65" customHeight="1">
      <c r="A137" s="215"/>
      <c r="B137" s="220">
        <v>13096</v>
      </c>
      <c r="C137" s="205" t="s">
        <v>386</v>
      </c>
      <c r="D137" s="221">
        <v>0</v>
      </c>
      <c r="E137" s="221">
        <v>0</v>
      </c>
      <c r="F137" s="222">
        <f t="shared" si="2"/>
        <v>0</v>
      </c>
      <c r="G137" s="205" t="s">
        <v>310</v>
      </c>
      <c r="H137" s="219" t="s">
        <v>250</v>
      </c>
      <c r="J137" s="207">
        <v>0</v>
      </c>
      <c r="K137" s="207"/>
      <c r="L137" s="207">
        <f>IFERROR(SUMIF(data!$E:$E,科目余额表!$B137,data!H:H),0)</f>
        <v>0</v>
      </c>
      <c r="M137" s="207">
        <f>IFERROR(SUMIF(data!$E:$E,科目余额表!$B137,data!I:I),0)</f>
        <v>0</v>
      </c>
      <c r="N137" s="207">
        <f>IFERROR(SUMIF(data!$E:$E,科目余额表!$B137,data!J:J),0)</f>
        <v>0</v>
      </c>
      <c r="O137" s="207">
        <f>IFERROR(SUMIF(data!$E:$E,科目余额表!$B137,data!K:K),0)</f>
        <v>0</v>
      </c>
      <c r="P137" s="207">
        <f>IFERROR(SUMIF(data!$E:$E,科目余额表!$B137,data!L:L),0)</f>
        <v>0</v>
      </c>
      <c r="Q137" s="207">
        <f>IFERROR(SUMIF(data!$E:$E,科目余额表!$B137,data!M:M),0)</f>
        <v>0</v>
      </c>
      <c r="R137" s="207">
        <f>IFERROR(SUMIF(data!$E:$E,科目余额表!$B137,data!N:N),0)</f>
        <v>0</v>
      </c>
      <c r="S137" s="207">
        <f>IFERROR(SUMIF(data!$E:$E,科目余额表!$B137,data!O:O),0)</f>
        <v>0</v>
      </c>
      <c r="T137" s="207">
        <f>IFERROR(SUMIF(data!$E:$E,科目余额表!$B137,data!P:P),0)</f>
        <v>0</v>
      </c>
      <c r="U137" s="207">
        <f>IFERROR(SUMIF(data!$E:$E,科目余额表!$B137,data!Q:Q),0)</f>
        <v>0</v>
      </c>
      <c r="V137" s="207">
        <f>IFERROR(SUMIF(data!$E:$E,科目余额表!$B137,data!R:R),0)</f>
        <v>0</v>
      </c>
      <c r="W137" s="207">
        <f>IFERROR(SUMIF(data!$E:$E,科目余额表!$B137,data!S:S),0)</f>
        <v>0</v>
      </c>
      <c r="X137" s="207"/>
      <c r="Y137" s="207"/>
      <c r="Z137" s="207"/>
      <c r="AA137" s="207"/>
      <c r="AB137" s="207"/>
      <c r="AC137" s="207"/>
      <c r="AD137" s="207"/>
      <c r="AE137" s="207"/>
      <c r="AF137" s="207"/>
    </row>
    <row r="138" spans="1:32" s="214" customFormat="1" ht="11.65" customHeight="1">
      <c r="A138" s="215"/>
      <c r="B138" s="220">
        <v>13097</v>
      </c>
      <c r="C138" s="205" t="s">
        <v>387</v>
      </c>
      <c r="D138" s="221">
        <v>0</v>
      </c>
      <c r="E138" s="221">
        <v>0</v>
      </c>
      <c r="F138" s="222">
        <f t="shared" si="2"/>
        <v>0</v>
      </c>
      <c r="G138" s="205" t="s">
        <v>310</v>
      </c>
      <c r="H138" s="219" t="s">
        <v>250</v>
      </c>
      <c r="J138" s="207">
        <v>0</v>
      </c>
      <c r="K138" s="207"/>
      <c r="L138" s="207">
        <f>IFERROR(SUMIF(data!$E:$E,科目余额表!$B138,data!H:H),0)</f>
        <v>0</v>
      </c>
      <c r="M138" s="207">
        <f>IFERROR(SUMIF(data!$E:$E,科目余额表!$B138,data!I:I),0)</f>
        <v>0</v>
      </c>
      <c r="N138" s="207">
        <f>IFERROR(SUMIF(data!$E:$E,科目余额表!$B138,data!J:J),0)</f>
        <v>0</v>
      </c>
      <c r="O138" s="207">
        <f>IFERROR(SUMIF(data!$E:$E,科目余额表!$B138,data!K:K),0)</f>
        <v>0</v>
      </c>
      <c r="P138" s="207">
        <f>IFERROR(SUMIF(data!$E:$E,科目余额表!$B138,data!L:L),0)</f>
        <v>0</v>
      </c>
      <c r="Q138" s="207">
        <f>IFERROR(SUMIF(data!$E:$E,科目余额表!$B138,data!M:M),0)</f>
        <v>0</v>
      </c>
      <c r="R138" s="207">
        <f>IFERROR(SUMIF(data!$E:$E,科目余额表!$B138,data!N:N),0)</f>
        <v>0</v>
      </c>
      <c r="S138" s="207">
        <f>IFERROR(SUMIF(data!$E:$E,科目余额表!$B138,data!O:O),0)</f>
        <v>0</v>
      </c>
      <c r="T138" s="207">
        <f>IFERROR(SUMIF(data!$E:$E,科目余额表!$B138,data!P:P),0)</f>
        <v>0</v>
      </c>
      <c r="U138" s="207">
        <f>IFERROR(SUMIF(data!$E:$E,科目余额表!$B138,data!Q:Q),0)</f>
        <v>0</v>
      </c>
      <c r="V138" s="207">
        <f>IFERROR(SUMIF(data!$E:$E,科目余额表!$B138,data!R:R),0)</f>
        <v>0</v>
      </c>
      <c r="W138" s="207">
        <f>IFERROR(SUMIF(data!$E:$E,科目余额表!$B138,data!S:S),0)</f>
        <v>0</v>
      </c>
      <c r="X138" s="207"/>
      <c r="Y138" s="207"/>
      <c r="Z138" s="207"/>
      <c r="AA138" s="207"/>
      <c r="AB138" s="207"/>
      <c r="AC138" s="207"/>
      <c r="AD138" s="207"/>
      <c r="AE138" s="207"/>
      <c r="AF138" s="207"/>
    </row>
    <row r="139" spans="1:32" s="214" customFormat="1" ht="11.65" customHeight="1">
      <c r="A139" s="215"/>
      <c r="B139" s="220">
        <v>13098</v>
      </c>
      <c r="C139" s="205" t="s">
        <v>388</v>
      </c>
      <c r="D139" s="221">
        <v>0</v>
      </c>
      <c r="E139" s="221">
        <v>0</v>
      </c>
      <c r="F139" s="222">
        <f t="shared" si="2"/>
        <v>0</v>
      </c>
      <c r="G139" s="205" t="s">
        <v>310</v>
      </c>
      <c r="H139" s="219" t="s">
        <v>250</v>
      </c>
      <c r="J139" s="207">
        <v>0</v>
      </c>
      <c r="K139" s="207"/>
      <c r="L139" s="207">
        <f>IFERROR(SUMIF(data!$E:$E,科目余额表!$B139,data!H:H),0)</f>
        <v>0</v>
      </c>
      <c r="M139" s="207">
        <f>IFERROR(SUMIF(data!$E:$E,科目余额表!$B139,data!I:I),0)</f>
        <v>0</v>
      </c>
      <c r="N139" s="207">
        <f>IFERROR(SUMIF(data!$E:$E,科目余额表!$B139,data!J:J),0)</f>
        <v>0</v>
      </c>
      <c r="O139" s="207">
        <f>IFERROR(SUMIF(data!$E:$E,科目余额表!$B139,data!K:K),0)</f>
        <v>0</v>
      </c>
      <c r="P139" s="207">
        <f>IFERROR(SUMIF(data!$E:$E,科目余额表!$B139,data!L:L),0)</f>
        <v>0</v>
      </c>
      <c r="Q139" s="207">
        <f>IFERROR(SUMIF(data!$E:$E,科目余额表!$B139,data!M:M),0)</f>
        <v>0</v>
      </c>
      <c r="R139" s="207">
        <f>IFERROR(SUMIF(data!$E:$E,科目余额表!$B139,data!N:N),0)</f>
        <v>0</v>
      </c>
      <c r="S139" s="207">
        <f>IFERROR(SUMIF(data!$E:$E,科目余额表!$B139,data!O:O),0)</f>
        <v>0</v>
      </c>
      <c r="T139" s="207">
        <f>IFERROR(SUMIF(data!$E:$E,科目余额表!$B139,data!P:P),0)</f>
        <v>0</v>
      </c>
      <c r="U139" s="207">
        <f>IFERROR(SUMIF(data!$E:$E,科目余额表!$B139,data!Q:Q),0)</f>
        <v>0</v>
      </c>
      <c r="V139" s="207">
        <f>IFERROR(SUMIF(data!$E:$E,科目余额表!$B139,data!R:R),0)</f>
        <v>0</v>
      </c>
      <c r="W139" s="207">
        <f>IFERROR(SUMIF(data!$E:$E,科目余额表!$B139,data!S:S),0)</f>
        <v>0</v>
      </c>
      <c r="X139" s="207"/>
      <c r="Y139" s="207"/>
      <c r="Z139" s="207"/>
      <c r="AA139" s="207"/>
      <c r="AB139" s="207"/>
      <c r="AC139" s="207"/>
      <c r="AD139" s="207"/>
      <c r="AE139" s="207"/>
      <c r="AF139" s="207"/>
    </row>
    <row r="140" spans="1:32" s="214" customFormat="1" ht="11.65" customHeight="1">
      <c r="A140" s="215"/>
      <c r="B140" s="220">
        <v>13099</v>
      </c>
      <c r="C140" s="205" t="s">
        <v>389</v>
      </c>
      <c r="D140" s="221">
        <v>0</v>
      </c>
      <c r="E140" s="221">
        <v>0</v>
      </c>
      <c r="F140" s="222">
        <f t="shared" si="2"/>
        <v>0</v>
      </c>
      <c r="G140" s="205" t="s">
        <v>310</v>
      </c>
      <c r="H140" s="219" t="s">
        <v>250</v>
      </c>
      <c r="J140" s="207">
        <v>0</v>
      </c>
      <c r="K140" s="207"/>
      <c r="L140" s="207">
        <f>IFERROR(SUMIF(data!$E:$E,科目余额表!$B140,data!H:H),0)</f>
        <v>0</v>
      </c>
      <c r="M140" s="207">
        <f>IFERROR(SUMIF(data!$E:$E,科目余额表!$B140,data!I:I),0)</f>
        <v>0</v>
      </c>
      <c r="N140" s="207">
        <f>IFERROR(SUMIF(data!$E:$E,科目余额表!$B140,data!J:J),0)</f>
        <v>0</v>
      </c>
      <c r="O140" s="207">
        <f>IFERROR(SUMIF(data!$E:$E,科目余额表!$B140,data!K:K),0)</f>
        <v>0</v>
      </c>
      <c r="P140" s="207">
        <f>IFERROR(SUMIF(data!$E:$E,科目余额表!$B140,data!L:L),0)</f>
        <v>0</v>
      </c>
      <c r="Q140" s="207">
        <f>IFERROR(SUMIF(data!$E:$E,科目余额表!$B140,data!M:M),0)</f>
        <v>0</v>
      </c>
      <c r="R140" s="207">
        <f>IFERROR(SUMIF(data!$E:$E,科目余额表!$B140,data!N:N),0)</f>
        <v>0</v>
      </c>
      <c r="S140" s="207">
        <f>IFERROR(SUMIF(data!$E:$E,科目余额表!$B140,data!O:O),0)</f>
        <v>0</v>
      </c>
      <c r="T140" s="207">
        <f>IFERROR(SUMIF(data!$E:$E,科目余额表!$B140,data!P:P),0)</f>
        <v>0</v>
      </c>
      <c r="U140" s="207">
        <f>IFERROR(SUMIF(data!$E:$E,科目余额表!$B140,data!Q:Q),0)</f>
        <v>0</v>
      </c>
      <c r="V140" s="207">
        <f>IFERROR(SUMIF(data!$E:$E,科目余额表!$B140,data!R:R),0)</f>
        <v>0</v>
      </c>
      <c r="W140" s="207">
        <f>IFERROR(SUMIF(data!$E:$E,科目余额表!$B140,data!S:S),0)</f>
        <v>0</v>
      </c>
      <c r="X140" s="207"/>
      <c r="Y140" s="207"/>
      <c r="Z140" s="207"/>
      <c r="AA140" s="207"/>
      <c r="AB140" s="207"/>
      <c r="AC140" s="207"/>
      <c r="AD140" s="207"/>
      <c r="AE140" s="207"/>
      <c r="AF140" s="207"/>
    </row>
    <row r="141" spans="1:32" s="214" customFormat="1" ht="11.65" customHeight="1">
      <c r="A141" s="215"/>
      <c r="B141" s="220">
        <v>13100</v>
      </c>
      <c r="C141" s="205" t="s">
        <v>390</v>
      </c>
      <c r="D141" s="221">
        <v>0</v>
      </c>
      <c r="E141" s="221">
        <v>0</v>
      </c>
      <c r="F141" s="222">
        <f t="shared" si="2"/>
        <v>0</v>
      </c>
      <c r="G141" s="205" t="s">
        <v>310</v>
      </c>
      <c r="H141" s="219" t="s">
        <v>250</v>
      </c>
      <c r="J141" s="207">
        <v>0</v>
      </c>
      <c r="K141" s="207"/>
      <c r="L141" s="207">
        <f>IFERROR(SUMIF(data!$E:$E,科目余额表!$B141,data!H:H),0)</f>
        <v>0</v>
      </c>
      <c r="M141" s="207">
        <f>IFERROR(SUMIF(data!$E:$E,科目余额表!$B141,data!I:I),0)</f>
        <v>0</v>
      </c>
      <c r="N141" s="207">
        <f>IFERROR(SUMIF(data!$E:$E,科目余额表!$B141,data!J:J),0)</f>
        <v>0</v>
      </c>
      <c r="O141" s="207">
        <f>IFERROR(SUMIF(data!$E:$E,科目余额表!$B141,data!K:K),0)</f>
        <v>0</v>
      </c>
      <c r="P141" s="207">
        <f>IFERROR(SUMIF(data!$E:$E,科目余额表!$B141,data!L:L),0)</f>
        <v>0</v>
      </c>
      <c r="Q141" s="207">
        <f>IFERROR(SUMIF(data!$E:$E,科目余额表!$B141,data!M:M),0)</f>
        <v>0</v>
      </c>
      <c r="R141" s="207">
        <f>IFERROR(SUMIF(data!$E:$E,科目余额表!$B141,data!N:N),0)</f>
        <v>0</v>
      </c>
      <c r="S141" s="207">
        <f>IFERROR(SUMIF(data!$E:$E,科目余额表!$B141,data!O:O),0)</f>
        <v>0</v>
      </c>
      <c r="T141" s="207">
        <f>IFERROR(SUMIF(data!$E:$E,科目余额表!$B141,data!P:P),0)</f>
        <v>0</v>
      </c>
      <c r="U141" s="207">
        <f>IFERROR(SUMIF(data!$E:$E,科目余额表!$B141,data!Q:Q),0)</f>
        <v>0</v>
      </c>
      <c r="V141" s="207">
        <f>IFERROR(SUMIF(data!$E:$E,科目余额表!$B141,data!R:R),0)</f>
        <v>0</v>
      </c>
      <c r="W141" s="207">
        <f>IFERROR(SUMIF(data!$E:$E,科目余额表!$B141,data!S:S),0)</f>
        <v>0</v>
      </c>
      <c r="X141" s="207"/>
      <c r="Y141" s="207"/>
      <c r="Z141" s="207"/>
      <c r="AA141" s="207"/>
      <c r="AB141" s="207"/>
      <c r="AC141" s="207"/>
      <c r="AD141" s="207"/>
      <c r="AE141" s="207"/>
      <c r="AF141" s="207"/>
    </row>
    <row r="142" spans="1:32" s="214" customFormat="1" ht="11.65" customHeight="1">
      <c r="A142" s="215"/>
      <c r="B142" s="220">
        <v>13101</v>
      </c>
      <c r="C142" s="205" t="s">
        <v>391</v>
      </c>
      <c r="D142" s="221">
        <v>0</v>
      </c>
      <c r="E142" s="221">
        <v>0</v>
      </c>
      <c r="F142" s="222">
        <f t="shared" si="2"/>
        <v>0</v>
      </c>
      <c r="G142" s="205" t="s">
        <v>310</v>
      </c>
      <c r="H142" s="219" t="s">
        <v>250</v>
      </c>
      <c r="J142" s="207">
        <v>0</v>
      </c>
      <c r="K142" s="207"/>
      <c r="L142" s="207">
        <f>IFERROR(SUMIF(data!$E:$E,科目余额表!$B142,data!H:H),0)</f>
        <v>0</v>
      </c>
      <c r="M142" s="207">
        <f>IFERROR(SUMIF(data!$E:$E,科目余额表!$B142,data!I:I),0)</f>
        <v>0</v>
      </c>
      <c r="N142" s="207">
        <f>IFERROR(SUMIF(data!$E:$E,科目余额表!$B142,data!J:J),0)</f>
        <v>0</v>
      </c>
      <c r="O142" s="207">
        <f>IFERROR(SUMIF(data!$E:$E,科目余额表!$B142,data!K:K),0)</f>
        <v>0</v>
      </c>
      <c r="P142" s="207">
        <f>IFERROR(SUMIF(data!$E:$E,科目余额表!$B142,data!L:L),0)</f>
        <v>0</v>
      </c>
      <c r="Q142" s="207">
        <f>IFERROR(SUMIF(data!$E:$E,科目余额表!$B142,data!M:M),0)</f>
        <v>0</v>
      </c>
      <c r="R142" s="207">
        <f>IFERROR(SUMIF(data!$E:$E,科目余额表!$B142,data!N:N),0)</f>
        <v>0</v>
      </c>
      <c r="S142" s="207">
        <f>IFERROR(SUMIF(data!$E:$E,科目余额表!$B142,data!O:O),0)</f>
        <v>0</v>
      </c>
      <c r="T142" s="207">
        <f>IFERROR(SUMIF(data!$E:$E,科目余额表!$B142,data!P:P),0)</f>
        <v>0</v>
      </c>
      <c r="U142" s="207">
        <f>IFERROR(SUMIF(data!$E:$E,科目余额表!$B142,data!Q:Q),0)</f>
        <v>0</v>
      </c>
      <c r="V142" s="207">
        <f>IFERROR(SUMIF(data!$E:$E,科目余额表!$B142,data!R:R),0)</f>
        <v>0</v>
      </c>
      <c r="W142" s="207">
        <f>IFERROR(SUMIF(data!$E:$E,科目余额表!$B142,data!S:S),0)</f>
        <v>0</v>
      </c>
      <c r="X142" s="207"/>
      <c r="Y142" s="207"/>
      <c r="Z142" s="207"/>
      <c r="AA142" s="207"/>
      <c r="AB142" s="207"/>
      <c r="AC142" s="207"/>
      <c r="AD142" s="207"/>
      <c r="AE142" s="207"/>
      <c r="AF142" s="207"/>
    </row>
    <row r="143" spans="1:32" s="214" customFormat="1" ht="11.65" customHeight="1">
      <c r="A143" s="215"/>
      <c r="B143" s="220">
        <v>13102</v>
      </c>
      <c r="C143" s="205" t="s">
        <v>392</v>
      </c>
      <c r="D143" s="221">
        <v>0</v>
      </c>
      <c r="E143" s="221">
        <v>0</v>
      </c>
      <c r="F143" s="222">
        <f t="shared" si="2"/>
        <v>0</v>
      </c>
      <c r="G143" s="205" t="s">
        <v>310</v>
      </c>
      <c r="H143" s="219" t="s">
        <v>250</v>
      </c>
      <c r="J143" s="207">
        <v>0</v>
      </c>
      <c r="K143" s="207"/>
      <c r="L143" s="207">
        <f>IFERROR(SUMIF(data!$E:$E,科目余额表!$B143,data!H:H),0)</f>
        <v>0</v>
      </c>
      <c r="M143" s="207">
        <f>IFERROR(SUMIF(data!$E:$E,科目余额表!$B143,data!I:I),0)</f>
        <v>0</v>
      </c>
      <c r="N143" s="207">
        <f>IFERROR(SUMIF(data!$E:$E,科目余额表!$B143,data!J:J),0)</f>
        <v>0</v>
      </c>
      <c r="O143" s="207">
        <f>IFERROR(SUMIF(data!$E:$E,科目余额表!$B143,data!K:K),0)</f>
        <v>0</v>
      </c>
      <c r="P143" s="207">
        <f>IFERROR(SUMIF(data!$E:$E,科目余额表!$B143,data!L:L),0)</f>
        <v>0</v>
      </c>
      <c r="Q143" s="207">
        <f>IFERROR(SUMIF(data!$E:$E,科目余额表!$B143,data!M:M),0)</f>
        <v>0</v>
      </c>
      <c r="R143" s="207">
        <f>IFERROR(SUMIF(data!$E:$E,科目余额表!$B143,data!N:N),0)</f>
        <v>0</v>
      </c>
      <c r="S143" s="207">
        <f>IFERROR(SUMIF(data!$E:$E,科目余额表!$B143,data!O:O),0)</f>
        <v>0</v>
      </c>
      <c r="T143" s="207">
        <f>IFERROR(SUMIF(data!$E:$E,科目余额表!$B143,data!P:P),0)</f>
        <v>0</v>
      </c>
      <c r="U143" s="207">
        <f>IFERROR(SUMIF(data!$E:$E,科目余额表!$B143,data!Q:Q),0)</f>
        <v>0</v>
      </c>
      <c r="V143" s="207">
        <f>IFERROR(SUMIF(data!$E:$E,科目余额表!$B143,data!R:R),0)</f>
        <v>0</v>
      </c>
      <c r="W143" s="207">
        <f>IFERROR(SUMIF(data!$E:$E,科目余额表!$B143,data!S:S),0)</f>
        <v>0</v>
      </c>
      <c r="X143" s="207"/>
      <c r="Y143" s="207"/>
      <c r="Z143" s="207"/>
      <c r="AA143" s="207"/>
      <c r="AB143" s="207"/>
      <c r="AC143" s="207"/>
      <c r="AD143" s="207"/>
      <c r="AE143" s="207"/>
      <c r="AF143" s="207"/>
    </row>
    <row r="144" spans="1:32" s="214" customFormat="1" ht="11.65" customHeight="1">
      <c r="A144" s="215"/>
      <c r="B144" s="220">
        <v>13103</v>
      </c>
      <c r="C144" s="205" t="s">
        <v>393</v>
      </c>
      <c r="D144" s="221">
        <v>0</v>
      </c>
      <c r="E144" s="221">
        <v>0</v>
      </c>
      <c r="F144" s="222">
        <f t="shared" si="2"/>
        <v>0</v>
      </c>
      <c r="G144" s="205" t="s">
        <v>310</v>
      </c>
      <c r="H144" s="219" t="s">
        <v>250</v>
      </c>
      <c r="J144" s="207">
        <v>0</v>
      </c>
      <c r="K144" s="207"/>
      <c r="L144" s="207">
        <f>IFERROR(SUMIF(data!$E:$E,科目余额表!$B144,data!H:H),0)</f>
        <v>0</v>
      </c>
      <c r="M144" s="207">
        <f>IFERROR(SUMIF(data!$E:$E,科目余额表!$B144,data!I:I),0)</f>
        <v>0</v>
      </c>
      <c r="N144" s="207">
        <f>IFERROR(SUMIF(data!$E:$E,科目余额表!$B144,data!J:J),0)</f>
        <v>0</v>
      </c>
      <c r="O144" s="207">
        <f>IFERROR(SUMIF(data!$E:$E,科目余额表!$B144,data!K:K),0)</f>
        <v>0</v>
      </c>
      <c r="P144" s="207">
        <f>IFERROR(SUMIF(data!$E:$E,科目余额表!$B144,data!L:L),0)</f>
        <v>0</v>
      </c>
      <c r="Q144" s="207">
        <f>IFERROR(SUMIF(data!$E:$E,科目余额表!$B144,data!M:M),0)</f>
        <v>0</v>
      </c>
      <c r="R144" s="207">
        <f>IFERROR(SUMIF(data!$E:$E,科目余额表!$B144,data!N:N),0)</f>
        <v>0</v>
      </c>
      <c r="S144" s="207">
        <f>IFERROR(SUMIF(data!$E:$E,科目余额表!$B144,data!O:O),0)</f>
        <v>0</v>
      </c>
      <c r="T144" s="207">
        <f>IFERROR(SUMIF(data!$E:$E,科目余额表!$B144,data!P:P),0)</f>
        <v>0</v>
      </c>
      <c r="U144" s="207">
        <f>IFERROR(SUMIF(data!$E:$E,科目余额表!$B144,data!Q:Q),0)</f>
        <v>0</v>
      </c>
      <c r="V144" s="207">
        <f>IFERROR(SUMIF(data!$E:$E,科目余额表!$B144,data!R:R),0)</f>
        <v>0</v>
      </c>
      <c r="W144" s="207">
        <f>IFERROR(SUMIF(data!$E:$E,科目余额表!$B144,data!S:S),0)</f>
        <v>0</v>
      </c>
      <c r="X144" s="207"/>
      <c r="Y144" s="207"/>
      <c r="Z144" s="207"/>
      <c r="AA144" s="207"/>
      <c r="AB144" s="207"/>
      <c r="AC144" s="207"/>
      <c r="AD144" s="207"/>
      <c r="AE144" s="207"/>
      <c r="AF144" s="207"/>
    </row>
    <row r="145" spans="1:32" s="214" customFormat="1" ht="11.65" customHeight="1">
      <c r="A145" s="215"/>
      <c r="B145" s="220">
        <v>13104</v>
      </c>
      <c r="C145" s="205" t="s">
        <v>394</v>
      </c>
      <c r="D145" s="221">
        <v>0</v>
      </c>
      <c r="E145" s="221">
        <v>0</v>
      </c>
      <c r="F145" s="222">
        <f t="shared" si="2"/>
        <v>0</v>
      </c>
      <c r="G145" s="205" t="s">
        <v>310</v>
      </c>
      <c r="H145" s="219" t="s">
        <v>250</v>
      </c>
      <c r="J145" s="207">
        <v>0</v>
      </c>
      <c r="K145" s="207"/>
      <c r="L145" s="207">
        <f>IFERROR(SUMIF(data!$E:$E,科目余额表!$B145,data!H:H),0)</f>
        <v>0</v>
      </c>
      <c r="M145" s="207">
        <f>IFERROR(SUMIF(data!$E:$E,科目余额表!$B145,data!I:I),0)</f>
        <v>0</v>
      </c>
      <c r="N145" s="207">
        <f>IFERROR(SUMIF(data!$E:$E,科目余额表!$B145,data!J:J),0)</f>
        <v>0</v>
      </c>
      <c r="O145" s="207">
        <f>IFERROR(SUMIF(data!$E:$E,科目余额表!$B145,data!K:K),0)</f>
        <v>0</v>
      </c>
      <c r="P145" s="207">
        <f>IFERROR(SUMIF(data!$E:$E,科目余额表!$B145,data!L:L),0)</f>
        <v>0</v>
      </c>
      <c r="Q145" s="207">
        <f>IFERROR(SUMIF(data!$E:$E,科目余额表!$B145,data!M:M),0)</f>
        <v>0</v>
      </c>
      <c r="R145" s="207">
        <f>IFERROR(SUMIF(data!$E:$E,科目余额表!$B145,data!N:N),0)</f>
        <v>0</v>
      </c>
      <c r="S145" s="207">
        <f>IFERROR(SUMIF(data!$E:$E,科目余额表!$B145,data!O:O),0)</f>
        <v>0</v>
      </c>
      <c r="T145" s="207">
        <f>IFERROR(SUMIF(data!$E:$E,科目余额表!$B145,data!P:P),0)</f>
        <v>0</v>
      </c>
      <c r="U145" s="207">
        <f>IFERROR(SUMIF(data!$E:$E,科目余额表!$B145,data!Q:Q),0)</f>
        <v>0</v>
      </c>
      <c r="V145" s="207">
        <f>IFERROR(SUMIF(data!$E:$E,科目余额表!$B145,data!R:R),0)</f>
        <v>0</v>
      </c>
      <c r="W145" s="207">
        <f>IFERROR(SUMIF(data!$E:$E,科目余额表!$B145,data!S:S),0)</f>
        <v>0</v>
      </c>
      <c r="X145" s="207"/>
      <c r="Y145" s="207"/>
      <c r="Z145" s="207"/>
      <c r="AA145" s="207"/>
      <c r="AB145" s="207"/>
      <c r="AC145" s="207"/>
      <c r="AD145" s="207"/>
      <c r="AE145" s="207"/>
      <c r="AF145" s="207"/>
    </row>
    <row r="146" spans="1:32" s="214" customFormat="1" ht="11.65" customHeight="1">
      <c r="A146" s="215"/>
      <c r="B146" s="220">
        <v>13105</v>
      </c>
      <c r="C146" s="205" t="s">
        <v>395</v>
      </c>
      <c r="D146" s="221">
        <v>0</v>
      </c>
      <c r="E146" s="221">
        <v>0</v>
      </c>
      <c r="F146" s="222">
        <f t="shared" si="2"/>
        <v>0</v>
      </c>
      <c r="G146" s="205" t="s">
        <v>310</v>
      </c>
      <c r="H146" s="219" t="s">
        <v>250</v>
      </c>
      <c r="J146" s="207">
        <v>0</v>
      </c>
      <c r="K146" s="207"/>
      <c r="L146" s="207">
        <f>IFERROR(SUMIF(data!$E:$E,科目余额表!$B146,data!H:H),0)</f>
        <v>0</v>
      </c>
      <c r="M146" s="207">
        <f>IFERROR(SUMIF(data!$E:$E,科目余额表!$B146,data!I:I),0)</f>
        <v>0</v>
      </c>
      <c r="N146" s="207">
        <f>IFERROR(SUMIF(data!$E:$E,科目余额表!$B146,data!J:J),0)</f>
        <v>0</v>
      </c>
      <c r="O146" s="207">
        <f>IFERROR(SUMIF(data!$E:$E,科目余额表!$B146,data!K:K),0)</f>
        <v>0</v>
      </c>
      <c r="P146" s="207">
        <f>IFERROR(SUMIF(data!$E:$E,科目余额表!$B146,data!L:L),0)</f>
        <v>0</v>
      </c>
      <c r="Q146" s="207">
        <f>IFERROR(SUMIF(data!$E:$E,科目余额表!$B146,data!M:M),0)</f>
        <v>0</v>
      </c>
      <c r="R146" s="207">
        <f>IFERROR(SUMIF(data!$E:$E,科目余额表!$B146,data!N:N),0)</f>
        <v>0</v>
      </c>
      <c r="S146" s="207">
        <f>IFERROR(SUMIF(data!$E:$E,科目余额表!$B146,data!O:O),0)</f>
        <v>0</v>
      </c>
      <c r="T146" s="207">
        <f>IFERROR(SUMIF(data!$E:$E,科目余额表!$B146,data!P:P),0)</f>
        <v>0</v>
      </c>
      <c r="U146" s="207">
        <f>IFERROR(SUMIF(data!$E:$E,科目余额表!$B146,data!Q:Q),0)</f>
        <v>0</v>
      </c>
      <c r="V146" s="207">
        <f>IFERROR(SUMIF(data!$E:$E,科目余额表!$B146,data!R:R),0)</f>
        <v>0</v>
      </c>
      <c r="W146" s="207">
        <f>IFERROR(SUMIF(data!$E:$E,科目余额表!$B146,data!S:S),0)</f>
        <v>0</v>
      </c>
      <c r="X146" s="207"/>
      <c r="Y146" s="207"/>
      <c r="Z146" s="207"/>
      <c r="AA146" s="207"/>
      <c r="AB146" s="207"/>
      <c r="AC146" s="207"/>
      <c r="AD146" s="207"/>
      <c r="AE146" s="207"/>
      <c r="AF146" s="207"/>
    </row>
    <row r="147" spans="1:32" s="214" customFormat="1" ht="11.65" customHeight="1">
      <c r="A147" s="215"/>
      <c r="B147" s="220">
        <v>13106</v>
      </c>
      <c r="C147" s="205" t="s">
        <v>396</v>
      </c>
      <c r="D147" s="221">
        <v>0</v>
      </c>
      <c r="E147" s="221">
        <v>0</v>
      </c>
      <c r="F147" s="222">
        <f t="shared" si="2"/>
        <v>0</v>
      </c>
      <c r="G147" s="205" t="s">
        <v>310</v>
      </c>
      <c r="H147" s="219" t="s">
        <v>250</v>
      </c>
      <c r="J147" s="207">
        <v>0</v>
      </c>
      <c r="K147" s="207"/>
      <c r="L147" s="207">
        <f>IFERROR(SUMIF(data!$E:$E,科目余额表!$B147,data!H:H),0)</f>
        <v>0</v>
      </c>
      <c r="M147" s="207">
        <f>IFERROR(SUMIF(data!$E:$E,科目余额表!$B147,data!I:I),0)</f>
        <v>0</v>
      </c>
      <c r="N147" s="207">
        <f>IFERROR(SUMIF(data!$E:$E,科目余额表!$B147,data!J:J),0)</f>
        <v>0</v>
      </c>
      <c r="O147" s="207">
        <f>IFERROR(SUMIF(data!$E:$E,科目余额表!$B147,data!K:K),0)</f>
        <v>0</v>
      </c>
      <c r="P147" s="207">
        <f>IFERROR(SUMIF(data!$E:$E,科目余额表!$B147,data!L:L),0)</f>
        <v>0</v>
      </c>
      <c r="Q147" s="207">
        <f>IFERROR(SUMIF(data!$E:$E,科目余额表!$B147,data!M:M),0)</f>
        <v>0</v>
      </c>
      <c r="R147" s="207">
        <f>IFERROR(SUMIF(data!$E:$E,科目余额表!$B147,data!N:N),0)</f>
        <v>0</v>
      </c>
      <c r="S147" s="207">
        <f>IFERROR(SUMIF(data!$E:$E,科目余额表!$B147,data!O:O),0)</f>
        <v>0</v>
      </c>
      <c r="T147" s="207">
        <f>IFERROR(SUMIF(data!$E:$E,科目余额表!$B147,data!P:P),0)</f>
        <v>0</v>
      </c>
      <c r="U147" s="207">
        <f>IFERROR(SUMIF(data!$E:$E,科目余额表!$B147,data!Q:Q),0)</f>
        <v>0</v>
      </c>
      <c r="V147" s="207">
        <f>IFERROR(SUMIF(data!$E:$E,科目余额表!$B147,data!R:R),0)</f>
        <v>0</v>
      </c>
      <c r="W147" s="207">
        <f>IFERROR(SUMIF(data!$E:$E,科目余额表!$B147,data!S:S),0)</f>
        <v>0</v>
      </c>
      <c r="X147" s="207"/>
      <c r="Y147" s="207"/>
      <c r="Z147" s="207"/>
      <c r="AA147" s="207"/>
      <c r="AB147" s="207"/>
      <c r="AC147" s="207"/>
      <c r="AD147" s="207"/>
      <c r="AE147" s="207"/>
      <c r="AF147" s="207"/>
    </row>
    <row r="148" spans="1:32" s="214" customFormat="1" ht="11.65" customHeight="1">
      <c r="A148" s="215"/>
      <c r="B148" s="220">
        <v>13107</v>
      </c>
      <c r="C148" s="205" t="s">
        <v>397</v>
      </c>
      <c r="D148" s="221">
        <v>0</v>
      </c>
      <c r="E148" s="221">
        <v>0</v>
      </c>
      <c r="F148" s="222">
        <f t="shared" si="2"/>
        <v>0</v>
      </c>
      <c r="G148" s="205" t="s">
        <v>310</v>
      </c>
      <c r="H148" s="219" t="s">
        <v>250</v>
      </c>
      <c r="J148" s="207">
        <v>0</v>
      </c>
      <c r="K148" s="207"/>
      <c r="L148" s="207">
        <f>IFERROR(SUMIF(data!$E:$E,科目余额表!$B148,data!H:H),0)</f>
        <v>0</v>
      </c>
      <c r="M148" s="207">
        <f>IFERROR(SUMIF(data!$E:$E,科目余额表!$B148,data!I:I),0)</f>
        <v>0</v>
      </c>
      <c r="N148" s="207">
        <f>IFERROR(SUMIF(data!$E:$E,科目余额表!$B148,data!J:J),0)</f>
        <v>0</v>
      </c>
      <c r="O148" s="207">
        <f>IFERROR(SUMIF(data!$E:$E,科目余额表!$B148,data!K:K),0)</f>
        <v>0</v>
      </c>
      <c r="P148" s="207">
        <f>IFERROR(SUMIF(data!$E:$E,科目余额表!$B148,data!L:L),0)</f>
        <v>0</v>
      </c>
      <c r="Q148" s="207">
        <f>IFERROR(SUMIF(data!$E:$E,科目余额表!$B148,data!M:M),0)</f>
        <v>0</v>
      </c>
      <c r="R148" s="207">
        <f>IFERROR(SUMIF(data!$E:$E,科目余额表!$B148,data!N:N),0)</f>
        <v>0</v>
      </c>
      <c r="S148" s="207">
        <f>IFERROR(SUMIF(data!$E:$E,科目余额表!$B148,data!O:O),0)</f>
        <v>0</v>
      </c>
      <c r="T148" s="207">
        <f>IFERROR(SUMIF(data!$E:$E,科目余额表!$B148,data!P:P),0)</f>
        <v>0</v>
      </c>
      <c r="U148" s="207">
        <f>IFERROR(SUMIF(data!$E:$E,科目余额表!$B148,data!Q:Q),0)</f>
        <v>0</v>
      </c>
      <c r="V148" s="207">
        <f>IFERROR(SUMIF(data!$E:$E,科目余额表!$B148,data!R:R),0)</f>
        <v>0</v>
      </c>
      <c r="W148" s="207">
        <f>IFERROR(SUMIF(data!$E:$E,科目余额表!$B148,data!S:S),0)</f>
        <v>0</v>
      </c>
      <c r="X148" s="207"/>
      <c r="Y148" s="207"/>
      <c r="Z148" s="207"/>
      <c r="AA148" s="207"/>
      <c r="AB148" s="207"/>
      <c r="AC148" s="207"/>
      <c r="AD148" s="207"/>
      <c r="AE148" s="207"/>
      <c r="AF148" s="207"/>
    </row>
    <row r="149" spans="1:32" s="214" customFormat="1" ht="11.65" customHeight="1">
      <c r="A149" s="215"/>
      <c r="B149" s="220">
        <v>13108</v>
      </c>
      <c r="C149" s="205" t="s">
        <v>398</v>
      </c>
      <c r="D149" s="221">
        <v>0</v>
      </c>
      <c r="E149" s="221">
        <v>0</v>
      </c>
      <c r="F149" s="222">
        <f t="shared" si="2"/>
        <v>0</v>
      </c>
      <c r="G149" s="205" t="s">
        <v>310</v>
      </c>
      <c r="H149" s="219" t="s">
        <v>250</v>
      </c>
      <c r="J149" s="207">
        <v>0</v>
      </c>
      <c r="K149" s="207"/>
      <c r="L149" s="207">
        <f>IFERROR(SUMIF(data!$E:$E,科目余额表!$B149,data!H:H),0)</f>
        <v>0</v>
      </c>
      <c r="M149" s="207">
        <f>IFERROR(SUMIF(data!$E:$E,科目余额表!$B149,data!I:I),0)</f>
        <v>0</v>
      </c>
      <c r="N149" s="207">
        <f>IFERROR(SUMIF(data!$E:$E,科目余额表!$B149,data!J:J),0)</f>
        <v>0</v>
      </c>
      <c r="O149" s="207">
        <f>IFERROR(SUMIF(data!$E:$E,科目余额表!$B149,data!K:K),0)</f>
        <v>0</v>
      </c>
      <c r="P149" s="207">
        <f>IFERROR(SUMIF(data!$E:$E,科目余额表!$B149,data!L:L),0)</f>
        <v>0</v>
      </c>
      <c r="Q149" s="207">
        <f>IFERROR(SUMIF(data!$E:$E,科目余额表!$B149,data!M:M),0)</f>
        <v>0</v>
      </c>
      <c r="R149" s="207">
        <f>IFERROR(SUMIF(data!$E:$E,科目余额表!$B149,data!N:N),0)</f>
        <v>0</v>
      </c>
      <c r="S149" s="207">
        <f>IFERROR(SUMIF(data!$E:$E,科目余额表!$B149,data!O:O),0)</f>
        <v>0</v>
      </c>
      <c r="T149" s="207">
        <f>IFERROR(SUMIF(data!$E:$E,科目余额表!$B149,data!P:P),0)</f>
        <v>0</v>
      </c>
      <c r="U149" s="207">
        <f>IFERROR(SUMIF(data!$E:$E,科目余额表!$B149,data!Q:Q),0)</f>
        <v>0</v>
      </c>
      <c r="V149" s="207">
        <f>IFERROR(SUMIF(data!$E:$E,科目余额表!$B149,data!R:R),0)</f>
        <v>0</v>
      </c>
      <c r="W149" s="207">
        <f>IFERROR(SUMIF(data!$E:$E,科目余额表!$B149,data!S:S),0)</f>
        <v>0</v>
      </c>
      <c r="X149" s="207"/>
      <c r="Y149" s="207"/>
      <c r="Z149" s="207"/>
      <c r="AA149" s="207"/>
      <c r="AB149" s="207"/>
      <c r="AC149" s="207"/>
      <c r="AD149" s="207"/>
      <c r="AE149" s="207"/>
      <c r="AF149" s="207"/>
    </row>
    <row r="150" spans="1:32" s="214" customFormat="1" ht="11.65" customHeight="1">
      <c r="A150" s="215"/>
      <c r="B150" s="220">
        <v>13109</v>
      </c>
      <c r="C150" s="205" t="s">
        <v>399</v>
      </c>
      <c r="D150" s="221">
        <v>0</v>
      </c>
      <c r="E150" s="221">
        <v>0</v>
      </c>
      <c r="F150" s="222">
        <f t="shared" si="2"/>
        <v>0</v>
      </c>
      <c r="G150" s="205" t="s">
        <v>310</v>
      </c>
      <c r="H150" s="219" t="s">
        <v>250</v>
      </c>
      <c r="J150" s="207">
        <v>0</v>
      </c>
      <c r="K150" s="207"/>
      <c r="L150" s="207">
        <f>IFERROR(SUMIF(data!$E:$E,科目余额表!$B150,data!H:H),0)</f>
        <v>0</v>
      </c>
      <c r="M150" s="207">
        <f>IFERROR(SUMIF(data!$E:$E,科目余额表!$B150,data!I:I),0)</f>
        <v>0</v>
      </c>
      <c r="N150" s="207">
        <f>IFERROR(SUMIF(data!$E:$E,科目余额表!$B150,data!J:J),0)</f>
        <v>0</v>
      </c>
      <c r="O150" s="207">
        <f>IFERROR(SUMIF(data!$E:$E,科目余额表!$B150,data!K:K),0)</f>
        <v>0</v>
      </c>
      <c r="P150" s="207">
        <f>IFERROR(SUMIF(data!$E:$E,科目余额表!$B150,data!L:L),0)</f>
        <v>0</v>
      </c>
      <c r="Q150" s="207">
        <f>IFERROR(SUMIF(data!$E:$E,科目余额表!$B150,data!M:M),0)</f>
        <v>0</v>
      </c>
      <c r="R150" s="207">
        <f>IFERROR(SUMIF(data!$E:$E,科目余额表!$B150,data!N:N),0)</f>
        <v>0</v>
      </c>
      <c r="S150" s="207">
        <f>IFERROR(SUMIF(data!$E:$E,科目余额表!$B150,data!O:O),0)</f>
        <v>0</v>
      </c>
      <c r="T150" s="207">
        <f>IFERROR(SUMIF(data!$E:$E,科目余额表!$B150,data!P:P),0)</f>
        <v>0</v>
      </c>
      <c r="U150" s="207">
        <f>IFERROR(SUMIF(data!$E:$E,科目余额表!$B150,data!Q:Q),0)</f>
        <v>0</v>
      </c>
      <c r="V150" s="207">
        <f>IFERROR(SUMIF(data!$E:$E,科目余额表!$B150,data!R:R),0)</f>
        <v>0</v>
      </c>
      <c r="W150" s="207">
        <f>IFERROR(SUMIF(data!$E:$E,科目余额表!$B150,data!S:S),0)</f>
        <v>0</v>
      </c>
      <c r="X150" s="207"/>
      <c r="Y150" s="207"/>
      <c r="Z150" s="207"/>
      <c r="AA150" s="207"/>
      <c r="AB150" s="207"/>
      <c r="AC150" s="207"/>
      <c r="AD150" s="207"/>
      <c r="AE150" s="207"/>
      <c r="AF150" s="207"/>
    </row>
    <row r="151" spans="1:32" s="214" customFormat="1" ht="11.65" customHeight="1">
      <c r="A151" s="215"/>
      <c r="B151" s="220">
        <v>13110</v>
      </c>
      <c r="C151" s="205" t="s">
        <v>400</v>
      </c>
      <c r="D151" s="221">
        <v>0</v>
      </c>
      <c r="E151" s="221">
        <v>0</v>
      </c>
      <c r="F151" s="222">
        <f t="shared" si="2"/>
        <v>0</v>
      </c>
      <c r="G151" s="205" t="s">
        <v>310</v>
      </c>
      <c r="H151" s="219" t="s">
        <v>250</v>
      </c>
      <c r="J151" s="207">
        <v>0</v>
      </c>
      <c r="K151" s="207"/>
      <c r="L151" s="207">
        <f>IFERROR(SUMIF(data!$E:$E,科目余额表!$B151,data!H:H),0)</f>
        <v>0</v>
      </c>
      <c r="M151" s="207">
        <f>IFERROR(SUMIF(data!$E:$E,科目余额表!$B151,data!I:I),0)</f>
        <v>0</v>
      </c>
      <c r="N151" s="207">
        <f>IFERROR(SUMIF(data!$E:$E,科目余额表!$B151,data!J:J),0)</f>
        <v>0</v>
      </c>
      <c r="O151" s="207">
        <f>IFERROR(SUMIF(data!$E:$E,科目余额表!$B151,data!K:K),0)</f>
        <v>0</v>
      </c>
      <c r="P151" s="207">
        <f>IFERROR(SUMIF(data!$E:$E,科目余额表!$B151,data!L:L),0)</f>
        <v>0</v>
      </c>
      <c r="Q151" s="207">
        <f>IFERROR(SUMIF(data!$E:$E,科目余额表!$B151,data!M:M),0)</f>
        <v>0</v>
      </c>
      <c r="R151" s="207">
        <f>IFERROR(SUMIF(data!$E:$E,科目余额表!$B151,data!N:N),0)</f>
        <v>0</v>
      </c>
      <c r="S151" s="207">
        <f>IFERROR(SUMIF(data!$E:$E,科目余额表!$B151,data!O:O),0)</f>
        <v>0</v>
      </c>
      <c r="T151" s="207">
        <f>IFERROR(SUMIF(data!$E:$E,科目余额表!$B151,data!P:P),0)</f>
        <v>0</v>
      </c>
      <c r="U151" s="207">
        <f>IFERROR(SUMIF(data!$E:$E,科目余额表!$B151,data!Q:Q),0)</f>
        <v>0</v>
      </c>
      <c r="V151" s="207">
        <f>IFERROR(SUMIF(data!$E:$E,科目余额表!$B151,data!R:R),0)</f>
        <v>0</v>
      </c>
      <c r="W151" s="207">
        <f>IFERROR(SUMIF(data!$E:$E,科目余额表!$B151,data!S:S),0)</f>
        <v>0</v>
      </c>
      <c r="X151" s="207"/>
      <c r="Y151" s="207"/>
      <c r="Z151" s="207"/>
      <c r="AA151" s="207"/>
      <c r="AB151" s="207"/>
      <c r="AC151" s="207"/>
      <c r="AD151" s="207"/>
      <c r="AE151" s="207"/>
      <c r="AF151" s="207"/>
    </row>
    <row r="152" spans="1:32" s="214" customFormat="1" ht="11.65" customHeight="1">
      <c r="A152" s="215"/>
      <c r="B152" s="220">
        <v>13111</v>
      </c>
      <c r="C152" s="205" t="s">
        <v>401</v>
      </c>
      <c r="D152" s="221">
        <v>0</v>
      </c>
      <c r="E152" s="221">
        <v>0</v>
      </c>
      <c r="F152" s="222">
        <f t="shared" si="2"/>
        <v>0</v>
      </c>
      <c r="G152" s="205" t="s">
        <v>310</v>
      </c>
      <c r="H152" s="219" t="s">
        <v>250</v>
      </c>
      <c r="J152" s="207">
        <v>0</v>
      </c>
      <c r="K152" s="207"/>
      <c r="L152" s="207">
        <f>IFERROR(SUMIF(data!$E:$E,科目余额表!$B152,data!H:H),0)</f>
        <v>0</v>
      </c>
      <c r="M152" s="207">
        <f>IFERROR(SUMIF(data!$E:$E,科目余额表!$B152,data!I:I),0)</f>
        <v>0</v>
      </c>
      <c r="N152" s="207">
        <f>IFERROR(SUMIF(data!$E:$E,科目余额表!$B152,data!J:J),0)</f>
        <v>0</v>
      </c>
      <c r="O152" s="207">
        <f>IFERROR(SUMIF(data!$E:$E,科目余额表!$B152,data!K:K),0)</f>
        <v>0</v>
      </c>
      <c r="P152" s="207">
        <f>IFERROR(SUMIF(data!$E:$E,科目余额表!$B152,data!L:L),0)</f>
        <v>0</v>
      </c>
      <c r="Q152" s="207">
        <f>IFERROR(SUMIF(data!$E:$E,科目余额表!$B152,data!M:M),0)</f>
        <v>0</v>
      </c>
      <c r="R152" s="207">
        <f>IFERROR(SUMIF(data!$E:$E,科目余额表!$B152,data!N:N),0)</f>
        <v>0</v>
      </c>
      <c r="S152" s="207">
        <f>IFERROR(SUMIF(data!$E:$E,科目余额表!$B152,data!O:O),0)</f>
        <v>0</v>
      </c>
      <c r="T152" s="207">
        <f>IFERROR(SUMIF(data!$E:$E,科目余额表!$B152,data!P:P),0)</f>
        <v>0</v>
      </c>
      <c r="U152" s="207">
        <f>IFERROR(SUMIF(data!$E:$E,科目余额表!$B152,data!Q:Q),0)</f>
        <v>0</v>
      </c>
      <c r="V152" s="207">
        <f>IFERROR(SUMIF(data!$E:$E,科目余额表!$B152,data!R:R),0)</f>
        <v>0</v>
      </c>
      <c r="W152" s="207">
        <f>IFERROR(SUMIF(data!$E:$E,科目余额表!$B152,data!S:S),0)</f>
        <v>0</v>
      </c>
      <c r="X152" s="207"/>
      <c r="Y152" s="207"/>
      <c r="Z152" s="207"/>
      <c r="AA152" s="207"/>
      <c r="AB152" s="207"/>
      <c r="AC152" s="207"/>
      <c r="AD152" s="207"/>
      <c r="AE152" s="207"/>
      <c r="AF152" s="207"/>
    </row>
    <row r="153" spans="1:32" s="214" customFormat="1" ht="11.65" customHeight="1">
      <c r="A153" s="215"/>
      <c r="B153" s="220">
        <v>13112</v>
      </c>
      <c r="C153" s="205" t="s">
        <v>402</v>
      </c>
      <c r="D153" s="221">
        <v>0</v>
      </c>
      <c r="E153" s="221">
        <v>0</v>
      </c>
      <c r="F153" s="222">
        <f t="shared" si="2"/>
        <v>0</v>
      </c>
      <c r="G153" s="205" t="s">
        <v>310</v>
      </c>
      <c r="H153" s="219" t="s">
        <v>250</v>
      </c>
      <c r="J153" s="207">
        <v>0</v>
      </c>
      <c r="K153" s="207"/>
      <c r="L153" s="207">
        <f>IFERROR(SUMIF(data!$E:$E,科目余额表!$B153,data!H:H),0)</f>
        <v>0</v>
      </c>
      <c r="M153" s="207">
        <f>IFERROR(SUMIF(data!$E:$E,科目余额表!$B153,data!I:I),0)</f>
        <v>0</v>
      </c>
      <c r="N153" s="207">
        <f>IFERROR(SUMIF(data!$E:$E,科目余额表!$B153,data!J:J),0)</f>
        <v>0</v>
      </c>
      <c r="O153" s="207">
        <f>IFERROR(SUMIF(data!$E:$E,科目余额表!$B153,data!K:K),0)</f>
        <v>0</v>
      </c>
      <c r="P153" s="207">
        <f>IFERROR(SUMIF(data!$E:$E,科目余额表!$B153,data!L:L),0)</f>
        <v>0</v>
      </c>
      <c r="Q153" s="207">
        <f>IFERROR(SUMIF(data!$E:$E,科目余额表!$B153,data!M:M),0)</f>
        <v>0</v>
      </c>
      <c r="R153" s="207">
        <f>IFERROR(SUMIF(data!$E:$E,科目余额表!$B153,data!N:N),0)</f>
        <v>0</v>
      </c>
      <c r="S153" s="207">
        <f>IFERROR(SUMIF(data!$E:$E,科目余额表!$B153,data!O:O),0)</f>
        <v>0</v>
      </c>
      <c r="T153" s="207">
        <f>IFERROR(SUMIF(data!$E:$E,科目余额表!$B153,data!P:P),0)</f>
        <v>0</v>
      </c>
      <c r="U153" s="207">
        <f>IFERROR(SUMIF(data!$E:$E,科目余额表!$B153,data!Q:Q),0)</f>
        <v>0</v>
      </c>
      <c r="V153" s="207">
        <f>IFERROR(SUMIF(data!$E:$E,科目余额表!$B153,data!R:R),0)</f>
        <v>0</v>
      </c>
      <c r="W153" s="207">
        <f>IFERROR(SUMIF(data!$E:$E,科目余额表!$B153,data!S:S),0)</f>
        <v>0</v>
      </c>
      <c r="X153" s="207"/>
      <c r="Y153" s="207"/>
      <c r="Z153" s="207"/>
      <c r="AA153" s="207"/>
      <c r="AB153" s="207"/>
      <c r="AC153" s="207"/>
      <c r="AD153" s="207"/>
      <c r="AE153" s="207"/>
      <c r="AF153" s="207"/>
    </row>
    <row r="154" spans="1:32" s="214" customFormat="1" ht="11.65" customHeight="1">
      <c r="A154" s="215"/>
      <c r="B154" s="220">
        <v>13113</v>
      </c>
      <c r="C154" s="205" t="s">
        <v>403</v>
      </c>
      <c r="D154" s="221">
        <v>0</v>
      </c>
      <c r="E154" s="221">
        <v>0</v>
      </c>
      <c r="F154" s="222">
        <f t="shared" si="2"/>
        <v>0</v>
      </c>
      <c r="G154" s="205" t="s">
        <v>310</v>
      </c>
      <c r="H154" s="219" t="s">
        <v>250</v>
      </c>
      <c r="J154" s="207">
        <v>0</v>
      </c>
      <c r="K154" s="207"/>
      <c r="L154" s="207">
        <f>IFERROR(SUMIF(data!$E:$E,科目余额表!$B154,data!H:H),0)</f>
        <v>0</v>
      </c>
      <c r="M154" s="207">
        <f>IFERROR(SUMIF(data!$E:$E,科目余额表!$B154,data!I:I),0)</f>
        <v>0</v>
      </c>
      <c r="N154" s="207">
        <f>IFERROR(SUMIF(data!$E:$E,科目余额表!$B154,data!J:J),0)</f>
        <v>0</v>
      </c>
      <c r="O154" s="207">
        <f>IFERROR(SUMIF(data!$E:$E,科目余额表!$B154,data!K:K),0)</f>
        <v>0</v>
      </c>
      <c r="P154" s="207">
        <f>IFERROR(SUMIF(data!$E:$E,科目余额表!$B154,data!L:L),0)</f>
        <v>0</v>
      </c>
      <c r="Q154" s="207">
        <f>IFERROR(SUMIF(data!$E:$E,科目余额表!$B154,data!M:M),0)</f>
        <v>0</v>
      </c>
      <c r="R154" s="207">
        <f>IFERROR(SUMIF(data!$E:$E,科目余额表!$B154,data!N:N),0)</f>
        <v>0</v>
      </c>
      <c r="S154" s="207">
        <f>IFERROR(SUMIF(data!$E:$E,科目余额表!$B154,data!O:O),0)</f>
        <v>0</v>
      </c>
      <c r="T154" s="207">
        <f>IFERROR(SUMIF(data!$E:$E,科目余额表!$B154,data!P:P),0)</f>
        <v>0</v>
      </c>
      <c r="U154" s="207">
        <f>IFERROR(SUMIF(data!$E:$E,科目余额表!$B154,data!Q:Q),0)</f>
        <v>0</v>
      </c>
      <c r="V154" s="207">
        <f>IFERROR(SUMIF(data!$E:$E,科目余额表!$B154,data!R:R),0)</f>
        <v>0</v>
      </c>
      <c r="W154" s="207">
        <f>IFERROR(SUMIF(data!$E:$E,科目余额表!$B154,data!S:S),0)</f>
        <v>0</v>
      </c>
      <c r="X154" s="207"/>
      <c r="Y154" s="207"/>
      <c r="Z154" s="207"/>
      <c r="AA154" s="207"/>
      <c r="AB154" s="207"/>
      <c r="AC154" s="207"/>
      <c r="AD154" s="207"/>
      <c r="AE154" s="207"/>
      <c r="AF154" s="207"/>
    </row>
    <row r="155" spans="1:32" s="214" customFormat="1" ht="11.65" customHeight="1">
      <c r="A155" s="215"/>
      <c r="B155" s="220">
        <v>13114</v>
      </c>
      <c r="C155" s="205" t="s">
        <v>404</v>
      </c>
      <c r="D155" s="221">
        <v>0</v>
      </c>
      <c r="E155" s="221">
        <v>0</v>
      </c>
      <c r="F155" s="222">
        <f t="shared" si="2"/>
        <v>0</v>
      </c>
      <c r="G155" s="205" t="s">
        <v>310</v>
      </c>
      <c r="H155" s="219" t="s">
        <v>250</v>
      </c>
      <c r="J155" s="207">
        <v>0</v>
      </c>
      <c r="K155" s="207"/>
      <c r="L155" s="207">
        <f>IFERROR(SUMIF(data!$E:$E,科目余额表!$B155,data!H:H),0)</f>
        <v>0</v>
      </c>
      <c r="M155" s="207">
        <f>IFERROR(SUMIF(data!$E:$E,科目余额表!$B155,data!I:I),0)</f>
        <v>0</v>
      </c>
      <c r="N155" s="207">
        <f>IFERROR(SUMIF(data!$E:$E,科目余额表!$B155,data!J:J),0)</f>
        <v>0</v>
      </c>
      <c r="O155" s="207">
        <f>IFERROR(SUMIF(data!$E:$E,科目余额表!$B155,data!K:K),0)</f>
        <v>0</v>
      </c>
      <c r="P155" s="207">
        <f>IFERROR(SUMIF(data!$E:$E,科目余额表!$B155,data!L:L),0)</f>
        <v>0</v>
      </c>
      <c r="Q155" s="207">
        <f>IFERROR(SUMIF(data!$E:$E,科目余额表!$B155,data!M:M),0)</f>
        <v>0</v>
      </c>
      <c r="R155" s="207">
        <f>IFERROR(SUMIF(data!$E:$E,科目余额表!$B155,data!N:N),0)</f>
        <v>0</v>
      </c>
      <c r="S155" s="207">
        <f>IFERROR(SUMIF(data!$E:$E,科目余额表!$B155,data!O:O),0)</f>
        <v>0</v>
      </c>
      <c r="T155" s="207">
        <f>IFERROR(SUMIF(data!$E:$E,科目余额表!$B155,data!P:P),0)</f>
        <v>0</v>
      </c>
      <c r="U155" s="207">
        <f>IFERROR(SUMIF(data!$E:$E,科目余额表!$B155,data!Q:Q),0)</f>
        <v>0</v>
      </c>
      <c r="V155" s="207">
        <f>IFERROR(SUMIF(data!$E:$E,科目余额表!$B155,data!R:R),0)</f>
        <v>0</v>
      </c>
      <c r="W155" s="207">
        <f>IFERROR(SUMIF(data!$E:$E,科目余额表!$B155,data!S:S),0)</f>
        <v>0</v>
      </c>
      <c r="X155" s="207"/>
      <c r="Y155" s="207"/>
      <c r="Z155" s="207"/>
      <c r="AA155" s="207"/>
      <c r="AB155" s="207"/>
      <c r="AC155" s="207"/>
      <c r="AD155" s="207"/>
      <c r="AE155" s="207"/>
      <c r="AF155" s="207"/>
    </row>
    <row r="156" spans="1:32" s="214" customFormat="1" ht="11.65" customHeight="1">
      <c r="A156" s="215"/>
      <c r="B156" s="220">
        <v>13115</v>
      </c>
      <c r="C156" s="205" t="s">
        <v>405</v>
      </c>
      <c r="D156" s="221">
        <v>0</v>
      </c>
      <c r="E156" s="221">
        <v>0</v>
      </c>
      <c r="F156" s="222">
        <f t="shared" si="2"/>
        <v>0</v>
      </c>
      <c r="G156" s="205" t="s">
        <v>310</v>
      </c>
      <c r="H156" s="219" t="s">
        <v>250</v>
      </c>
      <c r="J156" s="207">
        <v>0</v>
      </c>
      <c r="K156" s="207"/>
      <c r="L156" s="207">
        <f>IFERROR(SUMIF(data!$E:$E,科目余额表!$B156,data!H:H),0)</f>
        <v>0</v>
      </c>
      <c r="M156" s="207">
        <f>IFERROR(SUMIF(data!$E:$E,科目余额表!$B156,data!I:I),0)</f>
        <v>0</v>
      </c>
      <c r="N156" s="207">
        <f>IFERROR(SUMIF(data!$E:$E,科目余额表!$B156,data!J:J),0)</f>
        <v>0</v>
      </c>
      <c r="O156" s="207">
        <f>IFERROR(SUMIF(data!$E:$E,科目余额表!$B156,data!K:K),0)</f>
        <v>0</v>
      </c>
      <c r="P156" s="207">
        <f>IFERROR(SUMIF(data!$E:$E,科目余额表!$B156,data!L:L),0)</f>
        <v>0</v>
      </c>
      <c r="Q156" s="207">
        <f>IFERROR(SUMIF(data!$E:$E,科目余额表!$B156,data!M:M),0)</f>
        <v>0</v>
      </c>
      <c r="R156" s="207">
        <f>IFERROR(SUMIF(data!$E:$E,科目余额表!$B156,data!N:N),0)</f>
        <v>0</v>
      </c>
      <c r="S156" s="207">
        <f>IFERROR(SUMIF(data!$E:$E,科目余额表!$B156,data!O:O),0)</f>
        <v>0</v>
      </c>
      <c r="T156" s="207">
        <f>IFERROR(SUMIF(data!$E:$E,科目余额表!$B156,data!P:P),0)</f>
        <v>0</v>
      </c>
      <c r="U156" s="207">
        <f>IFERROR(SUMIF(data!$E:$E,科目余额表!$B156,data!Q:Q),0)</f>
        <v>0</v>
      </c>
      <c r="V156" s="207">
        <f>IFERROR(SUMIF(data!$E:$E,科目余额表!$B156,data!R:R),0)</f>
        <v>0</v>
      </c>
      <c r="W156" s="207">
        <f>IFERROR(SUMIF(data!$E:$E,科目余额表!$B156,data!S:S),0)</f>
        <v>0</v>
      </c>
      <c r="X156" s="207"/>
      <c r="Y156" s="207"/>
      <c r="Z156" s="207"/>
      <c r="AA156" s="207"/>
      <c r="AB156" s="207"/>
      <c r="AC156" s="207"/>
      <c r="AD156" s="207"/>
      <c r="AE156" s="207"/>
      <c r="AF156" s="207"/>
    </row>
    <row r="157" spans="1:32" s="214" customFormat="1" ht="11.65" customHeight="1">
      <c r="A157" s="215"/>
      <c r="B157" s="220">
        <v>13116</v>
      </c>
      <c r="C157" s="205" t="s">
        <v>406</v>
      </c>
      <c r="D157" s="221">
        <v>0</v>
      </c>
      <c r="E157" s="221">
        <v>0</v>
      </c>
      <c r="F157" s="222">
        <f t="shared" si="2"/>
        <v>0</v>
      </c>
      <c r="G157" s="205" t="s">
        <v>310</v>
      </c>
      <c r="H157" s="219" t="s">
        <v>250</v>
      </c>
      <c r="J157" s="207">
        <v>0</v>
      </c>
      <c r="K157" s="207"/>
      <c r="L157" s="207">
        <f>IFERROR(SUMIF(data!$E:$E,科目余额表!$B157,data!H:H),0)</f>
        <v>0</v>
      </c>
      <c r="M157" s="207">
        <f>IFERROR(SUMIF(data!$E:$E,科目余额表!$B157,data!I:I),0)</f>
        <v>0</v>
      </c>
      <c r="N157" s="207">
        <f>IFERROR(SUMIF(data!$E:$E,科目余额表!$B157,data!J:J),0)</f>
        <v>0</v>
      </c>
      <c r="O157" s="207">
        <f>IFERROR(SUMIF(data!$E:$E,科目余额表!$B157,data!K:K),0)</f>
        <v>0</v>
      </c>
      <c r="P157" s="207">
        <f>IFERROR(SUMIF(data!$E:$E,科目余额表!$B157,data!L:L),0)</f>
        <v>0</v>
      </c>
      <c r="Q157" s="207">
        <f>IFERROR(SUMIF(data!$E:$E,科目余额表!$B157,data!M:M),0)</f>
        <v>0</v>
      </c>
      <c r="R157" s="207">
        <f>IFERROR(SUMIF(data!$E:$E,科目余额表!$B157,data!N:N),0)</f>
        <v>0</v>
      </c>
      <c r="S157" s="207">
        <f>IFERROR(SUMIF(data!$E:$E,科目余额表!$B157,data!O:O),0)</f>
        <v>0</v>
      </c>
      <c r="T157" s="207">
        <f>IFERROR(SUMIF(data!$E:$E,科目余额表!$B157,data!P:P),0)</f>
        <v>0</v>
      </c>
      <c r="U157" s="207">
        <f>IFERROR(SUMIF(data!$E:$E,科目余额表!$B157,data!Q:Q),0)</f>
        <v>0</v>
      </c>
      <c r="V157" s="207">
        <f>IFERROR(SUMIF(data!$E:$E,科目余额表!$B157,data!R:R),0)</f>
        <v>0</v>
      </c>
      <c r="W157" s="207">
        <f>IFERROR(SUMIF(data!$E:$E,科目余额表!$B157,data!S:S),0)</f>
        <v>0</v>
      </c>
      <c r="X157" s="207"/>
      <c r="Y157" s="207"/>
      <c r="Z157" s="207"/>
      <c r="AA157" s="207"/>
      <c r="AB157" s="207"/>
      <c r="AC157" s="207"/>
      <c r="AD157" s="207"/>
      <c r="AE157" s="207"/>
      <c r="AF157" s="207"/>
    </row>
    <row r="158" spans="1:32" s="214" customFormat="1" ht="11.65" customHeight="1">
      <c r="A158" s="215"/>
      <c r="B158" s="220">
        <v>13117</v>
      </c>
      <c r="C158" s="205" t="s">
        <v>407</v>
      </c>
      <c r="D158" s="221">
        <v>0</v>
      </c>
      <c r="E158" s="221">
        <v>0</v>
      </c>
      <c r="F158" s="222">
        <f t="shared" si="2"/>
        <v>0</v>
      </c>
      <c r="G158" s="205" t="s">
        <v>310</v>
      </c>
      <c r="H158" s="219" t="s">
        <v>250</v>
      </c>
      <c r="J158" s="207">
        <v>0</v>
      </c>
      <c r="K158" s="207"/>
      <c r="L158" s="207">
        <f>IFERROR(SUMIF(data!$E:$E,科目余额表!$B158,data!H:H),0)</f>
        <v>0</v>
      </c>
      <c r="M158" s="207">
        <f>IFERROR(SUMIF(data!$E:$E,科目余额表!$B158,data!I:I),0)</f>
        <v>0</v>
      </c>
      <c r="N158" s="207">
        <f>IFERROR(SUMIF(data!$E:$E,科目余额表!$B158,data!J:J),0)</f>
        <v>0</v>
      </c>
      <c r="O158" s="207">
        <f>IFERROR(SUMIF(data!$E:$E,科目余额表!$B158,data!K:K),0)</f>
        <v>0</v>
      </c>
      <c r="P158" s="207">
        <f>IFERROR(SUMIF(data!$E:$E,科目余额表!$B158,data!L:L),0)</f>
        <v>0</v>
      </c>
      <c r="Q158" s="207">
        <f>IFERROR(SUMIF(data!$E:$E,科目余额表!$B158,data!M:M),0)</f>
        <v>0</v>
      </c>
      <c r="R158" s="207">
        <f>IFERROR(SUMIF(data!$E:$E,科目余额表!$B158,data!N:N),0)</f>
        <v>0</v>
      </c>
      <c r="S158" s="207">
        <f>IFERROR(SUMIF(data!$E:$E,科目余额表!$B158,data!O:O),0)</f>
        <v>0</v>
      </c>
      <c r="T158" s="207">
        <f>IFERROR(SUMIF(data!$E:$E,科目余额表!$B158,data!P:P),0)</f>
        <v>0</v>
      </c>
      <c r="U158" s="207">
        <f>IFERROR(SUMIF(data!$E:$E,科目余额表!$B158,data!Q:Q),0)</f>
        <v>0</v>
      </c>
      <c r="V158" s="207">
        <f>IFERROR(SUMIF(data!$E:$E,科目余额表!$B158,data!R:R),0)</f>
        <v>0</v>
      </c>
      <c r="W158" s="207">
        <f>IFERROR(SUMIF(data!$E:$E,科目余额表!$B158,data!S:S),0)</f>
        <v>0</v>
      </c>
      <c r="X158" s="207"/>
      <c r="Y158" s="207"/>
      <c r="Z158" s="207"/>
      <c r="AA158" s="207"/>
      <c r="AB158" s="207"/>
      <c r="AC158" s="207"/>
      <c r="AD158" s="207"/>
      <c r="AE158" s="207"/>
      <c r="AF158" s="207"/>
    </row>
    <row r="159" spans="1:32" s="214" customFormat="1" ht="11.65" customHeight="1">
      <c r="A159" s="215"/>
      <c r="B159" s="220">
        <v>13118</v>
      </c>
      <c r="C159" s="205" t="s">
        <v>408</v>
      </c>
      <c r="D159" s="221">
        <v>0</v>
      </c>
      <c r="E159" s="221">
        <v>0</v>
      </c>
      <c r="F159" s="222">
        <f t="shared" si="2"/>
        <v>0</v>
      </c>
      <c r="G159" s="205" t="s">
        <v>310</v>
      </c>
      <c r="H159" s="219" t="s">
        <v>250</v>
      </c>
      <c r="J159" s="207">
        <v>0</v>
      </c>
      <c r="K159" s="207"/>
      <c r="L159" s="207">
        <f>IFERROR(SUMIF(data!$E:$E,科目余额表!$B159,data!H:H),0)</f>
        <v>0</v>
      </c>
      <c r="M159" s="207">
        <f>IFERROR(SUMIF(data!$E:$E,科目余额表!$B159,data!I:I),0)</f>
        <v>0</v>
      </c>
      <c r="N159" s="207">
        <f>IFERROR(SUMIF(data!$E:$E,科目余额表!$B159,data!J:J),0)</f>
        <v>0</v>
      </c>
      <c r="O159" s="207">
        <f>IFERROR(SUMIF(data!$E:$E,科目余额表!$B159,data!K:K),0)</f>
        <v>0</v>
      </c>
      <c r="P159" s="207">
        <f>IFERROR(SUMIF(data!$E:$E,科目余额表!$B159,data!L:L),0)</f>
        <v>0</v>
      </c>
      <c r="Q159" s="207">
        <f>IFERROR(SUMIF(data!$E:$E,科目余额表!$B159,data!M:M),0)</f>
        <v>0</v>
      </c>
      <c r="R159" s="207">
        <f>IFERROR(SUMIF(data!$E:$E,科目余额表!$B159,data!N:N),0)</f>
        <v>0</v>
      </c>
      <c r="S159" s="207">
        <f>IFERROR(SUMIF(data!$E:$E,科目余额表!$B159,data!O:O),0)</f>
        <v>0</v>
      </c>
      <c r="T159" s="207">
        <f>IFERROR(SUMIF(data!$E:$E,科目余额表!$B159,data!P:P),0)</f>
        <v>0</v>
      </c>
      <c r="U159" s="207">
        <f>IFERROR(SUMIF(data!$E:$E,科目余额表!$B159,data!Q:Q),0)</f>
        <v>0</v>
      </c>
      <c r="V159" s="207">
        <f>IFERROR(SUMIF(data!$E:$E,科目余额表!$B159,data!R:R),0)</f>
        <v>0</v>
      </c>
      <c r="W159" s="207">
        <f>IFERROR(SUMIF(data!$E:$E,科目余额表!$B159,data!S:S),0)</f>
        <v>0</v>
      </c>
      <c r="X159" s="207"/>
      <c r="Y159" s="207"/>
      <c r="Z159" s="207"/>
      <c r="AA159" s="207"/>
      <c r="AB159" s="207"/>
      <c r="AC159" s="207"/>
      <c r="AD159" s="207"/>
      <c r="AE159" s="207"/>
      <c r="AF159" s="207"/>
    </row>
    <row r="160" spans="1:32" s="214" customFormat="1" ht="11.65" customHeight="1">
      <c r="A160" s="215"/>
      <c r="B160" s="220">
        <v>13119</v>
      </c>
      <c r="C160" s="205" t="s">
        <v>409</v>
      </c>
      <c r="D160" s="221">
        <v>0</v>
      </c>
      <c r="E160" s="221">
        <v>0</v>
      </c>
      <c r="F160" s="222">
        <f t="shared" si="2"/>
        <v>0</v>
      </c>
      <c r="G160" s="205" t="s">
        <v>310</v>
      </c>
      <c r="H160" s="219" t="s">
        <v>250</v>
      </c>
      <c r="J160" s="207">
        <v>0</v>
      </c>
      <c r="K160" s="207"/>
      <c r="L160" s="207">
        <f>IFERROR(SUMIF(data!$E:$E,科目余额表!$B160,data!H:H),0)</f>
        <v>0</v>
      </c>
      <c r="M160" s="207">
        <f>IFERROR(SUMIF(data!$E:$E,科目余额表!$B160,data!I:I),0)</f>
        <v>0</v>
      </c>
      <c r="N160" s="207">
        <f>IFERROR(SUMIF(data!$E:$E,科目余额表!$B160,data!J:J),0)</f>
        <v>0</v>
      </c>
      <c r="O160" s="207">
        <f>IFERROR(SUMIF(data!$E:$E,科目余额表!$B160,data!K:K),0)</f>
        <v>0</v>
      </c>
      <c r="P160" s="207">
        <f>IFERROR(SUMIF(data!$E:$E,科目余额表!$B160,data!L:L),0)</f>
        <v>0</v>
      </c>
      <c r="Q160" s="207">
        <f>IFERROR(SUMIF(data!$E:$E,科目余额表!$B160,data!M:M),0)</f>
        <v>0</v>
      </c>
      <c r="R160" s="207">
        <f>IFERROR(SUMIF(data!$E:$E,科目余额表!$B160,data!N:N),0)</f>
        <v>0</v>
      </c>
      <c r="S160" s="207">
        <f>IFERROR(SUMIF(data!$E:$E,科目余额表!$B160,data!O:O),0)</f>
        <v>0</v>
      </c>
      <c r="T160" s="207">
        <f>IFERROR(SUMIF(data!$E:$E,科目余额表!$B160,data!P:P),0)</f>
        <v>0</v>
      </c>
      <c r="U160" s="207">
        <f>IFERROR(SUMIF(data!$E:$E,科目余额表!$B160,data!Q:Q),0)</f>
        <v>0</v>
      </c>
      <c r="V160" s="207">
        <f>IFERROR(SUMIF(data!$E:$E,科目余额表!$B160,data!R:R),0)</f>
        <v>0</v>
      </c>
      <c r="W160" s="207">
        <f>IFERROR(SUMIF(data!$E:$E,科目余额表!$B160,data!S:S),0)</f>
        <v>0</v>
      </c>
      <c r="X160" s="207"/>
      <c r="Y160" s="207"/>
      <c r="Z160" s="207"/>
      <c r="AA160" s="207"/>
      <c r="AB160" s="207"/>
      <c r="AC160" s="207"/>
      <c r="AD160" s="207"/>
      <c r="AE160" s="207"/>
      <c r="AF160" s="207"/>
    </row>
    <row r="161" spans="1:32" s="214" customFormat="1" ht="11.65" customHeight="1">
      <c r="A161" s="215"/>
      <c r="B161" s="220">
        <v>13120</v>
      </c>
      <c r="C161" s="205" t="s">
        <v>410</v>
      </c>
      <c r="D161" s="221">
        <v>0</v>
      </c>
      <c r="E161" s="221">
        <v>0</v>
      </c>
      <c r="F161" s="222">
        <f t="shared" si="2"/>
        <v>0</v>
      </c>
      <c r="G161" s="205" t="s">
        <v>310</v>
      </c>
      <c r="H161" s="219" t="s">
        <v>250</v>
      </c>
      <c r="J161" s="207">
        <v>0</v>
      </c>
      <c r="K161" s="207"/>
      <c r="L161" s="207">
        <f>IFERROR(SUMIF(data!$E:$E,科目余额表!$B161,data!H:H),0)</f>
        <v>0</v>
      </c>
      <c r="M161" s="207">
        <f>IFERROR(SUMIF(data!$E:$E,科目余额表!$B161,data!I:I),0)</f>
        <v>0</v>
      </c>
      <c r="N161" s="207">
        <f>IFERROR(SUMIF(data!$E:$E,科目余额表!$B161,data!J:J),0)</f>
        <v>0</v>
      </c>
      <c r="O161" s="207">
        <f>IFERROR(SUMIF(data!$E:$E,科目余额表!$B161,data!K:K),0)</f>
        <v>0</v>
      </c>
      <c r="P161" s="207">
        <f>IFERROR(SUMIF(data!$E:$E,科目余额表!$B161,data!L:L),0)</f>
        <v>0</v>
      </c>
      <c r="Q161" s="207">
        <f>IFERROR(SUMIF(data!$E:$E,科目余额表!$B161,data!M:M),0)</f>
        <v>0</v>
      </c>
      <c r="R161" s="207">
        <f>IFERROR(SUMIF(data!$E:$E,科目余额表!$B161,data!N:N),0)</f>
        <v>0</v>
      </c>
      <c r="S161" s="207">
        <f>IFERROR(SUMIF(data!$E:$E,科目余额表!$B161,data!O:O),0)</f>
        <v>0</v>
      </c>
      <c r="T161" s="207">
        <f>IFERROR(SUMIF(data!$E:$E,科目余额表!$B161,data!P:P),0)</f>
        <v>0</v>
      </c>
      <c r="U161" s="207">
        <f>IFERROR(SUMIF(data!$E:$E,科目余额表!$B161,data!Q:Q),0)</f>
        <v>0</v>
      </c>
      <c r="V161" s="207">
        <f>IFERROR(SUMIF(data!$E:$E,科目余额表!$B161,data!R:R),0)</f>
        <v>0</v>
      </c>
      <c r="W161" s="207">
        <f>IFERROR(SUMIF(data!$E:$E,科目余额表!$B161,data!S:S),0)</f>
        <v>0</v>
      </c>
      <c r="X161" s="207"/>
      <c r="Y161" s="207"/>
      <c r="Z161" s="207"/>
      <c r="AA161" s="207"/>
      <c r="AB161" s="207"/>
      <c r="AC161" s="207"/>
      <c r="AD161" s="207"/>
      <c r="AE161" s="207"/>
      <c r="AF161" s="207"/>
    </row>
    <row r="162" spans="1:32" s="214" customFormat="1" ht="11.65" customHeight="1">
      <c r="A162" s="215"/>
      <c r="B162" s="220">
        <v>14000</v>
      </c>
      <c r="C162" s="205" t="s">
        <v>411</v>
      </c>
      <c r="D162" s="221">
        <v>0</v>
      </c>
      <c r="E162" s="221">
        <v>0</v>
      </c>
      <c r="F162" s="222">
        <f t="shared" si="2"/>
        <v>0</v>
      </c>
      <c r="G162" s="205" t="s">
        <v>33</v>
      </c>
      <c r="H162" s="219" t="s">
        <v>250</v>
      </c>
      <c r="J162" s="207" t="s">
        <v>39</v>
      </c>
      <c r="K162" s="207"/>
      <c r="L162" s="207">
        <f>IFERROR(SUMIF(data!$E:$E,科目余额表!$B162,data!H:H),0)</f>
        <v>0</v>
      </c>
      <c r="M162" s="207">
        <f>IFERROR(SUMIF(data!$E:$E,科目余额表!$B162,data!I:I),0)</f>
        <v>0</v>
      </c>
      <c r="N162" s="207">
        <f>IFERROR(SUMIF(data!$E:$E,科目余额表!$B162,data!J:J),0)</f>
        <v>0</v>
      </c>
      <c r="O162" s="207">
        <f>IFERROR(SUMIF(data!$E:$E,科目余额表!$B162,data!K:K),0)</f>
        <v>0</v>
      </c>
      <c r="P162" s="207">
        <f>IFERROR(SUMIF(data!$E:$E,科目余额表!$B162,data!L:L),0)</f>
        <v>0</v>
      </c>
      <c r="Q162" s="207">
        <f>IFERROR(SUMIF(data!$E:$E,科目余额表!$B162,data!M:M),0)</f>
        <v>0</v>
      </c>
      <c r="R162" s="207">
        <f>IFERROR(SUMIF(data!$E:$E,科目余额表!$B162,data!N:N),0)</f>
        <v>0</v>
      </c>
      <c r="S162" s="207">
        <f>IFERROR(SUMIF(data!$E:$E,科目余额表!$B162,data!O:O),0)</f>
        <v>0</v>
      </c>
      <c r="T162" s="207">
        <f>IFERROR(SUMIF(data!$E:$E,科目余额表!$B162,data!P:P),0)</f>
        <v>0</v>
      </c>
      <c r="U162" s="207">
        <f>IFERROR(SUMIF(data!$E:$E,科目余额表!$B162,data!Q:Q),0)</f>
        <v>0</v>
      </c>
      <c r="V162" s="207">
        <f>IFERROR(SUMIF(data!$E:$E,科目余额表!$B162,data!R:R),0)</f>
        <v>0</v>
      </c>
      <c r="W162" s="207">
        <f>IFERROR(SUMIF(data!$E:$E,科目余额表!$B162,data!S:S),0)</f>
        <v>0</v>
      </c>
      <c r="X162" s="207"/>
      <c r="Y162" s="207"/>
      <c r="Z162" s="207"/>
      <c r="AA162" s="207"/>
      <c r="AB162" s="207"/>
      <c r="AC162" s="207"/>
      <c r="AD162" s="207"/>
      <c r="AE162" s="207"/>
      <c r="AF162" s="207"/>
    </row>
    <row r="163" spans="1:32" s="214" customFormat="1" ht="11.65" customHeight="1">
      <c r="A163" s="215"/>
      <c r="B163" s="220">
        <v>14100</v>
      </c>
      <c r="C163" s="205" t="s">
        <v>412</v>
      </c>
      <c r="D163" s="221">
        <v>0</v>
      </c>
      <c r="E163" s="221">
        <v>0</v>
      </c>
      <c r="F163" s="222">
        <f t="shared" si="2"/>
        <v>0</v>
      </c>
      <c r="G163" s="205" t="s">
        <v>33</v>
      </c>
      <c r="H163" s="219" t="s">
        <v>250</v>
      </c>
      <c r="J163" s="207" t="s">
        <v>413</v>
      </c>
      <c r="K163" s="207"/>
      <c r="L163" s="207">
        <f>IFERROR(SUMIF(data!$E:$E,科目余额表!$B163,data!H:H),0)</f>
        <v>0</v>
      </c>
      <c r="M163" s="207">
        <f>IFERROR(SUMIF(data!$E:$E,科目余额表!$B163,data!I:I),0)</f>
        <v>0</v>
      </c>
      <c r="N163" s="207">
        <f>IFERROR(SUMIF(data!$E:$E,科目余额表!$B163,data!J:J),0)</f>
        <v>0</v>
      </c>
      <c r="O163" s="207">
        <f>IFERROR(SUMIF(data!$E:$E,科目余额表!$B163,data!K:K),0)</f>
        <v>0</v>
      </c>
      <c r="P163" s="207">
        <f>IFERROR(SUMIF(data!$E:$E,科目余额表!$B163,data!L:L),0)</f>
        <v>0</v>
      </c>
      <c r="Q163" s="207">
        <f>IFERROR(SUMIF(data!$E:$E,科目余额表!$B163,data!M:M),0)</f>
        <v>0</v>
      </c>
      <c r="R163" s="207">
        <f>IFERROR(SUMIF(data!$E:$E,科目余额表!$B163,data!N:N),0)</f>
        <v>0</v>
      </c>
      <c r="S163" s="207">
        <f>IFERROR(SUMIF(data!$E:$E,科目余额表!$B163,data!O:O),0)</f>
        <v>0</v>
      </c>
      <c r="T163" s="207">
        <f>IFERROR(SUMIF(data!$E:$E,科目余额表!$B163,data!P:P),0)</f>
        <v>0</v>
      </c>
      <c r="U163" s="207">
        <f>IFERROR(SUMIF(data!$E:$E,科目余额表!$B163,data!Q:Q),0)</f>
        <v>0</v>
      </c>
      <c r="V163" s="207">
        <f>IFERROR(SUMIF(data!$E:$E,科目余额表!$B163,data!R:R),0)</f>
        <v>0</v>
      </c>
      <c r="W163" s="207">
        <f>IFERROR(SUMIF(data!$E:$E,科目余额表!$B163,data!S:S),0)</f>
        <v>0</v>
      </c>
      <c r="X163" s="207"/>
      <c r="Y163" s="207"/>
      <c r="Z163" s="207"/>
      <c r="AA163" s="207"/>
      <c r="AB163" s="207"/>
      <c r="AC163" s="207"/>
      <c r="AD163" s="207"/>
      <c r="AE163" s="207"/>
      <c r="AF163" s="207"/>
    </row>
    <row r="164" spans="1:32" s="214" customFormat="1" ht="11.65" customHeight="1">
      <c r="A164" s="215"/>
      <c r="B164" s="220">
        <v>14101</v>
      </c>
      <c r="C164" s="205" t="s">
        <v>414</v>
      </c>
      <c r="D164" s="221">
        <v>1927430.56</v>
      </c>
      <c r="E164" s="221">
        <v>-96855.370000000112</v>
      </c>
      <c r="F164" s="222">
        <f t="shared" si="2"/>
        <v>1830575.19</v>
      </c>
      <c r="G164" s="205" t="s">
        <v>33</v>
      </c>
      <c r="H164" s="219" t="s">
        <v>250</v>
      </c>
      <c r="J164" s="207" t="s">
        <v>37</v>
      </c>
      <c r="K164" s="207"/>
      <c r="L164" s="207">
        <f>IFERROR(SUMIF(data!$E:$E,科目余额表!$B164,data!H:H),0)</f>
        <v>3386202.44</v>
      </c>
      <c r="M164" s="207">
        <f>IFERROR(SUMIF(data!$E:$E,科目余额表!$B164,data!I:I),0)</f>
        <v>3154865.67</v>
      </c>
      <c r="N164" s="207">
        <f>IFERROR(SUMIF(data!$E:$E,科目余额表!$B164,data!J:J),0)</f>
        <v>3236778.5300000003</v>
      </c>
      <c r="O164" s="207">
        <f>IFERROR(SUMIF(data!$E:$E,科目余额表!$B164,data!K:K),0)</f>
        <v>2737442.29</v>
      </c>
      <c r="P164" s="207">
        <f>IFERROR(SUMIF(data!$E:$E,科目余额表!$B164,data!L:L),0)</f>
        <v>2662628.1</v>
      </c>
      <c r="Q164" s="207">
        <f>IFERROR(SUMIF(data!$E:$E,科目余额表!$B164,data!M:M),0)</f>
        <v>2150055.42</v>
      </c>
      <c r="R164" s="207">
        <f>IFERROR(SUMIF(data!$E:$E,科目余额表!$B164,data!N:N),0)</f>
        <v>1823879.6500000001</v>
      </c>
      <c r="S164" s="207">
        <f>IFERROR(SUMIF(data!$E:$E,科目余额表!$B164,data!O:O),0)</f>
        <v>1818564.79</v>
      </c>
      <c r="T164" s="207">
        <f>IFERROR(SUMIF(data!$E:$E,科目余额表!$B164,data!P:P),0)</f>
        <v>1823726.04</v>
      </c>
      <c r="U164" s="207">
        <f>IFERROR(SUMIF(data!$E:$E,科目余额表!$B164,data!Q:Q),0)</f>
        <v>1866382.4500000002</v>
      </c>
      <c r="V164" s="207">
        <f>IFERROR(SUMIF(data!$E:$E,科目余额表!$B164,data!R:R),0)</f>
        <v>1927430.56</v>
      </c>
      <c r="W164" s="207">
        <f>IFERROR(SUMIF(data!$E:$E,科目余额表!$B164,data!S:S),0)</f>
        <v>1830575.19</v>
      </c>
      <c r="X164" s="207"/>
      <c r="Y164" s="207"/>
      <c r="Z164" s="207"/>
      <c r="AA164" s="207"/>
      <c r="AB164" s="207"/>
      <c r="AC164" s="207"/>
      <c r="AD164" s="207"/>
      <c r="AE164" s="207"/>
      <c r="AF164" s="207"/>
    </row>
    <row r="165" spans="1:32" s="214" customFormat="1" ht="11.65" customHeight="1">
      <c r="A165" s="215"/>
      <c r="B165" s="220">
        <v>14102</v>
      </c>
      <c r="C165" s="205" t="s">
        <v>415</v>
      </c>
      <c r="D165" s="221">
        <v>0</v>
      </c>
      <c r="E165" s="221">
        <v>0</v>
      </c>
      <c r="F165" s="222">
        <f t="shared" si="2"/>
        <v>0</v>
      </c>
      <c r="G165" s="205" t="s">
        <v>33</v>
      </c>
      <c r="H165" s="219" t="s">
        <v>250</v>
      </c>
      <c r="J165" s="207" t="s">
        <v>41</v>
      </c>
      <c r="K165" s="207"/>
      <c r="L165" s="207">
        <f>IFERROR(SUMIF(data!$E:$E,科目余额表!$B165,data!H:H),0)</f>
        <v>0</v>
      </c>
      <c r="M165" s="207">
        <f>IFERROR(SUMIF(data!$E:$E,科目余额表!$B165,data!I:I),0)</f>
        <v>0</v>
      </c>
      <c r="N165" s="207">
        <f>IFERROR(SUMIF(data!$E:$E,科目余额表!$B165,data!J:J),0)</f>
        <v>0</v>
      </c>
      <c r="O165" s="207">
        <f>IFERROR(SUMIF(data!$E:$E,科目余额表!$B165,data!K:K),0)</f>
        <v>0</v>
      </c>
      <c r="P165" s="207">
        <f>IFERROR(SUMIF(data!$E:$E,科目余额表!$B165,data!L:L),0)</f>
        <v>0</v>
      </c>
      <c r="Q165" s="207">
        <f>IFERROR(SUMIF(data!$E:$E,科目余额表!$B165,data!M:M),0)</f>
        <v>0</v>
      </c>
      <c r="R165" s="207">
        <f>IFERROR(SUMIF(data!$E:$E,科目余额表!$B165,data!N:N),0)</f>
        <v>0</v>
      </c>
      <c r="S165" s="207">
        <f>IFERROR(SUMIF(data!$E:$E,科目余额表!$B165,data!O:O),0)</f>
        <v>0</v>
      </c>
      <c r="T165" s="207">
        <f>IFERROR(SUMIF(data!$E:$E,科目余额表!$B165,data!P:P),0)</f>
        <v>0</v>
      </c>
      <c r="U165" s="207">
        <f>IFERROR(SUMIF(data!$E:$E,科目余额表!$B165,data!Q:Q),0)</f>
        <v>0</v>
      </c>
      <c r="V165" s="207">
        <f>IFERROR(SUMIF(data!$E:$E,科目余额表!$B165,data!R:R),0)</f>
        <v>0</v>
      </c>
      <c r="W165" s="207">
        <f>IFERROR(SUMIF(data!$E:$E,科目余额表!$B165,data!S:S),0)</f>
        <v>0</v>
      </c>
      <c r="X165" s="207"/>
      <c r="Y165" s="207"/>
      <c r="Z165" s="207"/>
      <c r="AA165" s="207"/>
      <c r="AB165" s="207"/>
      <c r="AC165" s="207"/>
      <c r="AD165" s="207"/>
      <c r="AE165" s="207"/>
      <c r="AF165" s="207"/>
    </row>
    <row r="166" spans="1:32" s="214" customFormat="1" ht="11.65" customHeight="1">
      <c r="A166" s="215"/>
      <c r="B166" s="220">
        <v>14103</v>
      </c>
      <c r="C166" s="205" t="s">
        <v>416</v>
      </c>
      <c r="D166" s="221">
        <v>0</v>
      </c>
      <c r="E166" s="221">
        <v>0</v>
      </c>
      <c r="F166" s="222">
        <f t="shared" si="2"/>
        <v>0</v>
      </c>
      <c r="G166" s="205" t="s">
        <v>33</v>
      </c>
      <c r="H166" s="219" t="s">
        <v>250</v>
      </c>
      <c r="J166" s="207" t="s">
        <v>43</v>
      </c>
      <c r="K166" s="207"/>
      <c r="L166" s="207">
        <f>IFERROR(SUMIF(data!$E:$E,科目余额表!$B166,data!H:H),0)</f>
        <v>0</v>
      </c>
      <c r="M166" s="207">
        <f>IFERROR(SUMIF(data!$E:$E,科目余额表!$B166,data!I:I),0)</f>
        <v>0</v>
      </c>
      <c r="N166" s="207">
        <f>IFERROR(SUMIF(data!$E:$E,科目余额表!$B166,data!J:J),0)</f>
        <v>0</v>
      </c>
      <c r="O166" s="207">
        <f>IFERROR(SUMIF(data!$E:$E,科目余额表!$B166,data!K:K),0)</f>
        <v>0</v>
      </c>
      <c r="P166" s="207">
        <f>IFERROR(SUMIF(data!$E:$E,科目余额表!$B166,data!L:L),0)</f>
        <v>0</v>
      </c>
      <c r="Q166" s="207">
        <f>IFERROR(SUMIF(data!$E:$E,科目余额表!$B166,data!M:M),0)</f>
        <v>0</v>
      </c>
      <c r="R166" s="207">
        <f>IFERROR(SUMIF(data!$E:$E,科目余额表!$B166,data!N:N),0)</f>
        <v>0</v>
      </c>
      <c r="S166" s="207">
        <f>IFERROR(SUMIF(data!$E:$E,科目余额表!$B166,data!O:O),0)</f>
        <v>0</v>
      </c>
      <c r="T166" s="207">
        <f>IFERROR(SUMIF(data!$E:$E,科目余额表!$B166,data!P:P),0)</f>
        <v>0</v>
      </c>
      <c r="U166" s="207">
        <f>IFERROR(SUMIF(data!$E:$E,科目余额表!$B166,data!Q:Q),0)</f>
        <v>0</v>
      </c>
      <c r="V166" s="207">
        <f>IFERROR(SUMIF(data!$E:$E,科目余额表!$B166,data!R:R),0)</f>
        <v>0</v>
      </c>
      <c r="W166" s="207">
        <f>IFERROR(SUMIF(data!$E:$E,科目余额表!$B166,data!S:S),0)</f>
        <v>0</v>
      </c>
      <c r="X166" s="207"/>
      <c r="Y166" s="207"/>
      <c r="Z166" s="207"/>
      <c r="AA166" s="207"/>
      <c r="AB166" s="207"/>
      <c r="AC166" s="207"/>
      <c r="AD166" s="207"/>
      <c r="AE166" s="207"/>
      <c r="AF166" s="207"/>
    </row>
    <row r="167" spans="1:32" s="214" customFormat="1" ht="11.65" customHeight="1">
      <c r="A167" s="215"/>
      <c r="B167" s="220">
        <v>14104</v>
      </c>
      <c r="C167" s="205" t="s">
        <v>417</v>
      </c>
      <c r="D167" s="221">
        <v>0</v>
      </c>
      <c r="E167" s="221">
        <v>0</v>
      </c>
      <c r="F167" s="222">
        <f t="shared" si="2"/>
        <v>0</v>
      </c>
      <c r="G167" s="205" t="s">
        <v>33</v>
      </c>
      <c r="H167" s="219" t="s">
        <v>250</v>
      </c>
      <c r="J167" s="207" t="s">
        <v>43</v>
      </c>
      <c r="K167" s="207"/>
      <c r="L167" s="207">
        <f>IFERROR(SUMIF(data!$E:$E,科目余额表!$B167,data!H:H),0)</f>
        <v>0</v>
      </c>
      <c r="M167" s="207">
        <f>IFERROR(SUMIF(data!$E:$E,科目余额表!$B167,data!I:I),0)</f>
        <v>0</v>
      </c>
      <c r="N167" s="207">
        <f>IFERROR(SUMIF(data!$E:$E,科目余额表!$B167,data!J:J),0)</f>
        <v>0</v>
      </c>
      <c r="O167" s="207">
        <f>IFERROR(SUMIF(data!$E:$E,科目余额表!$B167,data!K:K),0)</f>
        <v>0</v>
      </c>
      <c r="P167" s="207">
        <f>IFERROR(SUMIF(data!$E:$E,科目余额表!$B167,data!L:L),0)</f>
        <v>0</v>
      </c>
      <c r="Q167" s="207">
        <f>IFERROR(SUMIF(data!$E:$E,科目余额表!$B167,data!M:M),0)</f>
        <v>0</v>
      </c>
      <c r="R167" s="207">
        <f>IFERROR(SUMIF(data!$E:$E,科目余额表!$B167,data!N:N),0)</f>
        <v>0</v>
      </c>
      <c r="S167" s="207">
        <f>IFERROR(SUMIF(data!$E:$E,科目余额表!$B167,data!O:O),0)</f>
        <v>0</v>
      </c>
      <c r="T167" s="207">
        <f>IFERROR(SUMIF(data!$E:$E,科目余额表!$B167,data!P:P),0)</f>
        <v>0</v>
      </c>
      <c r="U167" s="207">
        <f>IFERROR(SUMIF(data!$E:$E,科目余额表!$B167,data!Q:Q),0)</f>
        <v>0</v>
      </c>
      <c r="V167" s="207">
        <f>IFERROR(SUMIF(data!$E:$E,科目余额表!$B167,data!R:R),0)</f>
        <v>0</v>
      </c>
      <c r="W167" s="207">
        <f>IFERROR(SUMIF(data!$E:$E,科目余额表!$B167,data!S:S),0)</f>
        <v>0</v>
      </c>
      <c r="X167" s="207"/>
      <c r="Y167" s="207"/>
      <c r="Z167" s="207"/>
      <c r="AA167" s="207"/>
      <c r="AB167" s="207"/>
      <c r="AC167" s="207"/>
      <c r="AD167" s="207"/>
      <c r="AE167" s="207"/>
      <c r="AF167" s="207"/>
    </row>
    <row r="168" spans="1:32" s="214" customFormat="1" ht="11.65" customHeight="1">
      <c r="A168" s="215"/>
      <c r="B168" s="220">
        <v>14105</v>
      </c>
      <c r="C168" s="205" t="s">
        <v>418</v>
      </c>
      <c r="D168" s="221">
        <v>0</v>
      </c>
      <c r="E168" s="221">
        <v>0</v>
      </c>
      <c r="F168" s="222">
        <f t="shared" si="2"/>
        <v>0</v>
      </c>
      <c r="G168" s="205" t="s">
        <v>33</v>
      </c>
      <c r="H168" s="219" t="s">
        <v>250</v>
      </c>
      <c r="J168" s="207" t="s">
        <v>45</v>
      </c>
      <c r="K168" s="207"/>
      <c r="L168" s="207">
        <f>IFERROR(SUMIF(data!$E:$E,科目余额表!$B168,data!H:H),0)</f>
        <v>0</v>
      </c>
      <c r="M168" s="207">
        <f>IFERROR(SUMIF(data!$E:$E,科目余额表!$B168,data!I:I),0)</f>
        <v>0</v>
      </c>
      <c r="N168" s="207">
        <f>IFERROR(SUMIF(data!$E:$E,科目余额表!$B168,data!J:J),0)</f>
        <v>0</v>
      </c>
      <c r="O168" s="207">
        <f>IFERROR(SUMIF(data!$E:$E,科目余额表!$B168,data!K:K),0)</f>
        <v>0</v>
      </c>
      <c r="P168" s="207">
        <f>IFERROR(SUMIF(data!$E:$E,科目余额表!$B168,data!L:L),0)</f>
        <v>0</v>
      </c>
      <c r="Q168" s="207">
        <f>IFERROR(SUMIF(data!$E:$E,科目余额表!$B168,data!M:M),0)</f>
        <v>0</v>
      </c>
      <c r="R168" s="207">
        <f>IFERROR(SUMIF(data!$E:$E,科目余额表!$B168,data!N:N),0)</f>
        <v>0</v>
      </c>
      <c r="S168" s="207">
        <f>IFERROR(SUMIF(data!$E:$E,科目余额表!$B168,data!O:O),0)</f>
        <v>0</v>
      </c>
      <c r="T168" s="207">
        <f>IFERROR(SUMIF(data!$E:$E,科目余额表!$B168,data!P:P),0)</f>
        <v>0</v>
      </c>
      <c r="U168" s="207">
        <f>IFERROR(SUMIF(data!$E:$E,科目余额表!$B168,data!Q:Q),0)</f>
        <v>0</v>
      </c>
      <c r="V168" s="207">
        <f>IFERROR(SUMIF(data!$E:$E,科目余额表!$B168,data!R:R),0)</f>
        <v>0</v>
      </c>
      <c r="W168" s="207">
        <f>IFERROR(SUMIF(data!$E:$E,科目余额表!$B168,data!S:S),0)</f>
        <v>0</v>
      </c>
      <c r="X168" s="207"/>
      <c r="Y168" s="207"/>
      <c r="Z168" s="207"/>
      <c r="AA168" s="207"/>
      <c r="AB168" s="207"/>
      <c r="AC168" s="207"/>
      <c r="AD168" s="207"/>
      <c r="AE168" s="207"/>
      <c r="AF168" s="207"/>
    </row>
    <row r="169" spans="1:32" s="214" customFormat="1" ht="11.65" customHeight="1">
      <c r="A169" s="215"/>
      <c r="B169" s="220">
        <v>14106</v>
      </c>
      <c r="C169" s="205" t="s">
        <v>419</v>
      </c>
      <c r="D169" s="221">
        <v>0</v>
      </c>
      <c r="E169" s="221">
        <v>0</v>
      </c>
      <c r="F169" s="222">
        <f t="shared" si="2"/>
        <v>0</v>
      </c>
      <c r="G169" s="205" t="s">
        <v>33</v>
      </c>
      <c r="H169" s="219" t="s">
        <v>250</v>
      </c>
      <c r="J169" s="207" t="s">
        <v>43</v>
      </c>
      <c r="K169" s="207"/>
      <c r="L169" s="207">
        <f>IFERROR(SUMIF(data!$E:$E,科目余额表!$B169,data!H:H),0)</f>
        <v>0</v>
      </c>
      <c r="M169" s="207">
        <f>IFERROR(SUMIF(data!$E:$E,科目余额表!$B169,data!I:I),0)</f>
        <v>0</v>
      </c>
      <c r="N169" s="207">
        <f>IFERROR(SUMIF(data!$E:$E,科目余额表!$B169,data!J:J),0)</f>
        <v>0</v>
      </c>
      <c r="O169" s="207">
        <f>IFERROR(SUMIF(data!$E:$E,科目余额表!$B169,data!K:K),0)</f>
        <v>0</v>
      </c>
      <c r="P169" s="207">
        <f>IFERROR(SUMIF(data!$E:$E,科目余额表!$B169,data!L:L),0)</f>
        <v>0</v>
      </c>
      <c r="Q169" s="207">
        <f>IFERROR(SUMIF(data!$E:$E,科目余额表!$B169,data!M:M),0)</f>
        <v>0</v>
      </c>
      <c r="R169" s="207">
        <f>IFERROR(SUMIF(data!$E:$E,科目余额表!$B169,data!N:N),0)</f>
        <v>0</v>
      </c>
      <c r="S169" s="207">
        <f>IFERROR(SUMIF(data!$E:$E,科目余额表!$B169,data!O:O),0)</f>
        <v>0</v>
      </c>
      <c r="T169" s="207">
        <f>IFERROR(SUMIF(data!$E:$E,科目余额表!$B169,data!P:P),0)</f>
        <v>0</v>
      </c>
      <c r="U169" s="207">
        <f>IFERROR(SUMIF(data!$E:$E,科目余额表!$B169,data!Q:Q),0)</f>
        <v>0</v>
      </c>
      <c r="V169" s="207">
        <f>IFERROR(SUMIF(data!$E:$E,科目余额表!$B169,data!R:R),0)</f>
        <v>0</v>
      </c>
      <c r="W169" s="207">
        <f>IFERROR(SUMIF(data!$E:$E,科目余额表!$B169,data!S:S),0)</f>
        <v>0</v>
      </c>
      <c r="X169" s="207"/>
      <c r="Y169" s="207"/>
      <c r="Z169" s="207"/>
      <c r="AA169" s="207"/>
      <c r="AB169" s="207"/>
      <c r="AC169" s="207"/>
      <c r="AD169" s="207"/>
      <c r="AE169" s="207"/>
      <c r="AF169" s="207"/>
    </row>
    <row r="170" spans="1:32" s="214" customFormat="1" ht="11.65" customHeight="1">
      <c r="A170" s="215"/>
      <c r="B170" s="220">
        <v>14107</v>
      </c>
      <c r="C170" s="205" t="s">
        <v>420</v>
      </c>
      <c r="D170" s="221">
        <v>144684.94</v>
      </c>
      <c r="E170" s="221">
        <v>-93613.65</v>
      </c>
      <c r="F170" s="222">
        <f t="shared" si="2"/>
        <v>51071.290000000008</v>
      </c>
      <c r="G170" s="205" t="s">
        <v>33</v>
      </c>
      <c r="H170" s="219" t="s">
        <v>250</v>
      </c>
      <c r="J170" s="207" t="s">
        <v>47</v>
      </c>
      <c r="K170" s="207"/>
      <c r="L170" s="207">
        <f>IFERROR(SUMIF(data!$E:$E,科目余额表!$B170,data!H:H),0)</f>
        <v>216210.41</v>
      </c>
      <c r="M170" s="207">
        <f>IFERROR(SUMIF(data!$E:$E,科目余额表!$B170,data!I:I),0)</f>
        <v>138070.01999999999</v>
      </c>
      <c r="N170" s="207">
        <f>IFERROR(SUMIF(data!$E:$E,科目余额表!$B170,data!J:J),0)</f>
        <v>149164.28</v>
      </c>
      <c r="O170" s="207">
        <f>IFERROR(SUMIF(data!$E:$E,科目余额表!$B170,data!K:K),0)</f>
        <v>182727.77</v>
      </c>
      <c r="P170" s="207">
        <f>IFERROR(SUMIF(data!$E:$E,科目余额表!$B170,data!L:L),0)</f>
        <v>187962.34</v>
      </c>
      <c r="Q170" s="207">
        <f>IFERROR(SUMIF(data!$E:$E,科目余额表!$B170,data!M:M),0)</f>
        <v>92276.61</v>
      </c>
      <c r="R170" s="207">
        <f>IFERROR(SUMIF(data!$E:$E,科目余额表!$B170,data!N:N),0)</f>
        <v>115953.53</v>
      </c>
      <c r="S170" s="207">
        <f>IFERROR(SUMIF(data!$E:$E,科目余额表!$B170,data!O:O),0)</f>
        <v>100864.33</v>
      </c>
      <c r="T170" s="207">
        <f>IFERROR(SUMIF(data!$E:$E,科目余额表!$B170,data!P:P),0)</f>
        <v>240232.79</v>
      </c>
      <c r="U170" s="207">
        <f>IFERROR(SUMIF(data!$E:$E,科目余额表!$B170,data!Q:Q),0)</f>
        <v>84140.85</v>
      </c>
      <c r="V170" s="207">
        <f>IFERROR(SUMIF(data!$E:$E,科目余额表!$B170,data!R:R),0)</f>
        <v>144684.94</v>
      </c>
      <c r="W170" s="207">
        <f>IFERROR(SUMIF(data!$E:$E,科目余额表!$B170,data!S:S),0)</f>
        <v>51071.29</v>
      </c>
      <c r="X170" s="207"/>
      <c r="Y170" s="207"/>
      <c r="Z170" s="207"/>
      <c r="AA170" s="207"/>
      <c r="AB170" s="207"/>
      <c r="AC170" s="207"/>
      <c r="AD170" s="207"/>
      <c r="AE170" s="207"/>
      <c r="AF170" s="207"/>
    </row>
    <row r="171" spans="1:32" s="214" customFormat="1" ht="11.65" customHeight="1">
      <c r="A171" s="215"/>
      <c r="B171" s="220">
        <v>14200</v>
      </c>
      <c r="C171" s="205" t="s">
        <v>421</v>
      </c>
      <c r="D171" s="221">
        <v>539750.12</v>
      </c>
      <c r="E171" s="221">
        <v>422519.63</v>
      </c>
      <c r="F171" s="222">
        <f t="shared" si="2"/>
        <v>962269.75</v>
      </c>
      <c r="G171" s="205" t="s">
        <v>33</v>
      </c>
      <c r="H171" s="219" t="s">
        <v>250</v>
      </c>
      <c r="J171" s="207" t="s">
        <v>49</v>
      </c>
      <c r="K171" s="207"/>
      <c r="L171" s="207">
        <f>IFERROR(SUMIF(data!$E:$E,科目余额表!$B171,data!H:H),0)</f>
        <v>1400442.9799999997</v>
      </c>
      <c r="M171" s="207">
        <f>IFERROR(SUMIF(data!$E:$E,科目余额表!$B171,data!I:I),0)</f>
        <v>884617.88</v>
      </c>
      <c r="N171" s="207">
        <f>IFERROR(SUMIF(data!$E:$E,科目余额表!$B171,data!J:J),0)</f>
        <v>1031980.26</v>
      </c>
      <c r="O171" s="207">
        <f>IFERROR(SUMIF(data!$E:$E,科目余额表!$B171,data!K:K),0)</f>
        <v>645984.59000000008</v>
      </c>
      <c r="P171" s="207">
        <f>IFERROR(SUMIF(data!$E:$E,科目余额表!$B171,data!L:L),0)</f>
        <v>686306.4800000001</v>
      </c>
      <c r="Q171" s="207">
        <f>IFERROR(SUMIF(data!$E:$E,科目余额表!$B171,data!M:M),0)</f>
        <v>647538.96000000008</v>
      </c>
      <c r="R171" s="207">
        <f>IFERROR(SUMIF(data!$E:$E,科目余额表!$B171,data!N:N),0)</f>
        <v>492946.32999999996</v>
      </c>
      <c r="S171" s="207">
        <f>IFERROR(SUMIF(data!$E:$E,科目余额表!$B171,data!O:O),0)</f>
        <v>437049.59</v>
      </c>
      <c r="T171" s="207">
        <f>IFERROR(SUMIF(data!$E:$E,科目余额表!$B171,data!P:P),0)</f>
        <v>889325.35</v>
      </c>
      <c r="U171" s="207">
        <f>IFERROR(SUMIF(data!$E:$E,科目余额表!$B171,data!Q:Q),0)</f>
        <v>552581.18999999994</v>
      </c>
      <c r="V171" s="207">
        <f>IFERROR(SUMIF(data!$E:$E,科目余额表!$B171,data!R:R),0)</f>
        <v>539750.12</v>
      </c>
      <c r="W171" s="207">
        <f>IFERROR(SUMIF(data!$E:$E,科目余额表!$B171,data!S:S),0)</f>
        <v>962269.75</v>
      </c>
      <c r="X171" s="207"/>
      <c r="Y171" s="207"/>
      <c r="Z171" s="207"/>
      <c r="AA171" s="207"/>
      <c r="AB171" s="207"/>
      <c r="AC171" s="207"/>
      <c r="AD171" s="207"/>
      <c r="AE171" s="207"/>
      <c r="AF171" s="207"/>
    </row>
    <row r="172" spans="1:32" s="214" customFormat="1" ht="11.65" customHeight="1">
      <c r="A172" s="215"/>
      <c r="B172" s="220">
        <v>14201</v>
      </c>
      <c r="C172" s="205" t="s">
        <v>422</v>
      </c>
      <c r="D172" s="221">
        <v>0</v>
      </c>
      <c r="E172" s="221">
        <v>0</v>
      </c>
      <c r="F172" s="222">
        <f t="shared" si="2"/>
        <v>0</v>
      </c>
      <c r="G172" s="205" t="s">
        <v>33</v>
      </c>
      <c r="H172" s="219" t="s">
        <v>250</v>
      </c>
      <c r="J172" s="207" t="s">
        <v>49</v>
      </c>
      <c r="K172" s="207"/>
      <c r="L172" s="207">
        <f>IFERROR(SUMIF(data!$E:$E,科目余额表!$B172,data!H:H),0)</f>
        <v>0</v>
      </c>
      <c r="M172" s="207">
        <f>IFERROR(SUMIF(data!$E:$E,科目余额表!$B172,data!I:I),0)</f>
        <v>0</v>
      </c>
      <c r="N172" s="207">
        <f>IFERROR(SUMIF(data!$E:$E,科目余额表!$B172,data!J:J),0)</f>
        <v>0</v>
      </c>
      <c r="O172" s="207">
        <f>IFERROR(SUMIF(data!$E:$E,科目余额表!$B172,data!K:K),0)</f>
        <v>0</v>
      </c>
      <c r="P172" s="207">
        <f>IFERROR(SUMIF(data!$E:$E,科目余额表!$B172,data!L:L),0)</f>
        <v>0</v>
      </c>
      <c r="Q172" s="207">
        <f>IFERROR(SUMIF(data!$E:$E,科目余额表!$B172,data!M:M),0)</f>
        <v>0</v>
      </c>
      <c r="R172" s="207">
        <f>IFERROR(SUMIF(data!$E:$E,科目余额表!$B172,data!N:N),0)</f>
        <v>0</v>
      </c>
      <c r="S172" s="207">
        <f>IFERROR(SUMIF(data!$E:$E,科目余额表!$B172,data!O:O),0)</f>
        <v>0</v>
      </c>
      <c r="T172" s="207">
        <f>IFERROR(SUMIF(data!$E:$E,科目余额表!$B172,data!P:P),0)</f>
        <v>0</v>
      </c>
      <c r="U172" s="207">
        <f>IFERROR(SUMIF(data!$E:$E,科目余额表!$B172,data!Q:Q),0)</f>
        <v>0</v>
      </c>
      <c r="V172" s="207">
        <f>IFERROR(SUMIF(data!$E:$E,科目余额表!$B172,data!R:R),0)</f>
        <v>0</v>
      </c>
      <c r="W172" s="207">
        <f>IFERROR(SUMIF(data!$E:$E,科目余额表!$B172,data!S:S),0)</f>
        <v>0</v>
      </c>
      <c r="X172" s="207"/>
      <c r="Y172" s="207"/>
      <c r="Z172" s="207"/>
      <c r="AA172" s="207"/>
      <c r="AB172" s="207"/>
      <c r="AC172" s="207"/>
      <c r="AD172" s="207"/>
      <c r="AE172" s="207"/>
      <c r="AF172" s="207"/>
    </row>
    <row r="173" spans="1:32" s="214" customFormat="1" ht="11.65" customHeight="1">
      <c r="A173" s="215"/>
      <c r="B173" s="220">
        <v>14202</v>
      </c>
      <c r="C173" s="205" t="s">
        <v>423</v>
      </c>
      <c r="D173" s="221">
        <v>297505.81</v>
      </c>
      <c r="E173" s="221">
        <v>280744.06</v>
      </c>
      <c r="F173" s="222">
        <f t="shared" si="2"/>
        <v>578249.87</v>
      </c>
      <c r="G173" s="205" t="s">
        <v>33</v>
      </c>
      <c r="H173" s="219" t="s">
        <v>250</v>
      </c>
      <c r="J173" s="207" t="s">
        <v>49</v>
      </c>
      <c r="K173" s="207"/>
      <c r="L173" s="207">
        <f>IFERROR(SUMIF(data!$E:$E,科目余额表!$B173,data!H:H),0)</f>
        <v>473451.42</v>
      </c>
      <c r="M173" s="207">
        <f>IFERROR(SUMIF(data!$E:$E,科目余额表!$B173,data!I:I),0)</f>
        <v>473451.42</v>
      </c>
      <c r="N173" s="207">
        <f>IFERROR(SUMIF(data!$E:$E,科目余额表!$B173,data!J:J),0)</f>
        <v>473451.42</v>
      </c>
      <c r="O173" s="207">
        <f>IFERROR(SUMIF(data!$E:$E,科目余额表!$B173,data!K:K),0)</f>
        <v>473451.42</v>
      </c>
      <c r="P173" s="207">
        <f>IFERROR(SUMIF(data!$E:$E,科目余额表!$B173,data!L:L),0)</f>
        <v>473451.42</v>
      </c>
      <c r="Q173" s="207">
        <f>IFERROR(SUMIF(data!$E:$E,科目余额表!$B173,data!M:M),0)</f>
        <v>473451.42</v>
      </c>
      <c r="R173" s="207">
        <f>IFERROR(SUMIF(data!$E:$E,科目余额表!$B173,data!N:N),0)</f>
        <v>473451.42</v>
      </c>
      <c r="S173" s="207">
        <f>IFERROR(SUMIF(data!$E:$E,科目余额表!$B173,data!O:O),0)</f>
        <v>297505.81</v>
      </c>
      <c r="T173" s="207">
        <f>IFERROR(SUMIF(data!$E:$E,科目余额表!$B173,data!P:P),0)</f>
        <v>297505.81</v>
      </c>
      <c r="U173" s="207">
        <f>IFERROR(SUMIF(data!$E:$E,科目余额表!$B173,data!Q:Q),0)</f>
        <v>297505.81</v>
      </c>
      <c r="V173" s="207">
        <f>IFERROR(SUMIF(data!$E:$E,科目余额表!$B173,data!R:R),0)</f>
        <v>297505.81</v>
      </c>
      <c r="W173" s="207">
        <f>IFERROR(SUMIF(data!$E:$E,科目余额表!$B173,data!S:S),0)</f>
        <v>578249.87</v>
      </c>
      <c r="X173" s="207"/>
      <c r="Y173" s="207"/>
      <c r="Z173" s="207"/>
      <c r="AA173" s="207"/>
      <c r="AB173" s="207"/>
      <c r="AC173" s="207"/>
      <c r="AD173" s="207"/>
      <c r="AE173" s="207"/>
      <c r="AF173" s="207"/>
    </row>
    <row r="174" spans="1:32" s="214" customFormat="1" ht="11.65" customHeight="1">
      <c r="A174" s="215"/>
      <c r="B174" s="220">
        <v>14300</v>
      </c>
      <c r="C174" s="205" t="s">
        <v>424</v>
      </c>
      <c r="D174" s="221">
        <v>0</v>
      </c>
      <c r="E174" s="221">
        <v>0</v>
      </c>
      <c r="F174" s="222">
        <f t="shared" si="2"/>
        <v>0</v>
      </c>
      <c r="G174" s="205" t="s">
        <v>33</v>
      </c>
      <c r="H174" s="219" t="s">
        <v>250</v>
      </c>
      <c r="J174" s="207" t="s">
        <v>37</v>
      </c>
      <c r="K174" s="207"/>
      <c r="L174" s="207">
        <f>IFERROR(SUMIF(data!$E:$E,科目余额表!$B174,data!H:H),0)</f>
        <v>0</v>
      </c>
      <c r="M174" s="207">
        <f>IFERROR(SUMIF(data!$E:$E,科目余额表!$B174,data!I:I),0)</f>
        <v>0</v>
      </c>
      <c r="N174" s="207">
        <f>IFERROR(SUMIF(data!$E:$E,科目余额表!$B174,data!J:J),0)</f>
        <v>0</v>
      </c>
      <c r="O174" s="207">
        <f>IFERROR(SUMIF(data!$E:$E,科目余额表!$B174,data!K:K),0)</f>
        <v>0</v>
      </c>
      <c r="P174" s="207">
        <f>IFERROR(SUMIF(data!$E:$E,科目余额表!$B174,data!L:L),0)</f>
        <v>0</v>
      </c>
      <c r="Q174" s="207">
        <f>IFERROR(SUMIF(data!$E:$E,科目余额表!$B174,data!M:M),0)</f>
        <v>0</v>
      </c>
      <c r="R174" s="207">
        <f>IFERROR(SUMIF(data!$E:$E,科目余额表!$B174,data!N:N),0)</f>
        <v>0</v>
      </c>
      <c r="S174" s="207">
        <f>IFERROR(SUMIF(data!$E:$E,科目余额表!$B174,data!O:O),0)</f>
        <v>0</v>
      </c>
      <c r="T174" s="207">
        <f>IFERROR(SUMIF(data!$E:$E,科目余额表!$B174,data!P:P),0)</f>
        <v>0</v>
      </c>
      <c r="U174" s="207">
        <f>IFERROR(SUMIF(data!$E:$E,科目余额表!$B174,data!Q:Q),0)</f>
        <v>0</v>
      </c>
      <c r="V174" s="207">
        <f>IFERROR(SUMIF(data!$E:$E,科目余额表!$B174,data!R:R),0)</f>
        <v>0</v>
      </c>
      <c r="W174" s="207">
        <f>IFERROR(SUMIF(data!$E:$E,科目余额表!$B174,data!S:S),0)</f>
        <v>0</v>
      </c>
      <c r="X174" s="207"/>
      <c r="Y174" s="207"/>
      <c r="Z174" s="207"/>
      <c r="AA174" s="207"/>
      <c r="AB174" s="207"/>
      <c r="AC174" s="207"/>
      <c r="AD174" s="207"/>
      <c r="AE174" s="207"/>
      <c r="AF174" s="207"/>
    </row>
    <row r="175" spans="1:32" s="214" customFormat="1" ht="11.65" customHeight="1">
      <c r="A175" s="215"/>
      <c r="B175" s="220">
        <v>14400</v>
      </c>
      <c r="C175" s="205" t="s">
        <v>425</v>
      </c>
      <c r="D175" s="221">
        <v>0</v>
      </c>
      <c r="E175" s="221">
        <v>0</v>
      </c>
      <c r="F175" s="222">
        <f t="shared" si="2"/>
        <v>0</v>
      </c>
      <c r="G175" s="205" t="s">
        <v>33</v>
      </c>
      <c r="H175" s="219" t="s">
        <v>250</v>
      </c>
      <c r="J175" s="207" t="s">
        <v>49</v>
      </c>
      <c r="K175" s="207"/>
      <c r="L175" s="207">
        <f>IFERROR(SUMIF(data!$E:$E,科目余额表!$B175,data!H:H),0)</f>
        <v>0</v>
      </c>
      <c r="M175" s="207">
        <f>IFERROR(SUMIF(data!$E:$E,科目余额表!$B175,data!I:I),0)</f>
        <v>0</v>
      </c>
      <c r="N175" s="207">
        <f>IFERROR(SUMIF(data!$E:$E,科目余额表!$B175,data!J:J),0)</f>
        <v>0</v>
      </c>
      <c r="O175" s="207">
        <f>IFERROR(SUMIF(data!$E:$E,科目余额表!$B175,data!K:K),0)</f>
        <v>0</v>
      </c>
      <c r="P175" s="207">
        <f>IFERROR(SUMIF(data!$E:$E,科目余额表!$B175,data!L:L),0)</f>
        <v>0</v>
      </c>
      <c r="Q175" s="207">
        <f>IFERROR(SUMIF(data!$E:$E,科目余额表!$B175,data!M:M),0)</f>
        <v>0</v>
      </c>
      <c r="R175" s="207">
        <f>IFERROR(SUMIF(data!$E:$E,科目余额表!$B175,data!N:N),0)</f>
        <v>0</v>
      </c>
      <c r="S175" s="207">
        <f>IFERROR(SUMIF(data!$E:$E,科目余额表!$B175,data!O:O),0)</f>
        <v>0</v>
      </c>
      <c r="T175" s="207">
        <f>IFERROR(SUMIF(data!$E:$E,科目余额表!$B175,data!P:P),0)</f>
        <v>0</v>
      </c>
      <c r="U175" s="207">
        <f>IFERROR(SUMIF(data!$E:$E,科目余额表!$B175,data!Q:Q),0)</f>
        <v>0</v>
      </c>
      <c r="V175" s="207">
        <f>IFERROR(SUMIF(data!$E:$E,科目余额表!$B175,data!R:R),0)</f>
        <v>0</v>
      </c>
      <c r="W175" s="207">
        <f>IFERROR(SUMIF(data!$E:$E,科目余额表!$B175,data!S:S),0)</f>
        <v>0</v>
      </c>
      <c r="X175" s="207"/>
      <c r="Y175" s="207"/>
      <c r="Z175" s="207"/>
      <c r="AA175" s="207"/>
      <c r="AB175" s="207"/>
      <c r="AC175" s="207"/>
      <c r="AD175" s="207"/>
      <c r="AE175" s="207"/>
      <c r="AF175" s="207"/>
    </row>
    <row r="176" spans="1:32" s="214" customFormat="1" ht="11.65" customHeight="1">
      <c r="A176" s="215"/>
      <c r="B176" s="220">
        <v>14401</v>
      </c>
      <c r="C176" s="205" t="s">
        <v>426</v>
      </c>
      <c r="D176" s="221">
        <v>0</v>
      </c>
      <c r="E176" s="221">
        <v>0</v>
      </c>
      <c r="F176" s="222">
        <f t="shared" si="2"/>
        <v>0</v>
      </c>
      <c r="G176" s="205" t="s">
        <v>33</v>
      </c>
      <c r="H176" s="219" t="s">
        <v>250</v>
      </c>
      <c r="J176" s="207" t="s">
        <v>49</v>
      </c>
      <c r="K176" s="207"/>
      <c r="L176" s="207">
        <f>IFERROR(SUMIF(data!$E:$E,科目余额表!$B176,data!H:H),0)</f>
        <v>0</v>
      </c>
      <c r="M176" s="207">
        <f>IFERROR(SUMIF(data!$E:$E,科目余额表!$B176,data!I:I),0)</f>
        <v>0</v>
      </c>
      <c r="N176" s="207">
        <f>IFERROR(SUMIF(data!$E:$E,科目余额表!$B176,data!J:J),0)</f>
        <v>0</v>
      </c>
      <c r="O176" s="207">
        <f>IFERROR(SUMIF(data!$E:$E,科目余额表!$B176,data!K:K),0)</f>
        <v>0</v>
      </c>
      <c r="P176" s="207">
        <f>IFERROR(SUMIF(data!$E:$E,科目余额表!$B176,data!L:L),0)</f>
        <v>0</v>
      </c>
      <c r="Q176" s="207">
        <f>IFERROR(SUMIF(data!$E:$E,科目余额表!$B176,data!M:M),0)</f>
        <v>0</v>
      </c>
      <c r="R176" s="207">
        <f>IFERROR(SUMIF(data!$E:$E,科目余额表!$B176,data!N:N),0)</f>
        <v>0</v>
      </c>
      <c r="S176" s="207">
        <f>IFERROR(SUMIF(data!$E:$E,科目余额表!$B176,data!O:O),0)</f>
        <v>0</v>
      </c>
      <c r="T176" s="207">
        <f>IFERROR(SUMIF(data!$E:$E,科目余额表!$B176,data!P:P),0)</f>
        <v>0</v>
      </c>
      <c r="U176" s="207">
        <f>IFERROR(SUMIF(data!$E:$E,科目余额表!$B176,data!Q:Q),0)</f>
        <v>0</v>
      </c>
      <c r="V176" s="207">
        <f>IFERROR(SUMIF(data!$E:$E,科目余额表!$B176,data!R:R),0)</f>
        <v>0</v>
      </c>
      <c r="W176" s="207">
        <f>IFERROR(SUMIF(data!$E:$E,科目余额表!$B176,data!S:S),0)</f>
        <v>0</v>
      </c>
      <c r="X176" s="207"/>
      <c r="Y176" s="207"/>
      <c r="Z176" s="207"/>
      <c r="AA176" s="207"/>
      <c r="AB176" s="207"/>
      <c r="AC176" s="207"/>
      <c r="AD176" s="207"/>
      <c r="AE176" s="207"/>
      <c r="AF176" s="207"/>
    </row>
    <row r="177" spans="1:32" s="214" customFormat="1" ht="11.65" customHeight="1">
      <c r="A177" s="215"/>
      <c r="B177" s="220">
        <v>14500</v>
      </c>
      <c r="C177" s="205" t="s">
        <v>427</v>
      </c>
      <c r="D177" s="221">
        <v>-275958.34999999998</v>
      </c>
      <c r="E177" s="221">
        <v>-133777.54000000004</v>
      </c>
      <c r="F177" s="222">
        <f t="shared" si="2"/>
        <v>-409735.89</v>
      </c>
      <c r="G177" s="205" t="s">
        <v>428</v>
      </c>
      <c r="H177" s="219" t="s">
        <v>250</v>
      </c>
      <c r="J177" s="207" t="s">
        <v>37</v>
      </c>
      <c r="K177" s="207"/>
      <c r="L177" s="207">
        <f>IFERROR(SUMIF(data!$E:$E,科目余额表!$B177,data!H:H),0)</f>
        <v>-275958.34999999998</v>
      </c>
      <c r="M177" s="207">
        <f>IFERROR(SUMIF(data!$E:$E,科目余额表!$B177,data!I:I),0)</f>
        <v>-275958.34999999998</v>
      </c>
      <c r="N177" s="207">
        <f>IFERROR(SUMIF(data!$E:$E,科目余额表!$B177,data!J:J),0)</f>
        <v>-275958.34999999998</v>
      </c>
      <c r="O177" s="207">
        <f>IFERROR(SUMIF(data!$E:$E,科目余额表!$B177,data!K:K),0)</f>
        <v>-275958.34999999998</v>
      </c>
      <c r="P177" s="207">
        <f>IFERROR(SUMIF(data!$E:$E,科目余额表!$B177,data!L:L),0)</f>
        <v>-275958.34999999998</v>
      </c>
      <c r="Q177" s="207">
        <f>IFERROR(SUMIF(data!$E:$E,科目余额表!$B177,data!M:M),0)</f>
        <v>-275958.34999999998</v>
      </c>
      <c r="R177" s="207">
        <f>IFERROR(SUMIF(data!$E:$E,科目余额表!$B177,data!N:N),0)</f>
        <v>-275958.34999999998</v>
      </c>
      <c r="S177" s="207">
        <f>IFERROR(SUMIF(data!$E:$E,科目余额表!$B177,data!O:O),0)</f>
        <v>-275958.34999999998</v>
      </c>
      <c r="T177" s="207">
        <f>IFERROR(SUMIF(data!$E:$E,科目余额表!$B177,data!P:P),0)</f>
        <v>-275958.34999999998</v>
      </c>
      <c r="U177" s="207">
        <f>IFERROR(SUMIF(data!$E:$E,科目余额表!$B177,data!Q:Q),0)</f>
        <v>-275958.34999999998</v>
      </c>
      <c r="V177" s="207">
        <f>IFERROR(SUMIF(data!$E:$E,科目余额表!$B177,data!R:R),0)</f>
        <v>-275958.34999999998</v>
      </c>
      <c r="W177" s="207">
        <f>IFERROR(SUMIF(data!$E:$E,科目余额表!$B177,data!S:S),0)</f>
        <v>-409735.89</v>
      </c>
      <c r="X177" s="207"/>
      <c r="Y177" s="207"/>
      <c r="Z177" s="207"/>
      <c r="AA177" s="207"/>
      <c r="AB177" s="207"/>
      <c r="AC177" s="207"/>
      <c r="AD177" s="207"/>
      <c r="AE177" s="207"/>
      <c r="AF177" s="207"/>
    </row>
    <row r="178" spans="1:32" s="214" customFormat="1" ht="11.65" customHeight="1">
      <c r="A178" s="215"/>
      <c r="B178" s="220">
        <v>14600</v>
      </c>
      <c r="C178" s="205" t="s">
        <v>429</v>
      </c>
      <c r="D178" s="221">
        <v>0</v>
      </c>
      <c r="E178" s="221">
        <v>0</v>
      </c>
      <c r="F178" s="222">
        <f t="shared" si="2"/>
        <v>0</v>
      </c>
      <c r="G178" s="205" t="s">
        <v>57</v>
      </c>
      <c r="H178" s="219" t="s">
        <v>250</v>
      </c>
      <c r="J178" s="207" t="s">
        <v>57</v>
      </c>
      <c r="K178" s="207"/>
      <c r="L178" s="207">
        <f>IFERROR(SUMIF(data!$E:$E,科目余额表!$B178,data!H:H),0)</f>
        <v>0</v>
      </c>
      <c r="M178" s="207">
        <f>IFERROR(SUMIF(data!$E:$E,科目余额表!$B178,data!I:I),0)</f>
        <v>0</v>
      </c>
      <c r="N178" s="207">
        <f>IFERROR(SUMIF(data!$E:$E,科目余额表!$B178,data!J:J),0)</f>
        <v>0</v>
      </c>
      <c r="O178" s="207">
        <f>IFERROR(SUMIF(data!$E:$E,科目余额表!$B178,data!K:K),0)</f>
        <v>0</v>
      </c>
      <c r="P178" s="207">
        <f>IFERROR(SUMIF(data!$E:$E,科目余额表!$B178,data!L:L),0)</f>
        <v>0</v>
      </c>
      <c r="Q178" s="207">
        <f>IFERROR(SUMIF(data!$E:$E,科目余额表!$B178,data!M:M),0)</f>
        <v>0</v>
      </c>
      <c r="R178" s="207">
        <f>IFERROR(SUMIF(data!$E:$E,科目余额表!$B178,data!N:N),0)</f>
        <v>0</v>
      </c>
      <c r="S178" s="207">
        <f>IFERROR(SUMIF(data!$E:$E,科目余额表!$B178,data!O:O),0)</f>
        <v>0</v>
      </c>
      <c r="T178" s="207">
        <f>IFERROR(SUMIF(data!$E:$E,科目余额表!$B178,data!P:P),0)</f>
        <v>0</v>
      </c>
      <c r="U178" s="207">
        <f>IFERROR(SUMIF(data!$E:$E,科目余额表!$B178,data!Q:Q),0)</f>
        <v>0</v>
      </c>
      <c r="V178" s="207">
        <f>IFERROR(SUMIF(data!$E:$E,科目余额表!$B178,data!R:R),0)</f>
        <v>0</v>
      </c>
      <c r="W178" s="207">
        <f>IFERROR(SUMIF(data!$E:$E,科目余额表!$B178,data!S:S),0)</f>
        <v>0</v>
      </c>
      <c r="X178" s="207"/>
      <c r="Y178" s="207"/>
      <c r="Z178" s="207"/>
      <c r="AA178" s="207"/>
      <c r="AB178" s="207"/>
      <c r="AC178" s="207"/>
      <c r="AD178" s="207"/>
      <c r="AE178" s="207"/>
      <c r="AF178" s="207"/>
    </row>
    <row r="179" spans="1:32" s="214" customFormat="1" ht="11.65" customHeight="1">
      <c r="A179" s="215"/>
      <c r="B179" s="220">
        <v>14601</v>
      </c>
      <c r="C179" s="205" t="s">
        <v>430</v>
      </c>
      <c r="D179" s="221">
        <v>0</v>
      </c>
      <c r="E179" s="221">
        <v>0</v>
      </c>
      <c r="F179" s="222">
        <f t="shared" si="2"/>
        <v>0</v>
      </c>
      <c r="G179" s="205" t="s">
        <v>57</v>
      </c>
      <c r="H179" s="219" t="s">
        <v>250</v>
      </c>
      <c r="J179" s="207" t="s">
        <v>57</v>
      </c>
      <c r="K179" s="207"/>
      <c r="L179" s="207">
        <f>IFERROR(SUMIF(data!$E:$E,科目余额表!$B179,data!H:H),0)</f>
        <v>0</v>
      </c>
      <c r="M179" s="207">
        <f>IFERROR(SUMIF(data!$E:$E,科目余额表!$B179,data!I:I),0)</f>
        <v>0</v>
      </c>
      <c r="N179" s="207">
        <f>IFERROR(SUMIF(data!$E:$E,科目余额表!$B179,data!J:J),0)</f>
        <v>0</v>
      </c>
      <c r="O179" s="207">
        <f>IFERROR(SUMIF(data!$E:$E,科目余额表!$B179,data!K:K),0)</f>
        <v>0</v>
      </c>
      <c r="P179" s="207">
        <f>IFERROR(SUMIF(data!$E:$E,科目余额表!$B179,data!L:L),0)</f>
        <v>0</v>
      </c>
      <c r="Q179" s="207">
        <f>IFERROR(SUMIF(data!$E:$E,科目余额表!$B179,data!M:M),0)</f>
        <v>0</v>
      </c>
      <c r="R179" s="207">
        <f>IFERROR(SUMIF(data!$E:$E,科目余额表!$B179,data!N:N),0)</f>
        <v>0</v>
      </c>
      <c r="S179" s="207">
        <f>IFERROR(SUMIF(data!$E:$E,科目余额表!$B179,data!O:O),0)</f>
        <v>0</v>
      </c>
      <c r="T179" s="207">
        <f>IFERROR(SUMIF(data!$E:$E,科目余额表!$B179,data!P:P),0)</f>
        <v>0</v>
      </c>
      <c r="U179" s="207">
        <f>IFERROR(SUMIF(data!$E:$E,科目余额表!$B179,data!Q:Q),0)</f>
        <v>0</v>
      </c>
      <c r="V179" s="207">
        <f>IFERROR(SUMIF(data!$E:$E,科目余额表!$B179,data!R:R),0)</f>
        <v>0</v>
      </c>
      <c r="W179" s="207">
        <f>IFERROR(SUMIF(data!$E:$E,科目余额表!$B179,data!S:S),0)</f>
        <v>0</v>
      </c>
      <c r="X179" s="207"/>
      <c r="Y179" s="207"/>
      <c r="Z179" s="207"/>
      <c r="AA179" s="207"/>
      <c r="AB179" s="207"/>
      <c r="AC179" s="207"/>
      <c r="AD179" s="207"/>
      <c r="AE179" s="207"/>
      <c r="AF179" s="207"/>
    </row>
    <row r="180" spans="1:32" s="214" customFormat="1" ht="11.65" customHeight="1">
      <c r="A180" s="215"/>
      <c r="B180" s="220">
        <v>14602</v>
      </c>
      <c r="C180" s="205" t="s">
        <v>431</v>
      </c>
      <c r="D180" s="221">
        <v>0</v>
      </c>
      <c r="E180" s="221">
        <v>0</v>
      </c>
      <c r="F180" s="222">
        <f t="shared" si="2"/>
        <v>0</v>
      </c>
      <c r="G180" s="205" t="s">
        <v>57</v>
      </c>
      <c r="H180" s="219" t="s">
        <v>250</v>
      </c>
      <c r="J180" s="207" t="s">
        <v>57</v>
      </c>
      <c r="K180" s="207"/>
      <c r="L180" s="207">
        <f>IFERROR(SUMIF(data!$E:$E,科目余额表!$B180,data!H:H),0)</f>
        <v>0</v>
      </c>
      <c r="M180" s="207">
        <f>IFERROR(SUMIF(data!$E:$E,科目余额表!$B180,data!I:I),0)</f>
        <v>0</v>
      </c>
      <c r="N180" s="207">
        <f>IFERROR(SUMIF(data!$E:$E,科目余额表!$B180,data!J:J),0)</f>
        <v>0</v>
      </c>
      <c r="O180" s="207">
        <f>IFERROR(SUMIF(data!$E:$E,科目余额表!$B180,data!K:K),0)</f>
        <v>0</v>
      </c>
      <c r="P180" s="207">
        <f>IFERROR(SUMIF(data!$E:$E,科目余额表!$B180,data!L:L),0)</f>
        <v>0</v>
      </c>
      <c r="Q180" s="207">
        <f>IFERROR(SUMIF(data!$E:$E,科目余额表!$B180,data!M:M),0)</f>
        <v>0</v>
      </c>
      <c r="R180" s="207">
        <f>IFERROR(SUMIF(data!$E:$E,科目余额表!$B180,data!N:N),0)</f>
        <v>0</v>
      </c>
      <c r="S180" s="207">
        <f>IFERROR(SUMIF(data!$E:$E,科目余额表!$B180,data!O:O),0)</f>
        <v>0</v>
      </c>
      <c r="T180" s="207">
        <f>IFERROR(SUMIF(data!$E:$E,科目余额表!$B180,data!P:P),0)</f>
        <v>0</v>
      </c>
      <c r="U180" s="207">
        <f>IFERROR(SUMIF(data!$E:$E,科目余额表!$B180,data!Q:Q),0)</f>
        <v>0</v>
      </c>
      <c r="V180" s="207">
        <f>IFERROR(SUMIF(data!$E:$E,科目余额表!$B180,data!R:R),0)</f>
        <v>0</v>
      </c>
      <c r="W180" s="207">
        <f>IFERROR(SUMIF(data!$E:$E,科目余额表!$B180,data!S:S),0)</f>
        <v>0</v>
      </c>
      <c r="X180" s="207"/>
      <c r="Y180" s="207"/>
      <c r="Z180" s="207"/>
      <c r="AA180" s="207"/>
      <c r="AB180" s="207"/>
      <c r="AC180" s="207"/>
      <c r="AD180" s="207"/>
      <c r="AE180" s="207"/>
      <c r="AF180" s="207"/>
    </row>
    <row r="181" spans="1:32" s="214" customFormat="1" ht="11.65" customHeight="1">
      <c r="A181" s="215"/>
      <c r="B181" s="220">
        <v>14603</v>
      </c>
      <c r="C181" s="205" t="s">
        <v>432</v>
      </c>
      <c r="D181" s="221">
        <v>0</v>
      </c>
      <c r="E181" s="221">
        <v>0</v>
      </c>
      <c r="F181" s="222">
        <f t="shared" si="2"/>
        <v>0</v>
      </c>
      <c r="G181" s="205" t="s">
        <v>57</v>
      </c>
      <c r="H181" s="219" t="s">
        <v>250</v>
      </c>
      <c r="J181" s="207" t="s">
        <v>57</v>
      </c>
      <c r="K181" s="207"/>
      <c r="L181" s="207">
        <f>IFERROR(SUMIF(data!$E:$E,科目余额表!$B181,data!H:H),0)</f>
        <v>0</v>
      </c>
      <c r="M181" s="207">
        <f>IFERROR(SUMIF(data!$E:$E,科目余额表!$B181,data!I:I),0)</f>
        <v>0</v>
      </c>
      <c r="N181" s="207">
        <f>IFERROR(SUMIF(data!$E:$E,科目余额表!$B181,data!J:J),0)</f>
        <v>0</v>
      </c>
      <c r="O181" s="207">
        <f>IFERROR(SUMIF(data!$E:$E,科目余额表!$B181,data!K:K),0)</f>
        <v>0</v>
      </c>
      <c r="P181" s="207">
        <f>IFERROR(SUMIF(data!$E:$E,科目余额表!$B181,data!L:L),0)</f>
        <v>0</v>
      </c>
      <c r="Q181" s="207">
        <f>IFERROR(SUMIF(data!$E:$E,科目余额表!$B181,data!M:M),0)</f>
        <v>0</v>
      </c>
      <c r="R181" s="207">
        <f>IFERROR(SUMIF(data!$E:$E,科目余额表!$B181,data!N:N),0)</f>
        <v>0</v>
      </c>
      <c r="S181" s="207">
        <f>IFERROR(SUMIF(data!$E:$E,科目余额表!$B181,data!O:O),0)</f>
        <v>0</v>
      </c>
      <c r="T181" s="207">
        <f>IFERROR(SUMIF(data!$E:$E,科目余额表!$B181,data!P:P),0)</f>
        <v>0</v>
      </c>
      <c r="U181" s="207">
        <f>IFERROR(SUMIF(data!$E:$E,科目余额表!$B181,data!Q:Q),0)</f>
        <v>0</v>
      </c>
      <c r="V181" s="207">
        <f>IFERROR(SUMIF(data!$E:$E,科目余额表!$B181,data!R:R),0)</f>
        <v>0</v>
      </c>
      <c r="W181" s="207">
        <f>IFERROR(SUMIF(data!$E:$E,科目余额表!$B181,data!S:S),0)</f>
        <v>0</v>
      </c>
      <c r="X181" s="207"/>
      <c r="Y181" s="207"/>
      <c r="Z181" s="207"/>
      <c r="AA181" s="207"/>
      <c r="AB181" s="207"/>
      <c r="AC181" s="207"/>
      <c r="AD181" s="207"/>
      <c r="AE181" s="207"/>
      <c r="AF181" s="207"/>
    </row>
    <row r="182" spans="1:32" s="214" customFormat="1" ht="11.65" customHeight="1">
      <c r="A182" s="215"/>
      <c r="B182" s="220">
        <v>14609</v>
      </c>
      <c r="C182" s="205" t="s">
        <v>433</v>
      </c>
      <c r="D182" s="221">
        <v>10193860.690000001</v>
      </c>
      <c r="E182" s="221">
        <v>814080.25999999978</v>
      </c>
      <c r="F182" s="222">
        <f t="shared" si="2"/>
        <v>11007940.950000001</v>
      </c>
      <c r="G182" s="205" t="s">
        <v>57</v>
      </c>
      <c r="H182" s="219" t="s">
        <v>250</v>
      </c>
      <c r="J182" s="207" t="s">
        <v>57</v>
      </c>
      <c r="K182" s="207"/>
      <c r="L182" s="207">
        <f>IFERROR(SUMIF(data!$E:$E,科目余额表!$B182,data!H:H),0)</f>
        <v>11220000.040000001</v>
      </c>
      <c r="M182" s="207">
        <f>IFERROR(SUMIF(data!$E:$E,科目余额表!$B182,data!I:I),0)</f>
        <v>11120000.040000001</v>
      </c>
      <c r="N182" s="207">
        <f>IFERROR(SUMIF(data!$E:$E,科目余额表!$B182,data!J:J),0)</f>
        <v>11020000.040000001</v>
      </c>
      <c r="O182" s="207">
        <f>IFERROR(SUMIF(data!$E:$E,科目余额表!$B182,data!K:K),0)</f>
        <v>10943276.940000001</v>
      </c>
      <c r="P182" s="207">
        <f>IFERROR(SUMIF(data!$E:$E,科目余额表!$B182,data!L:L),0)</f>
        <v>10831638.49</v>
      </c>
      <c r="Q182" s="207">
        <f>IFERROR(SUMIF(data!$E:$E,科目余额表!$B182,data!M:M),0)</f>
        <v>10720000.040000001</v>
      </c>
      <c r="R182" s="207">
        <f>IFERROR(SUMIF(data!$E:$E,科目余额表!$B182,data!N:N),0)</f>
        <v>10620000.040000001</v>
      </c>
      <c r="S182" s="207">
        <f>IFERROR(SUMIF(data!$E:$E,科目余额表!$B182,data!O:O),0)</f>
        <v>10411666.710000001</v>
      </c>
      <c r="T182" s="207">
        <f>IFERROR(SUMIF(data!$E:$E,科目余额表!$B182,data!P:P),0)</f>
        <v>10209173.01</v>
      </c>
      <c r="U182" s="207">
        <f>IFERROR(SUMIF(data!$E:$E,科目余额表!$B182,data!Q:Q),0)</f>
        <v>10050145.690000001</v>
      </c>
      <c r="V182" s="207">
        <f>IFERROR(SUMIF(data!$E:$E,科目余额表!$B182,data!R:R),0)</f>
        <v>10193860.690000001</v>
      </c>
      <c r="W182" s="207">
        <f>IFERROR(SUMIF(data!$E:$E,科目余额表!$B182,data!S:S),0)</f>
        <v>11007940.950000001</v>
      </c>
      <c r="X182" s="207"/>
      <c r="Y182" s="207"/>
      <c r="Z182" s="207"/>
      <c r="AA182" s="207"/>
      <c r="AB182" s="207"/>
      <c r="AC182" s="207"/>
      <c r="AD182" s="207"/>
      <c r="AE182" s="207"/>
      <c r="AF182" s="207"/>
    </row>
    <row r="183" spans="1:32" s="214" customFormat="1" ht="11.65" customHeight="1">
      <c r="A183" s="215"/>
      <c r="B183" s="220">
        <v>14700</v>
      </c>
      <c r="C183" s="205" t="s">
        <v>53</v>
      </c>
      <c r="D183" s="221">
        <v>0</v>
      </c>
      <c r="E183" s="221">
        <v>0</v>
      </c>
      <c r="F183" s="222">
        <f t="shared" si="2"/>
        <v>0</v>
      </c>
      <c r="G183" s="205" t="s">
        <v>57</v>
      </c>
      <c r="H183" s="219" t="s">
        <v>250</v>
      </c>
      <c r="J183" s="207" t="s">
        <v>434</v>
      </c>
      <c r="K183" s="207"/>
      <c r="L183" s="207">
        <f>IFERROR(SUMIF(data!$E:$E,科目余额表!$B183,data!H:H),0)</f>
        <v>0</v>
      </c>
      <c r="M183" s="207">
        <f>IFERROR(SUMIF(data!$E:$E,科目余额表!$B183,data!I:I),0)</f>
        <v>0</v>
      </c>
      <c r="N183" s="207">
        <f>IFERROR(SUMIF(data!$E:$E,科目余额表!$B183,data!J:J),0)</f>
        <v>0</v>
      </c>
      <c r="O183" s="207">
        <f>IFERROR(SUMIF(data!$E:$E,科目余额表!$B183,data!K:K),0)</f>
        <v>0</v>
      </c>
      <c r="P183" s="207">
        <f>IFERROR(SUMIF(data!$E:$E,科目余额表!$B183,data!L:L),0)</f>
        <v>0</v>
      </c>
      <c r="Q183" s="207">
        <f>IFERROR(SUMIF(data!$E:$E,科目余额表!$B183,data!M:M),0)</f>
        <v>0</v>
      </c>
      <c r="R183" s="207">
        <f>IFERROR(SUMIF(data!$E:$E,科目余额表!$B183,data!N:N),0)</f>
        <v>0</v>
      </c>
      <c r="S183" s="207">
        <f>IFERROR(SUMIF(data!$E:$E,科目余额表!$B183,data!O:O),0)</f>
        <v>0</v>
      </c>
      <c r="T183" s="207">
        <f>IFERROR(SUMIF(data!$E:$E,科目余额表!$B183,data!P:P),0)</f>
        <v>0</v>
      </c>
      <c r="U183" s="207">
        <f>IFERROR(SUMIF(data!$E:$E,科目余额表!$B183,data!Q:Q),0)</f>
        <v>0</v>
      </c>
      <c r="V183" s="207">
        <f>IFERROR(SUMIF(data!$E:$E,科目余额表!$B183,data!R:R),0)</f>
        <v>0</v>
      </c>
      <c r="W183" s="207">
        <f>IFERROR(SUMIF(data!$E:$E,科目余额表!$B183,data!S:S),0)</f>
        <v>0</v>
      </c>
      <c r="X183" s="207"/>
      <c r="Y183" s="207"/>
      <c r="Z183" s="207"/>
      <c r="AA183" s="207"/>
      <c r="AB183" s="207"/>
      <c r="AC183" s="207"/>
      <c r="AD183" s="207"/>
      <c r="AE183" s="207"/>
      <c r="AF183" s="207"/>
    </row>
    <row r="184" spans="1:32" s="214" customFormat="1" ht="11.65" customHeight="1">
      <c r="A184" s="215"/>
      <c r="B184" s="220">
        <v>14701</v>
      </c>
      <c r="C184" s="205" t="s">
        <v>435</v>
      </c>
      <c r="D184" s="221">
        <v>0</v>
      </c>
      <c r="E184" s="221">
        <v>0</v>
      </c>
      <c r="F184" s="222">
        <f t="shared" si="2"/>
        <v>0</v>
      </c>
      <c r="G184" s="205" t="s">
        <v>57</v>
      </c>
      <c r="H184" s="219" t="s">
        <v>250</v>
      </c>
      <c r="J184" s="207" t="s">
        <v>434</v>
      </c>
      <c r="K184" s="207"/>
      <c r="L184" s="207">
        <f>IFERROR(SUMIF(data!$E:$E,科目余额表!$B184,data!H:H),0)</f>
        <v>0</v>
      </c>
      <c r="M184" s="207">
        <f>IFERROR(SUMIF(data!$E:$E,科目余额表!$B184,data!I:I),0)</f>
        <v>0</v>
      </c>
      <c r="N184" s="207">
        <f>IFERROR(SUMIF(data!$E:$E,科目余额表!$B184,data!J:J),0)</f>
        <v>0</v>
      </c>
      <c r="O184" s="207">
        <f>IFERROR(SUMIF(data!$E:$E,科目余额表!$B184,data!K:K),0)</f>
        <v>0</v>
      </c>
      <c r="P184" s="207">
        <f>IFERROR(SUMIF(data!$E:$E,科目余额表!$B184,data!L:L),0)</f>
        <v>0</v>
      </c>
      <c r="Q184" s="207">
        <f>IFERROR(SUMIF(data!$E:$E,科目余额表!$B184,data!M:M),0)</f>
        <v>0</v>
      </c>
      <c r="R184" s="207">
        <f>IFERROR(SUMIF(data!$E:$E,科目余额表!$B184,data!N:N),0)</f>
        <v>0</v>
      </c>
      <c r="S184" s="207">
        <f>IFERROR(SUMIF(data!$E:$E,科目余额表!$B184,data!O:O),0)</f>
        <v>0</v>
      </c>
      <c r="T184" s="207">
        <f>IFERROR(SUMIF(data!$E:$E,科目余额表!$B184,data!P:P),0)</f>
        <v>0</v>
      </c>
      <c r="U184" s="207">
        <f>IFERROR(SUMIF(data!$E:$E,科目余额表!$B184,data!Q:Q),0)</f>
        <v>0</v>
      </c>
      <c r="V184" s="207">
        <f>IFERROR(SUMIF(data!$E:$E,科目余额表!$B184,data!R:R),0)</f>
        <v>0</v>
      </c>
      <c r="W184" s="207">
        <f>IFERROR(SUMIF(data!$E:$E,科目余额表!$B184,data!S:S),0)</f>
        <v>0</v>
      </c>
      <c r="X184" s="207"/>
      <c r="Y184" s="207"/>
      <c r="Z184" s="207"/>
      <c r="AA184" s="207"/>
      <c r="AB184" s="207"/>
      <c r="AC184" s="207"/>
      <c r="AD184" s="207"/>
      <c r="AE184" s="207"/>
      <c r="AF184" s="207"/>
    </row>
    <row r="185" spans="1:32" s="214" customFormat="1" ht="11.65" customHeight="1">
      <c r="A185" s="215"/>
      <c r="B185" s="220">
        <v>15000</v>
      </c>
      <c r="C185" s="205" t="s">
        <v>65</v>
      </c>
      <c r="D185" s="221">
        <v>0</v>
      </c>
      <c r="E185" s="221">
        <v>0</v>
      </c>
      <c r="F185" s="222">
        <f t="shared" si="2"/>
        <v>0</v>
      </c>
      <c r="G185" s="205" t="s">
        <v>65</v>
      </c>
      <c r="H185" s="219" t="s">
        <v>250</v>
      </c>
      <c r="J185" s="207" t="s">
        <v>65</v>
      </c>
      <c r="K185" s="207"/>
      <c r="L185" s="207">
        <f>IFERROR(SUMIF(data!$E:$E,科目余额表!$B185,data!H:H),0)</f>
        <v>0</v>
      </c>
      <c r="M185" s="207">
        <f>IFERROR(SUMIF(data!$E:$E,科目余额表!$B185,data!I:I),0)</f>
        <v>0</v>
      </c>
      <c r="N185" s="207">
        <f>IFERROR(SUMIF(data!$E:$E,科目余额表!$B185,data!J:J),0)</f>
        <v>0</v>
      </c>
      <c r="O185" s="207">
        <f>IFERROR(SUMIF(data!$E:$E,科目余额表!$B185,data!K:K),0)</f>
        <v>0</v>
      </c>
      <c r="P185" s="207">
        <f>IFERROR(SUMIF(data!$E:$E,科目余额表!$B185,data!L:L),0)</f>
        <v>0</v>
      </c>
      <c r="Q185" s="207">
        <f>IFERROR(SUMIF(data!$E:$E,科目余额表!$B185,data!M:M),0)</f>
        <v>0</v>
      </c>
      <c r="R185" s="207">
        <f>IFERROR(SUMIF(data!$E:$E,科目余额表!$B185,data!N:N),0)</f>
        <v>0</v>
      </c>
      <c r="S185" s="207">
        <f>IFERROR(SUMIF(data!$E:$E,科目余额表!$B185,data!O:O),0)</f>
        <v>0</v>
      </c>
      <c r="T185" s="207">
        <f>IFERROR(SUMIF(data!$E:$E,科目余额表!$B185,data!P:P),0)</f>
        <v>0</v>
      </c>
      <c r="U185" s="207">
        <f>IFERROR(SUMIF(data!$E:$E,科目余额表!$B185,data!Q:Q),0)</f>
        <v>0</v>
      </c>
      <c r="V185" s="207">
        <f>IFERROR(SUMIF(data!$E:$E,科目余额表!$B185,data!R:R),0)</f>
        <v>0</v>
      </c>
      <c r="W185" s="207">
        <f>IFERROR(SUMIF(data!$E:$E,科目余额表!$B185,data!S:S),0)</f>
        <v>0</v>
      </c>
      <c r="X185" s="207"/>
      <c r="Y185" s="207"/>
      <c r="Z185" s="207"/>
      <c r="AA185" s="207"/>
      <c r="AB185" s="207"/>
      <c r="AC185" s="207"/>
      <c r="AD185" s="207"/>
      <c r="AE185" s="207"/>
      <c r="AF185" s="207"/>
    </row>
    <row r="186" spans="1:32" s="214" customFormat="1" ht="11.65" customHeight="1">
      <c r="A186" s="215"/>
      <c r="B186" s="220">
        <v>15002</v>
      </c>
      <c r="C186" s="205" t="s">
        <v>436</v>
      </c>
      <c r="D186" s="221">
        <v>0</v>
      </c>
      <c r="E186" s="221">
        <v>0</v>
      </c>
      <c r="F186" s="222">
        <f t="shared" si="2"/>
        <v>0</v>
      </c>
      <c r="G186" s="205" t="s">
        <v>65</v>
      </c>
      <c r="H186" s="219" t="s">
        <v>250</v>
      </c>
      <c r="J186" s="207" t="s">
        <v>436</v>
      </c>
      <c r="K186" s="207"/>
      <c r="L186" s="207">
        <f>IFERROR(SUMIF(data!$E:$E,科目余额表!$B186,data!H:H),0)</f>
        <v>0</v>
      </c>
      <c r="M186" s="207">
        <f>IFERROR(SUMIF(data!$E:$E,科目余额表!$B186,data!I:I),0)</f>
        <v>0</v>
      </c>
      <c r="N186" s="207">
        <f>IFERROR(SUMIF(data!$E:$E,科目余额表!$B186,data!J:J),0)</f>
        <v>0</v>
      </c>
      <c r="O186" s="207">
        <f>IFERROR(SUMIF(data!$E:$E,科目余额表!$B186,data!K:K),0)</f>
        <v>0</v>
      </c>
      <c r="P186" s="207">
        <f>IFERROR(SUMIF(data!$E:$E,科目余额表!$B186,data!L:L),0)</f>
        <v>0</v>
      </c>
      <c r="Q186" s="207">
        <f>IFERROR(SUMIF(data!$E:$E,科目余额表!$B186,data!M:M),0)</f>
        <v>0</v>
      </c>
      <c r="R186" s="207">
        <f>IFERROR(SUMIF(data!$E:$E,科目余额表!$B186,data!N:N),0)</f>
        <v>0</v>
      </c>
      <c r="S186" s="207">
        <f>IFERROR(SUMIF(data!$E:$E,科目余额表!$B186,data!O:O),0)</f>
        <v>0</v>
      </c>
      <c r="T186" s="207">
        <f>IFERROR(SUMIF(data!$E:$E,科目余额表!$B186,data!P:P),0)</f>
        <v>0</v>
      </c>
      <c r="U186" s="207">
        <f>IFERROR(SUMIF(data!$E:$E,科目余额表!$B186,data!Q:Q),0)</f>
        <v>0</v>
      </c>
      <c r="V186" s="207">
        <f>IFERROR(SUMIF(data!$E:$E,科目余额表!$B186,data!R:R),0)</f>
        <v>0</v>
      </c>
      <c r="W186" s="207">
        <f>IFERROR(SUMIF(data!$E:$E,科目余额表!$B186,data!S:S),0)</f>
        <v>0</v>
      </c>
      <c r="X186" s="207"/>
      <c r="Y186" s="207"/>
      <c r="Z186" s="207"/>
      <c r="AA186" s="207"/>
      <c r="AB186" s="207"/>
      <c r="AC186" s="207"/>
      <c r="AD186" s="207"/>
      <c r="AE186" s="207"/>
      <c r="AF186" s="207"/>
    </row>
    <row r="187" spans="1:32" s="214" customFormat="1" ht="11.65" customHeight="1">
      <c r="A187" s="215"/>
      <c r="B187" s="220">
        <v>15004</v>
      </c>
      <c r="C187" s="205" t="s">
        <v>437</v>
      </c>
      <c r="D187" s="221">
        <v>0</v>
      </c>
      <c r="E187" s="221">
        <v>0</v>
      </c>
      <c r="F187" s="222">
        <f t="shared" si="2"/>
        <v>0</v>
      </c>
      <c r="G187" s="205" t="s">
        <v>65</v>
      </c>
      <c r="H187" s="219" t="s">
        <v>250</v>
      </c>
      <c r="J187" s="207" t="s">
        <v>437</v>
      </c>
      <c r="K187" s="207"/>
      <c r="L187" s="207">
        <f>IFERROR(SUMIF(data!$E:$E,科目余额表!$B187,data!H:H),0)</f>
        <v>0</v>
      </c>
      <c r="M187" s="207">
        <f>IFERROR(SUMIF(data!$E:$E,科目余额表!$B187,data!I:I),0)</f>
        <v>0</v>
      </c>
      <c r="N187" s="207">
        <f>IFERROR(SUMIF(data!$E:$E,科目余额表!$B187,data!J:J),0)</f>
        <v>0</v>
      </c>
      <c r="O187" s="207">
        <f>IFERROR(SUMIF(data!$E:$E,科目余额表!$B187,data!K:K),0)</f>
        <v>0</v>
      </c>
      <c r="P187" s="207">
        <f>IFERROR(SUMIF(data!$E:$E,科目余额表!$B187,data!L:L),0)</f>
        <v>0</v>
      </c>
      <c r="Q187" s="207">
        <f>IFERROR(SUMIF(data!$E:$E,科目余额表!$B187,data!M:M),0)</f>
        <v>0</v>
      </c>
      <c r="R187" s="207">
        <f>IFERROR(SUMIF(data!$E:$E,科目余额表!$B187,data!N:N),0)</f>
        <v>0</v>
      </c>
      <c r="S187" s="207">
        <f>IFERROR(SUMIF(data!$E:$E,科目余额表!$B187,data!O:O),0)</f>
        <v>0</v>
      </c>
      <c r="T187" s="207">
        <f>IFERROR(SUMIF(data!$E:$E,科目余额表!$B187,data!P:P),0)</f>
        <v>0</v>
      </c>
      <c r="U187" s="207">
        <f>IFERROR(SUMIF(data!$E:$E,科目余额表!$B187,data!Q:Q),0)</f>
        <v>0</v>
      </c>
      <c r="V187" s="207">
        <f>IFERROR(SUMIF(data!$E:$E,科目余额表!$B187,data!R:R),0)</f>
        <v>0</v>
      </c>
      <c r="W187" s="207">
        <f>IFERROR(SUMIF(data!$E:$E,科目余额表!$B187,data!S:S),0)</f>
        <v>0</v>
      </c>
      <c r="X187" s="207"/>
      <c r="Y187" s="207"/>
      <c r="Z187" s="207"/>
      <c r="AA187" s="207"/>
      <c r="AB187" s="207"/>
      <c r="AC187" s="207"/>
      <c r="AD187" s="207"/>
      <c r="AE187" s="207"/>
      <c r="AF187" s="207"/>
    </row>
    <row r="188" spans="1:32" s="214" customFormat="1" ht="11.65" customHeight="1">
      <c r="A188" s="215"/>
      <c r="B188" s="220">
        <v>15005</v>
      </c>
      <c r="C188" s="205" t="s">
        <v>438</v>
      </c>
      <c r="D188" s="221">
        <v>0</v>
      </c>
      <c r="E188" s="221">
        <v>0</v>
      </c>
      <c r="F188" s="222">
        <f t="shared" si="2"/>
        <v>0</v>
      </c>
      <c r="G188" s="205" t="s">
        <v>65</v>
      </c>
      <c r="H188" s="219" t="s">
        <v>250</v>
      </c>
      <c r="J188" s="207" t="s">
        <v>438</v>
      </c>
      <c r="K188" s="207"/>
      <c r="L188" s="207">
        <f>IFERROR(SUMIF(data!$E:$E,科目余额表!$B188,data!H:H),0)</f>
        <v>0</v>
      </c>
      <c r="M188" s="207">
        <f>IFERROR(SUMIF(data!$E:$E,科目余额表!$B188,data!I:I),0)</f>
        <v>0</v>
      </c>
      <c r="N188" s="207">
        <f>IFERROR(SUMIF(data!$E:$E,科目余额表!$B188,data!J:J),0)</f>
        <v>0</v>
      </c>
      <c r="O188" s="207">
        <f>IFERROR(SUMIF(data!$E:$E,科目余额表!$B188,data!K:K),0)</f>
        <v>0</v>
      </c>
      <c r="P188" s="207">
        <f>IFERROR(SUMIF(data!$E:$E,科目余额表!$B188,data!L:L),0)</f>
        <v>0</v>
      </c>
      <c r="Q188" s="207">
        <f>IFERROR(SUMIF(data!$E:$E,科目余额表!$B188,data!M:M),0)</f>
        <v>0</v>
      </c>
      <c r="R188" s="207">
        <f>IFERROR(SUMIF(data!$E:$E,科目余额表!$B188,data!N:N),0)</f>
        <v>0</v>
      </c>
      <c r="S188" s="207">
        <f>IFERROR(SUMIF(data!$E:$E,科目余额表!$B188,data!O:O),0)</f>
        <v>0</v>
      </c>
      <c r="T188" s="207">
        <f>IFERROR(SUMIF(data!$E:$E,科目余额表!$B188,data!P:P),0)</f>
        <v>0</v>
      </c>
      <c r="U188" s="207">
        <f>IFERROR(SUMIF(data!$E:$E,科目余额表!$B188,data!Q:Q),0)</f>
        <v>0</v>
      </c>
      <c r="V188" s="207">
        <f>IFERROR(SUMIF(data!$E:$E,科目余额表!$B188,data!R:R),0)</f>
        <v>0</v>
      </c>
      <c r="W188" s="207">
        <f>IFERROR(SUMIF(data!$E:$E,科目余额表!$B188,data!S:S),0)</f>
        <v>0</v>
      </c>
      <c r="X188" s="207"/>
      <c r="Y188" s="207"/>
      <c r="Z188" s="207"/>
      <c r="AA188" s="207"/>
      <c r="AB188" s="207"/>
      <c r="AC188" s="207"/>
      <c r="AD188" s="207"/>
      <c r="AE188" s="207"/>
      <c r="AF188" s="207"/>
    </row>
    <row r="189" spans="1:32" s="214" customFormat="1" ht="11.65" customHeight="1">
      <c r="A189" s="215"/>
      <c r="B189" s="220">
        <v>15100</v>
      </c>
      <c r="C189" s="205" t="s">
        <v>439</v>
      </c>
      <c r="D189" s="221">
        <v>0</v>
      </c>
      <c r="E189" s="221">
        <v>0</v>
      </c>
      <c r="F189" s="222">
        <f t="shared" si="2"/>
        <v>0</v>
      </c>
      <c r="G189" s="205" t="s">
        <v>439</v>
      </c>
      <c r="H189" s="219" t="s">
        <v>250</v>
      </c>
      <c r="J189" s="207" t="s">
        <v>65</v>
      </c>
      <c r="K189" s="207"/>
      <c r="L189" s="207">
        <f>IFERROR(SUMIF(data!$E:$E,科目余额表!$B189,data!H:H),0)</f>
        <v>0</v>
      </c>
      <c r="M189" s="207">
        <f>IFERROR(SUMIF(data!$E:$E,科目余额表!$B189,data!I:I),0)</f>
        <v>0</v>
      </c>
      <c r="N189" s="207">
        <f>IFERROR(SUMIF(data!$E:$E,科目余额表!$B189,data!J:J),0)</f>
        <v>0</v>
      </c>
      <c r="O189" s="207">
        <f>IFERROR(SUMIF(data!$E:$E,科目余额表!$B189,data!K:K),0)</f>
        <v>0</v>
      </c>
      <c r="P189" s="207">
        <f>IFERROR(SUMIF(data!$E:$E,科目余额表!$B189,data!L:L),0)</f>
        <v>0</v>
      </c>
      <c r="Q189" s="207">
        <f>IFERROR(SUMIF(data!$E:$E,科目余额表!$B189,data!M:M),0)</f>
        <v>0</v>
      </c>
      <c r="R189" s="207">
        <f>IFERROR(SUMIF(data!$E:$E,科目余额表!$B189,data!N:N),0)</f>
        <v>0</v>
      </c>
      <c r="S189" s="207">
        <f>IFERROR(SUMIF(data!$E:$E,科目余额表!$B189,data!O:O),0)</f>
        <v>0</v>
      </c>
      <c r="T189" s="207">
        <f>IFERROR(SUMIF(data!$E:$E,科目余额表!$B189,data!P:P),0)</f>
        <v>0</v>
      </c>
      <c r="U189" s="207">
        <f>IFERROR(SUMIF(data!$E:$E,科目余额表!$B189,data!Q:Q),0)</f>
        <v>0</v>
      </c>
      <c r="V189" s="207">
        <f>IFERROR(SUMIF(data!$E:$E,科目余额表!$B189,data!R:R),0)</f>
        <v>0</v>
      </c>
      <c r="W189" s="207">
        <f>IFERROR(SUMIF(data!$E:$E,科目余额表!$B189,data!S:S),0)</f>
        <v>0</v>
      </c>
      <c r="X189" s="207"/>
      <c r="Y189" s="207"/>
      <c r="Z189" s="207"/>
      <c r="AA189" s="207"/>
      <c r="AB189" s="207"/>
      <c r="AC189" s="207"/>
      <c r="AD189" s="207"/>
      <c r="AE189" s="207"/>
      <c r="AF189" s="207"/>
    </row>
    <row r="190" spans="1:32" s="214" customFormat="1" ht="11.65" customHeight="1">
      <c r="A190" s="215"/>
      <c r="B190" s="220">
        <v>15104</v>
      </c>
      <c r="C190" s="205" t="s">
        <v>440</v>
      </c>
      <c r="D190" s="221">
        <v>0</v>
      </c>
      <c r="E190" s="221">
        <v>0</v>
      </c>
      <c r="F190" s="222">
        <f t="shared" si="2"/>
        <v>0</v>
      </c>
      <c r="G190" s="205" t="s">
        <v>439</v>
      </c>
      <c r="H190" s="219" t="s">
        <v>250</v>
      </c>
      <c r="J190" s="207" t="s">
        <v>437</v>
      </c>
      <c r="K190" s="207"/>
      <c r="L190" s="207">
        <f>IFERROR(SUMIF(data!$E:$E,科目余额表!$B190,data!H:H),0)</f>
        <v>0</v>
      </c>
      <c r="M190" s="207">
        <f>IFERROR(SUMIF(data!$E:$E,科目余额表!$B190,data!I:I),0)</f>
        <v>0</v>
      </c>
      <c r="N190" s="207">
        <f>IFERROR(SUMIF(data!$E:$E,科目余额表!$B190,data!J:J),0)</f>
        <v>0</v>
      </c>
      <c r="O190" s="207">
        <f>IFERROR(SUMIF(data!$E:$E,科目余额表!$B190,data!K:K),0)</f>
        <v>0</v>
      </c>
      <c r="P190" s="207">
        <f>IFERROR(SUMIF(data!$E:$E,科目余额表!$B190,data!L:L),0)</f>
        <v>0</v>
      </c>
      <c r="Q190" s="207">
        <f>IFERROR(SUMIF(data!$E:$E,科目余额表!$B190,data!M:M),0)</f>
        <v>0</v>
      </c>
      <c r="R190" s="207">
        <f>IFERROR(SUMIF(data!$E:$E,科目余额表!$B190,data!N:N),0)</f>
        <v>0</v>
      </c>
      <c r="S190" s="207">
        <f>IFERROR(SUMIF(data!$E:$E,科目余额表!$B190,data!O:O),0)</f>
        <v>0</v>
      </c>
      <c r="T190" s="207">
        <f>IFERROR(SUMIF(data!$E:$E,科目余额表!$B190,data!P:P),0)</f>
        <v>0</v>
      </c>
      <c r="U190" s="207">
        <f>IFERROR(SUMIF(data!$E:$E,科目余额表!$B190,data!Q:Q),0)</f>
        <v>0</v>
      </c>
      <c r="V190" s="207">
        <f>IFERROR(SUMIF(data!$E:$E,科目余额表!$B190,data!R:R),0)</f>
        <v>0</v>
      </c>
      <c r="W190" s="207">
        <f>IFERROR(SUMIF(data!$E:$E,科目余额表!$B190,data!S:S),0)</f>
        <v>0</v>
      </c>
      <c r="X190" s="207"/>
      <c r="Y190" s="207"/>
      <c r="Z190" s="207"/>
      <c r="AA190" s="207"/>
      <c r="AB190" s="207"/>
      <c r="AC190" s="207"/>
      <c r="AD190" s="207"/>
      <c r="AE190" s="207"/>
      <c r="AF190" s="207"/>
    </row>
    <row r="191" spans="1:32" s="214" customFormat="1" ht="11.65" customHeight="1">
      <c r="A191" s="215"/>
      <c r="B191" s="220">
        <v>16000</v>
      </c>
      <c r="C191" s="205" t="s">
        <v>441</v>
      </c>
      <c r="D191" s="221">
        <v>0</v>
      </c>
      <c r="E191" s="221">
        <v>0</v>
      </c>
      <c r="F191" s="222">
        <f t="shared" si="2"/>
        <v>0</v>
      </c>
      <c r="G191" s="205" t="s">
        <v>442</v>
      </c>
      <c r="H191" s="219" t="s">
        <v>250</v>
      </c>
      <c r="J191" s="207" t="s">
        <v>68</v>
      </c>
      <c r="K191" s="207"/>
      <c r="L191" s="207">
        <f>IFERROR(SUMIF(data!$E:$E,科目余额表!$B191,data!H:H),0)</f>
        <v>0</v>
      </c>
      <c r="M191" s="207">
        <f>IFERROR(SUMIF(data!$E:$E,科目余额表!$B191,data!I:I),0)</f>
        <v>0</v>
      </c>
      <c r="N191" s="207">
        <f>IFERROR(SUMIF(data!$E:$E,科目余额表!$B191,data!J:J),0)</f>
        <v>0</v>
      </c>
      <c r="O191" s="207">
        <f>IFERROR(SUMIF(data!$E:$E,科目余额表!$B191,data!K:K),0)</f>
        <v>0</v>
      </c>
      <c r="P191" s="207">
        <f>IFERROR(SUMIF(data!$E:$E,科目余额表!$B191,data!L:L),0)</f>
        <v>0</v>
      </c>
      <c r="Q191" s="207">
        <f>IFERROR(SUMIF(data!$E:$E,科目余额表!$B191,data!M:M),0)</f>
        <v>0</v>
      </c>
      <c r="R191" s="207">
        <f>IFERROR(SUMIF(data!$E:$E,科目余额表!$B191,data!N:N),0)</f>
        <v>0</v>
      </c>
      <c r="S191" s="207">
        <f>IFERROR(SUMIF(data!$E:$E,科目余额表!$B191,data!O:O),0)</f>
        <v>0</v>
      </c>
      <c r="T191" s="207">
        <f>IFERROR(SUMIF(data!$E:$E,科目余额表!$B191,data!P:P),0)</f>
        <v>0</v>
      </c>
      <c r="U191" s="207">
        <f>IFERROR(SUMIF(data!$E:$E,科目余额表!$B191,data!Q:Q),0)</f>
        <v>0</v>
      </c>
      <c r="V191" s="207">
        <f>IFERROR(SUMIF(data!$E:$E,科目余额表!$B191,data!R:R),0)</f>
        <v>0</v>
      </c>
      <c r="W191" s="207">
        <f>IFERROR(SUMIF(data!$E:$E,科目余额表!$B191,data!S:S),0)</f>
        <v>0</v>
      </c>
      <c r="X191" s="207"/>
      <c r="Y191" s="207"/>
      <c r="Z191" s="207"/>
      <c r="AA191" s="207"/>
      <c r="AB191" s="207"/>
      <c r="AC191" s="207"/>
      <c r="AD191" s="207"/>
      <c r="AE191" s="207"/>
      <c r="AF191" s="207"/>
    </row>
    <row r="192" spans="1:32" s="214" customFormat="1" ht="11.65" customHeight="1">
      <c r="A192" s="215"/>
      <c r="B192" s="220">
        <v>16001</v>
      </c>
      <c r="C192" s="205" t="s">
        <v>443</v>
      </c>
      <c r="D192" s="221">
        <v>0</v>
      </c>
      <c r="E192" s="221">
        <v>0</v>
      </c>
      <c r="F192" s="222">
        <f t="shared" si="2"/>
        <v>0</v>
      </c>
      <c r="G192" s="205" t="s">
        <v>442</v>
      </c>
      <c r="H192" s="219" t="s">
        <v>250</v>
      </c>
      <c r="J192" s="207" t="s">
        <v>68</v>
      </c>
      <c r="K192" s="207"/>
      <c r="L192" s="207">
        <f>IFERROR(SUMIF(data!$E:$E,科目余额表!$B192,data!H:H),0)</f>
        <v>0</v>
      </c>
      <c r="M192" s="207">
        <f>IFERROR(SUMIF(data!$E:$E,科目余额表!$B192,data!I:I),0)</f>
        <v>0</v>
      </c>
      <c r="N192" s="207">
        <f>IFERROR(SUMIF(data!$E:$E,科目余额表!$B192,data!J:J),0)</f>
        <v>0</v>
      </c>
      <c r="O192" s="207">
        <f>IFERROR(SUMIF(data!$E:$E,科目余额表!$B192,data!K:K),0)</f>
        <v>0</v>
      </c>
      <c r="P192" s="207">
        <f>IFERROR(SUMIF(data!$E:$E,科目余额表!$B192,data!L:L),0)</f>
        <v>0</v>
      </c>
      <c r="Q192" s="207">
        <f>IFERROR(SUMIF(data!$E:$E,科目余额表!$B192,data!M:M),0)</f>
        <v>0</v>
      </c>
      <c r="R192" s="207">
        <f>IFERROR(SUMIF(data!$E:$E,科目余额表!$B192,data!N:N),0)</f>
        <v>0</v>
      </c>
      <c r="S192" s="207">
        <f>IFERROR(SUMIF(data!$E:$E,科目余额表!$B192,data!O:O),0)</f>
        <v>0</v>
      </c>
      <c r="T192" s="207">
        <f>IFERROR(SUMIF(data!$E:$E,科目余额表!$B192,data!P:P),0)</f>
        <v>0</v>
      </c>
      <c r="U192" s="207">
        <f>IFERROR(SUMIF(data!$E:$E,科目余额表!$B192,data!Q:Q),0)</f>
        <v>0</v>
      </c>
      <c r="V192" s="207">
        <f>IFERROR(SUMIF(data!$E:$E,科目余额表!$B192,data!R:R),0)</f>
        <v>0</v>
      </c>
      <c r="W192" s="207">
        <f>IFERROR(SUMIF(data!$E:$E,科目余额表!$B192,data!S:S),0)</f>
        <v>0</v>
      </c>
      <c r="X192" s="207"/>
      <c r="Y192" s="207"/>
      <c r="Z192" s="207"/>
      <c r="AA192" s="207"/>
      <c r="AB192" s="207"/>
      <c r="AC192" s="207"/>
      <c r="AD192" s="207"/>
      <c r="AE192" s="207"/>
      <c r="AF192" s="207"/>
    </row>
    <row r="193" spans="1:32" s="214" customFormat="1" ht="11.65" customHeight="1">
      <c r="A193" s="215"/>
      <c r="B193" s="220">
        <v>16100</v>
      </c>
      <c r="C193" s="205" t="s">
        <v>444</v>
      </c>
      <c r="D193" s="221">
        <v>0</v>
      </c>
      <c r="E193" s="221">
        <v>0</v>
      </c>
      <c r="F193" s="222">
        <f t="shared" si="2"/>
        <v>0</v>
      </c>
      <c r="G193" s="205" t="s">
        <v>445</v>
      </c>
      <c r="H193" s="219" t="s">
        <v>250</v>
      </c>
      <c r="J193" s="207" t="s">
        <v>68</v>
      </c>
      <c r="K193" s="207"/>
      <c r="L193" s="207">
        <f>IFERROR(SUMIF(data!$E:$E,科目余额表!$B193,data!H:H),0)</f>
        <v>0</v>
      </c>
      <c r="M193" s="207">
        <f>IFERROR(SUMIF(data!$E:$E,科目余额表!$B193,data!I:I),0)</f>
        <v>0</v>
      </c>
      <c r="N193" s="207">
        <f>IFERROR(SUMIF(data!$E:$E,科目余额表!$B193,data!J:J),0)</f>
        <v>0</v>
      </c>
      <c r="O193" s="207">
        <f>IFERROR(SUMIF(data!$E:$E,科目余额表!$B193,data!K:K),0)</f>
        <v>0</v>
      </c>
      <c r="P193" s="207">
        <f>IFERROR(SUMIF(data!$E:$E,科目余额表!$B193,data!L:L),0)</f>
        <v>0</v>
      </c>
      <c r="Q193" s="207">
        <f>IFERROR(SUMIF(data!$E:$E,科目余额表!$B193,data!M:M),0)</f>
        <v>0</v>
      </c>
      <c r="R193" s="207">
        <f>IFERROR(SUMIF(data!$E:$E,科目余额表!$B193,data!N:N),0)</f>
        <v>0</v>
      </c>
      <c r="S193" s="207">
        <f>IFERROR(SUMIF(data!$E:$E,科目余额表!$B193,data!O:O),0)</f>
        <v>0</v>
      </c>
      <c r="T193" s="207">
        <f>IFERROR(SUMIF(data!$E:$E,科目余额表!$B193,data!P:P),0)</f>
        <v>0</v>
      </c>
      <c r="U193" s="207">
        <f>IFERROR(SUMIF(data!$E:$E,科目余额表!$B193,data!Q:Q),0)</f>
        <v>0</v>
      </c>
      <c r="V193" s="207">
        <f>IFERROR(SUMIF(data!$E:$E,科目余额表!$B193,data!R:R),0)</f>
        <v>0</v>
      </c>
      <c r="W193" s="207">
        <f>IFERROR(SUMIF(data!$E:$E,科目余额表!$B193,data!S:S),0)</f>
        <v>0</v>
      </c>
      <c r="X193" s="207"/>
      <c r="Y193" s="207"/>
      <c r="Z193" s="207"/>
      <c r="AA193" s="207"/>
      <c r="AB193" s="207"/>
      <c r="AC193" s="207"/>
      <c r="AD193" s="207"/>
      <c r="AE193" s="207"/>
      <c r="AF193" s="207"/>
    </row>
    <row r="194" spans="1:32" s="214" customFormat="1" ht="11.65" customHeight="1">
      <c r="A194" s="215"/>
      <c r="B194" s="220">
        <v>16101</v>
      </c>
      <c r="C194" s="205" t="s">
        <v>446</v>
      </c>
      <c r="D194" s="221">
        <v>0</v>
      </c>
      <c r="E194" s="221">
        <v>0</v>
      </c>
      <c r="F194" s="222">
        <f t="shared" si="2"/>
        <v>0</v>
      </c>
      <c r="G194" s="205" t="s">
        <v>445</v>
      </c>
      <c r="H194" s="219" t="s">
        <v>250</v>
      </c>
      <c r="J194" s="207" t="s">
        <v>68</v>
      </c>
      <c r="K194" s="207"/>
      <c r="L194" s="207">
        <f>IFERROR(SUMIF(data!$E:$E,科目余额表!$B194,data!H:H),0)</f>
        <v>0</v>
      </c>
      <c r="M194" s="207">
        <f>IFERROR(SUMIF(data!$E:$E,科目余额表!$B194,data!I:I),0)</f>
        <v>0</v>
      </c>
      <c r="N194" s="207">
        <f>IFERROR(SUMIF(data!$E:$E,科目余额表!$B194,data!J:J),0)</f>
        <v>0</v>
      </c>
      <c r="O194" s="207">
        <f>IFERROR(SUMIF(data!$E:$E,科目余额表!$B194,data!K:K),0)</f>
        <v>0</v>
      </c>
      <c r="P194" s="207">
        <f>IFERROR(SUMIF(data!$E:$E,科目余额表!$B194,data!L:L),0)</f>
        <v>0</v>
      </c>
      <c r="Q194" s="207">
        <f>IFERROR(SUMIF(data!$E:$E,科目余额表!$B194,data!M:M),0)</f>
        <v>0</v>
      </c>
      <c r="R194" s="207">
        <f>IFERROR(SUMIF(data!$E:$E,科目余额表!$B194,data!N:N),0)</f>
        <v>0</v>
      </c>
      <c r="S194" s="207">
        <f>IFERROR(SUMIF(data!$E:$E,科目余额表!$B194,data!O:O),0)</f>
        <v>0</v>
      </c>
      <c r="T194" s="207">
        <f>IFERROR(SUMIF(data!$E:$E,科目余额表!$B194,data!P:P),0)</f>
        <v>0</v>
      </c>
      <c r="U194" s="207">
        <f>IFERROR(SUMIF(data!$E:$E,科目余额表!$B194,data!Q:Q),0)</f>
        <v>0</v>
      </c>
      <c r="V194" s="207">
        <f>IFERROR(SUMIF(data!$E:$E,科目余额表!$B194,data!R:R),0)</f>
        <v>0</v>
      </c>
      <c r="W194" s="207">
        <f>IFERROR(SUMIF(data!$E:$E,科目余额表!$B194,data!S:S),0)</f>
        <v>0</v>
      </c>
      <c r="X194" s="207"/>
      <c r="Y194" s="207"/>
      <c r="Z194" s="207"/>
      <c r="AA194" s="207"/>
      <c r="AB194" s="207"/>
      <c r="AC194" s="207"/>
      <c r="AD194" s="207"/>
      <c r="AE194" s="207"/>
      <c r="AF194" s="207"/>
    </row>
    <row r="195" spans="1:32" s="214" customFormat="1" ht="11.65" customHeight="1">
      <c r="A195" s="215"/>
      <c r="B195" s="220">
        <v>16200</v>
      </c>
      <c r="C195" s="205" t="s">
        <v>447</v>
      </c>
      <c r="D195" s="221">
        <v>0</v>
      </c>
      <c r="E195" s="221">
        <v>0</v>
      </c>
      <c r="F195" s="222">
        <f t="shared" si="2"/>
        <v>0</v>
      </c>
      <c r="G195" s="205" t="s">
        <v>448</v>
      </c>
      <c r="H195" s="219" t="s">
        <v>250</v>
      </c>
      <c r="J195" s="207" t="s">
        <v>68</v>
      </c>
      <c r="K195" s="207"/>
      <c r="L195" s="207">
        <f>IFERROR(SUMIF(data!$E:$E,科目余额表!$B195,data!H:H),0)</f>
        <v>0</v>
      </c>
      <c r="M195" s="207">
        <f>IFERROR(SUMIF(data!$E:$E,科目余额表!$B195,data!I:I),0)</f>
        <v>0</v>
      </c>
      <c r="N195" s="207">
        <f>IFERROR(SUMIF(data!$E:$E,科目余额表!$B195,data!J:J),0)</f>
        <v>0</v>
      </c>
      <c r="O195" s="207">
        <f>IFERROR(SUMIF(data!$E:$E,科目余额表!$B195,data!K:K),0)</f>
        <v>0</v>
      </c>
      <c r="P195" s="207">
        <f>IFERROR(SUMIF(data!$E:$E,科目余额表!$B195,data!L:L),0)</f>
        <v>0</v>
      </c>
      <c r="Q195" s="207">
        <f>IFERROR(SUMIF(data!$E:$E,科目余额表!$B195,data!M:M),0)</f>
        <v>0</v>
      </c>
      <c r="R195" s="207">
        <f>IFERROR(SUMIF(data!$E:$E,科目余额表!$B195,data!N:N),0)</f>
        <v>0</v>
      </c>
      <c r="S195" s="207">
        <f>IFERROR(SUMIF(data!$E:$E,科目余额表!$B195,data!O:O),0)</f>
        <v>0</v>
      </c>
      <c r="T195" s="207">
        <f>IFERROR(SUMIF(data!$E:$E,科目余额表!$B195,data!P:P),0)</f>
        <v>0</v>
      </c>
      <c r="U195" s="207">
        <f>IFERROR(SUMIF(data!$E:$E,科目余额表!$B195,data!Q:Q),0)</f>
        <v>0</v>
      </c>
      <c r="V195" s="207">
        <f>IFERROR(SUMIF(data!$E:$E,科目余额表!$B195,data!R:R),0)</f>
        <v>0</v>
      </c>
      <c r="W195" s="207">
        <f>IFERROR(SUMIF(data!$E:$E,科目余额表!$B195,data!S:S),0)</f>
        <v>0</v>
      </c>
      <c r="X195" s="207"/>
      <c r="Y195" s="207"/>
      <c r="Z195" s="207"/>
      <c r="AA195" s="207"/>
      <c r="AB195" s="207"/>
      <c r="AC195" s="207"/>
      <c r="AD195" s="207"/>
      <c r="AE195" s="207"/>
      <c r="AF195" s="207"/>
    </row>
    <row r="196" spans="1:32" s="214" customFormat="1" ht="11.65" customHeight="1">
      <c r="A196" s="215"/>
      <c r="B196" s="220">
        <v>16300</v>
      </c>
      <c r="C196" s="205" t="s">
        <v>449</v>
      </c>
      <c r="D196" s="221">
        <v>33082839.919999998</v>
      </c>
      <c r="E196" s="221">
        <v>459000.03000000119</v>
      </c>
      <c r="F196" s="222">
        <f t="shared" si="2"/>
        <v>33541839.949999999</v>
      </c>
      <c r="G196" s="205" t="s">
        <v>442</v>
      </c>
      <c r="H196" s="219" t="s">
        <v>250</v>
      </c>
      <c r="J196" s="207" t="s">
        <v>69</v>
      </c>
      <c r="K196" s="207"/>
      <c r="L196" s="207">
        <f>IFERROR(SUMIF(data!$E:$E,科目余额表!$B196,data!H:H),0)</f>
        <v>25538759.82</v>
      </c>
      <c r="M196" s="207">
        <f>IFERROR(SUMIF(data!$E:$E,科目余额表!$B196,data!I:I),0)</f>
        <v>30336165.329999998</v>
      </c>
      <c r="N196" s="207">
        <f>IFERROR(SUMIF(data!$E:$E,科目余额表!$B196,data!J:J),0)</f>
        <v>30542381.329999998</v>
      </c>
      <c r="O196" s="207">
        <f>IFERROR(SUMIF(data!$E:$E,科目余额表!$B196,data!K:K),0)</f>
        <v>30542381.329999998</v>
      </c>
      <c r="P196" s="207">
        <f>IFERROR(SUMIF(data!$E:$E,科目余额表!$B196,data!L:L),0)</f>
        <v>30542381.329999998</v>
      </c>
      <c r="Q196" s="207">
        <f>IFERROR(SUMIF(data!$E:$E,科目余额表!$B196,data!M:M),0)</f>
        <v>30542381.329999998</v>
      </c>
      <c r="R196" s="207">
        <f>IFERROR(SUMIF(data!$E:$E,科目余额表!$B196,data!N:N),0)</f>
        <v>30542381.329999998</v>
      </c>
      <c r="S196" s="207">
        <f>IFERROR(SUMIF(data!$E:$E,科目余额表!$B196,data!O:O),0)</f>
        <v>30542381.329999998</v>
      </c>
      <c r="T196" s="207">
        <f>IFERROR(SUMIF(data!$E:$E,科目余额表!$B196,data!P:P),0)</f>
        <v>30542381.329999998</v>
      </c>
      <c r="U196" s="207">
        <f>IFERROR(SUMIF(data!$E:$E,科目余额表!$B196,data!Q:Q),0)</f>
        <v>33082839.919999998</v>
      </c>
      <c r="V196" s="207">
        <f>IFERROR(SUMIF(data!$E:$E,科目余额表!$B196,data!R:R),0)</f>
        <v>33082839.919999998</v>
      </c>
      <c r="W196" s="207">
        <f>IFERROR(SUMIF(data!$E:$E,科目余额表!$B196,data!S:S),0)</f>
        <v>33541839.949999999</v>
      </c>
      <c r="X196" s="207"/>
      <c r="Y196" s="207"/>
      <c r="Z196" s="207"/>
      <c r="AA196" s="207"/>
      <c r="AB196" s="207"/>
      <c r="AC196" s="207"/>
      <c r="AD196" s="207"/>
      <c r="AE196" s="207"/>
      <c r="AF196" s="207"/>
    </row>
    <row r="197" spans="1:32" s="214" customFormat="1" ht="11.65" customHeight="1">
      <c r="A197" s="215"/>
      <c r="B197" s="220">
        <v>16301</v>
      </c>
      <c r="C197" s="205" t="s">
        <v>450</v>
      </c>
      <c r="D197" s="221">
        <v>4567986.05</v>
      </c>
      <c r="E197" s="221">
        <v>0</v>
      </c>
      <c r="F197" s="222">
        <f t="shared" si="2"/>
        <v>4567986.05</v>
      </c>
      <c r="G197" s="205" t="s">
        <v>442</v>
      </c>
      <c r="H197" s="219" t="s">
        <v>250</v>
      </c>
      <c r="J197" s="207" t="s">
        <v>69</v>
      </c>
      <c r="K197" s="207"/>
      <c r="L197" s="207">
        <f>IFERROR(SUMIF(data!$E:$E,科目余额表!$B197,data!H:H),0)</f>
        <v>4567986.05</v>
      </c>
      <c r="M197" s="207">
        <f>IFERROR(SUMIF(data!$E:$E,科目余额表!$B197,data!I:I),0)</f>
        <v>4567986.05</v>
      </c>
      <c r="N197" s="207">
        <f>IFERROR(SUMIF(data!$E:$E,科目余额表!$B197,data!J:J),0)</f>
        <v>4567986.05</v>
      </c>
      <c r="O197" s="207">
        <f>IFERROR(SUMIF(data!$E:$E,科目余额表!$B197,data!K:K),0)</f>
        <v>4567986.05</v>
      </c>
      <c r="P197" s="207">
        <f>IFERROR(SUMIF(data!$E:$E,科目余额表!$B197,data!L:L),0)</f>
        <v>4567986.05</v>
      </c>
      <c r="Q197" s="207">
        <f>IFERROR(SUMIF(data!$E:$E,科目余额表!$B197,data!M:M),0)</f>
        <v>4567986.05</v>
      </c>
      <c r="R197" s="207">
        <f>IFERROR(SUMIF(data!$E:$E,科目余额表!$B197,data!N:N),0)</f>
        <v>4567986.05</v>
      </c>
      <c r="S197" s="207">
        <f>IFERROR(SUMIF(data!$E:$E,科目余额表!$B197,data!O:O),0)</f>
        <v>4567986.05</v>
      </c>
      <c r="T197" s="207">
        <f>IFERROR(SUMIF(data!$E:$E,科目余额表!$B197,data!P:P),0)</f>
        <v>4567986.05</v>
      </c>
      <c r="U197" s="207">
        <f>IFERROR(SUMIF(data!$E:$E,科目余额表!$B197,data!Q:Q),0)</f>
        <v>4567986.05</v>
      </c>
      <c r="V197" s="207">
        <f>IFERROR(SUMIF(data!$E:$E,科目余额表!$B197,data!R:R),0)</f>
        <v>4567986.05</v>
      </c>
      <c r="W197" s="207">
        <f>IFERROR(SUMIF(data!$E:$E,科目余额表!$B197,data!S:S),0)</f>
        <v>4567986.05</v>
      </c>
      <c r="X197" s="207"/>
      <c r="Y197" s="207"/>
      <c r="Z197" s="207"/>
      <c r="AA197" s="207"/>
      <c r="AB197" s="207"/>
      <c r="AC197" s="207"/>
      <c r="AD197" s="207"/>
      <c r="AE197" s="207"/>
      <c r="AF197" s="207"/>
    </row>
    <row r="198" spans="1:32" s="214" customFormat="1" ht="11.65" customHeight="1">
      <c r="A198" s="215"/>
      <c r="B198" s="220">
        <v>16302</v>
      </c>
      <c r="C198" s="205" t="s">
        <v>451</v>
      </c>
      <c r="D198" s="221">
        <v>0</v>
      </c>
      <c r="E198" s="221">
        <v>0</v>
      </c>
      <c r="F198" s="222">
        <f t="shared" si="2"/>
        <v>0</v>
      </c>
      <c r="G198" s="205" t="s">
        <v>442</v>
      </c>
      <c r="H198" s="219" t="s">
        <v>250</v>
      </c>
      <c r="J198" s="207" t="s">
        <v>69</v>
      </c>
      <c r="K198" s="207"/>
      <c r="L198" s="207">
        <f>IFERROR(SUMIF(data!$E:$E,科目余额表!$B198,data!H:H),0)</f>
        <v>0</v>
      </c>
      <c r="M198" s="207">
        <f>IFERROR(SUMIF(data!$E:$E,科目余额表!$B198,data!I:I),0)</f>
        <v>0</v>
      </c>
      <c r="N198" s="207">
        <f>IFERROR(SUMIF(data!$E:$E,科目余额表!$B198,data!J:J),0)</f>
        <v>0</v>
      </c>
      <c r="O198" s="207">
        <f>IFERROR(SUMIF(data!$E:$E,科目余额表!$B198,data!K:K),0)</f>
        <v>0</v>
      </c>
      <c r="P198" s="207">
        <f>IFERROR(SUMIF(data!$E:$E,科目余额表!$B198,data!L:L),0)</f>
        <v>0</v>
      </c>
      <c r="Q198" s="207">
        <f>IFERROR(SUMIF(data!$E:$E,科目余额表!$B198,data!M:M),0)</f>
        <v>0</v>
      </c>
      <c r="R198" s="207">
        <f>IFERROR(SUMIF(data!$E:$E,科目余额表!$B198,data!N:N),0)</f>
        <v>0</v>
      </c>
      <c r="S198" s="207">
        <f>IFERROR(SUMIF(data!$E:$E,科目余额表!$B198,data!O:O),0)</f>
        <v>0</v>
      </c>
      <c r="T198" s="207">
        <f>IFERROR(SUMIF(data!$E:$E,科目余额表!$B198,data!P:P),0)</f>
        <v>0</v>
      </c>
      <c r="U198" s="207">
        <f>IFERROR(SUMIF(data!$E:$E,科目余额表!$B198,data!Q:Q),0)</f>
        <v>0</v>
      </c>
      <c r="V198" s="207">
        <f>IFERROR(SUMIF(data!$E:$E,科目余额表!$B198,data!R:R),0)</f>
        <v>0</v>
      </c>
      <c r="W198" s="207">
        <f>IFERROR(SUMIF(data!$E:$E,科目余额表!$B198,data!S:S),0)</f>
        <v>0</v>
      </c>
      <c r="X198" s="207"/>
      <c r="Y198" s="207"/>
      <c r="Z198" s="207"/>
      <c r="AA198" s="207"/>
      <c r="AB198" s="207"/>
      <c r="AC198" s="207"/>
      <c r="AD198" s="207"/>
      <c r="AE198" s="207"/>
      <c r="AF198" s="207"/>
    </row>
    <row r="199" spans="1:32" s="214" customFormat="1" ht="11.65" customHeight="1">
      <c r="A199" s="215"/>
      <c r="B199" s="220">
        <v>16303</v>
      </c>
      <c r="C199" s="205" t="s">
        <v>452</v>
      </c>
      <c r="D199" s="221">
        <v>0</v>
      </c>
      <c r="E199" s="221">
        <v>0</v>
      </c>
      <c r="F199" s="222">
        <f t="shared" ref="F199:F262" si="3">D199+E199</f>
        <v>0</v>
      </c>
      <c r="G199" s="205" t="s">
        <v>442</v>
      </c>
      <c r="H199" s="219" t="s">
        <v>250</v>
      </c>
      <c r="J199" s="207" t="s">
        <v>69</v>
      </c>
      <c r="K199" s="207"/>
      <c r="L199" s="207">
        <f>IFERROR(SUMIF(data!$E:$E,科目余额表!$B199,data!H:H),0)</f>
        <v>0</v>
      </c>
      <c r="M199" s="207">
        <f>IFERROR(SUMIF(data!$E:$E,科目余额表!$B199,data!I:I),0)</f>
        <v>0</v>
      </c>
      <c r="N199" s="207">
        <f>IFERROR(SUMIF(data!$E:$E,科目余额表!$B199,data!J:J),0)</f>
        <v>0</v>
      </c>
      <c r="O199" s="207">
        <f>IFERROR(SUMIF(data!$E:$E,科目余额表!$B199,data!K:K),0)</f>
        <v>0</v>
      </c>
      <c r="P199" s="207">
        <f>IFERROR(SUMIF(data!$E:$E,科目余额表!$B199,data!L:L),0)</f>
        <v>0</v>
      </c>
      <c r="Q199" s="207">
        <f>IFERROR(SUMIF(data!$E:$E,科目余额表!$B199,data!M:M),0)</f>
        <v>0</v>
      </c>
      <c r="R199" s="207">
        <f>IFERROR(SUMIF(data!$E:$E,科目余额表!$B199,data!N:N),0)</f>
        <v>0</v>
      </c>
      <c r="S199" s="207">
        <f>IFERROR(SUMIF(data!$E:$E,科目余额表!$B199,data!O:O),0)</f>
        <v>0</v>
      </c>
      <c r="T199" s="207">
        <f>IFERROR(SUMIF(data!$E:$E,科目余额表!$B199,data!P:P),0)</f>
        <v>0</v>
      </c>
      <c r="U199" s="207">
        <f>IFERROR(SUMIF(data!$E:$E,科目余额表!$B199,data!Q:Q),0)</f>
        <v>0</v>
      </c>
      <c r="V199" s="207">
        <f>IFERROR(SUMIF(data!$E:$E,科目余额表!$B199,data!R:R),0)</f>
        <v>0</v>
      </c>
      <c r="W199" s="207">
        <f>IFERROR(SUMIF(data!$E:$E,科目余额表!$B199,data!S:S),0)</f>
        <v>0</v>
      </c>
      <c r="X199" s="207"/>
      <c r="Y199" s="207"/>
      <c r="Z199" s="207"/>
      <c r="AA199" s="207"/>
      <c r="AB199" s="207"/>
      <c r="AC199" s="207"/>
      <c r="AD199" s="207"/>
      <c r="AE199" s="207"/>
      <c r="AF199" s="207"/>
    </row>
    <row r="200" spans="1:32" s="214" customFormat="1" ht="11.65" customHeight="1">
      <c r="A200" s="215"/>
      <c r="B200" s="220">
        <v>16304</v>
      </c>
      <c r="C200" s="205" t="s">
        <v>453</v>
      </c>
      <c r="D200" s="221">
        <v>311514.11</v>
      </c>
      <c r="E200" s="221">
        <v>0</v>
      </c>
      <c r="F200" s="222">
        <f t="shared" si="3"/>
        <v>311514.11</v>
      </c>
      <c r="G200" s="205" t="s">
        <v>442</v>
      </c>
      <c r="H200" s="219" t="s">
        <v>250</v>
      </c>
      <c r="J200" s="207" t="s">
        <v>69</v>
      </c>
      <c r="K200" s="207"/>
      <c r="L200" s="207">
        <f>IFERROR(SUMIF(data!$E:$E,科目余额表!$B200,data!H:H),0)</f>
        <v>311514.11</v>
      </c>
      <c r="M200" s="207">
        <f>IFERROR(SUMIF(data!$E:$E,科目余额表!$B200,data!I:I),0)</f>
        <v>311514.11</v>
      </c>
      <c r="N200" s="207">
        <f>IFERROR(SUMIF(data!$E:$E,科目余额表!$B200,data!J:J),0)</f>
        <v>311514.11</v>
      </c>
      <c r="O200" s="207">
        <f>IFERROR(SUMIF(data!$E:$E,科目余额表!$B200,data!K:K),0)</f>
        <v>311514.11</v>
      </c>
      <c r="P200" s="207">
        <f>IFERROR(SUMIF(data!$E:$E,科目余额表!$B200,data!L:L),0)</f>
        <v>311514.11</v>
      </c>
      <c r="Q200" s="207">
        <f>IFERROR(SUMIF(data!$E:$E,科目余额表!$B200,data!M:M),0)</f>
        <v>311514.11</v>
      </c>
      <c r="R200" s="207">
        <f>IFERROR(SUMIF(data!$E:$E,科目余额表!$B200,data!N:N),0)</f>
        <v>311514.11</v>
      </c>
      <c r="S200" s="207">
        <f>IFERROR(SUMIF(data!$E:$E,科目余额表!$B200,data!O:O),0)</f>
        <v>311514.11</v>
      </c>
      <c r="T200" s="207">
        <f>IFERROR(SUMIF(data!$E:$E,科目余额表!$B200,data!P:P),0)</f>
        <v>311514.11</v>
      </c>
      <c r="U200" s="207">
        <f>IFERROR(SUMIF(data!$E:$E,科目余额表!$B200,data!Q:Q),0)</f>
        <v>311514.11</v>
      </c>
      <c r="V200" s="207">
        <f>IFERROR(SUMIF(data!$E:$E,科目余额表!$B200,data!R:R),0)</f>
        <v>311514.11</v>
      </c>
      <c r="W200" s="207">
        <f>IFERROR(SUMIF(data!$E:$E,科目余额表!$B200,data!S:S),0)</f>
        <v>311514.11</v>
      </c>
      <c r="X200" s="207"/>
      <c r="Y200" s="207"/>
      <c r="Z200" s="207"/>
      <c r="AA200" s="207"/>
      <c r="AB200" s="207"/>
      <c r="AC200" s="207"/>
      <c r="AD200" s="207"/>
      <c r="AE200" s="207"/>
      <c r="AF200" s="207"/>
    </row>
    <row r="201" spans="1:32" s="214" customFormat="1" ht="11.65" customHeight="1">
      <c r="A201" s="215"/>
      <c r="B201" s="220">
        <v>16305</v>
      </c>
      <c r="C201" s="205" t="s">
        <v>454</v>
      </c>
      <c r="D201" s="221">
        <v>1837031.41</v>
      </c>
      <c r="E201" s="221">
        <v>0</v>
      </c>
      <c r="F201" s="222">
        <f t="shared" si="3"/>
        <v>1837031.41</v>
      </c>
      <c r="G201" s="205" t="s">
        <v>442</v>
      </c>
      <c r="H201" s="219" t="s">
        <v>250</v>
      </c>
      <c r="J201" s="207" t="s">
        <v>69</v>
      </c>
      <c r="K201" s="207"/>
      <c r="L201" s="207">
        <f>IFERROR(SUMIF(data!$E:$E,科目余额表!$B201,data!H:H),0)</f>
        <v>1837031.41</v>
      </c>
      <c r="M201" s="207">
        <f>IFERROR(SUMIF(data!$E:$E,科目余额表!$B201,data!I:I),0)</f>
        <v>1837031.41</v>
      </c>
      <c r="N201" s="207">
        <f>IFERROR(SUMIF(data!$E:$E,科目余额表!$B201,data!J:J),0)</f>
        <v>1837031.41</v>
      </c>
      <c r="O201" s="207">
        <f>IFERROR(SUMIF(data!$E:$E,科目余额表!$B201,data!K:K),0)</f>
        <v>1837031.41</v>
      </c>
      <c r="P201" s="207">
        <f>IFERROR(SUMIF(data!$E:$E,科目余额表!$B201,data!L:L),0)</f>
        <v>1837031.41</v>
      </c>
      <c r="Q201" s="207">
        <f>IFERROR(SUMIF(data!$E:$E,科目余额表!$B201,data!M:M),0)</f>
        <v>1837031.41</v>
      </c>
      <c r="R201" s="207">
        <f>IFERROR(SUMIF(data!$E:$E,科目余额表!$B201,data!N:N),0)</f>
        <v>1837031.41</v>
      </c>
      <c r="S201" s="207">
        <f>IFERROR(SUMIF(data!$E:$E,科目余额表!$B201,data!O:O),0)</f>
        <v>1837031.41</v>
      </c>
      <c r="T201" s="207">
        <f>IFERROR(SUMIF(data!$E:$E,科目余额表!$B201,data!P:P),0)</f>
        <v>1837031.41</v>
      </c>
      <c r="U201" s="207">
        <f>IFERROR(SUMIF(data!$E:$E,科目余额表!$B201,data!Q:Q),0)</f>
        <v>1837031.41</v>
      </c>
      <c r="V201" s="207">
        <f>IFERROR(SUMIF(data!$E:$E,科目余额表!$B201,data!R:R),0)</f>
        <v>1837031.41</v>
      </c>
      <c r="W201" s="207">
        <f>IFERROR(SUMIF(data!$E:$E,科目余额表!$B201,data!S:S),0)</f>
        <v>1837031.41</v>
      </c>
      <c r="X201" s="207"/>
      <c r="Y201" s="207"/>
      <c r="Z201" s="207"/>
      <c r="AA201" s="207"/>
      <c r="AB201" s="207"/>
      <c r="AC201" s="207"/>
      <c r="AD201" s="207"/>
      <c r="AE201" s="207"/>
      <c r="AF201" s="207"/>
    </row>
    <row r="202" spans="1:32" s="214" customFormat="1" ht="11.65" customHeight="1">
      <c r="A202" s="215"/>
      <c r="B202" s="220">
        <v>16306</v>
      </c>
      <c r="C202" s="205" t="s">
        <v>455</v>
      </c>
      <c r="D202" s="221">
        <v>1781571.37</v>
      </c>
      <c r="E202" s="221">
        <v>0</v>
      </c>
      <c r="F202" s="222">
        <f t="shared" si="3"/>
        <v>1781571.37</v>
      </c>
      <c r="G202" s="205" t="s">
        <v>442</v>
      </c>
      <c r="H202" s="219" t="s">
        <v>250</v>
      </c>
      <c r="J202" s="207" t="s">
        <v>69</v>
      </c>
      <c r="K202" s="207"/>
      <c r="L202" s="207">
        <f>IFERROR(SUMIF(data!$E:$E,科目余额表!$B202,data!H:H),0)</f>
        <v>1767201.37</v>
      </c>
      <c r="M202" s="207">
        <f>IFERROR(SUMIF(data!$E:$E,科目余额表!$B202,data!I:I),0)</f>
        <v>1781571.37</v>
      </c>
      <c r="N202" s="207">
        <f>IFERROR(SUMIF(data!$E:$E,科目余额表!$B202,data!J:J),0)</f>
        <v>1781571.37</v>
      </c>
      <c r="O202" s="207">
        <f>IFERROR(SUMIF(data!$E:$E,科目余额表!$B202,data!K:K),0)</f>
        <v>1781571.37</v>
      </c>
      <c r="P202" s="207">
        <f>IFERROR(SUMIF(data!$E:$E,科目余额表!$B202,data!L:L),0)</f>
        <v>1781571.37</v>
      </c>
      <c r="Q202" s="207">
        <f>IFERROR(SUMIF(data!$E:$E,科目余额表!$B202,data!M:M),0)</f>
        <v>1781571.37</v>
      </c>
      <c r="R202" s="207">
        <f>IFERROR(SUMIF(data!$E:$E,科目余额表!$B202,data!N:N),0)</f>
        <v>1781571.37</v>
      </c>
      <c r="S202" s="207">
        <f>IFERROR(SUMIF(data!$E:$E,科目余额表!$B202,data!O:O),0)</f>
        <v>1781571.37</v>
      </c>
      <c r="T202" s="207">
        <f>IFERROR(SUMIF(data!$E:$E,科目余额表!$B202,data!P:P),0)</f>
        <v>1781571.37</v>
      </c>
      <c r="U202" s="207">
        <f>IFERROR(SUMIF(data!$E:$E,科目余额表!$B202,data!Q:Q),0)</f>
        <v>1781571.37</v>
      </c>
      <c r="V202" s="207">
        <f>IFERROR(SUMIF(data!$E:$E,科目余额表!$B202,data!R:R),0)</f>
        <v>1781571.37</v>
      </c>
      <c r="W202" s="207">
        <f>IFERROR(SUMIF(data!$E:$E,科目余额表!$B202,data!S:S),0)</f>
        <v>1781571.37</v>
      </c>
      <c r="X202" s="207"/>
      <c r="Y202" s="207"/>
      <c r="Z202" s="207"/>
      <c r="AA202" s="207"/>
      <c r="AB202" s="207"/>
      <c r="AC202" s="207"/>
      <c r="AD202" s="207"/>
      <c r="AE202" s="207"/>
      <c r="AF202" s="207"/>
    </row>
    <row r="203" spans="1:32" s="214" customFormat="1" ht="11.65" customHeight="1">
      <c r="A203" s="215"/>
      <c r="B203" s="220">
        <v>16307</v>
      </c>
      <c r="C203" s="205" t="s">
        <v>456</v>
      </c>
      <c r="D203" s="221">
        <v>0</v>
      </c>
      <c r="E203" s="221">
        <v>0</v>
      </c>
      <c r="F203" s="222">
        <f t="shared" si="3"/>
        <v>0</v>
      </c>
      <c r="G203" s="205" t="s">
        <v>442</v>
      </c>
      <c r="H203" s="219" t="s">
        <v>250</v>
      </c>
      <c r="J203" s="207" t="s">
        <v>69</v>
      </c>
      <c r="K203" s="207"/>
      <c r="L203" s="207">
        <f>IFERROR(SUMIF(data!$E:$E,科目余额表!$B203,data!H:H),0)</f>
        <v>0</v>
      </c>
      <c r="M203" s="207">
        <f>IFERROR(SUMIF(data!$E:$E,科目余额表!$B203,data!I:I),0)</f>
        <v>0</v>
      </c>
      <c r="N203" s="207">
        <f>IFERROR(SUMIF(data!$E:$E,科目余额表!$B203,data!J:J),0)</f>
        <v>0</v>
      </c>
      <c r="O203" s="207">
        <f>IFERROR(SUMIF(data!$E:$E,科目余额表!$B203,data!K:K),0)</f>
        <v>0</v>
      </c>
      <c r="P203" s="207">
        <f>IFERROR(SUMIF(data!$E:$E,科目余额表!$B203,data!L:L),0)</f>
        <v>0</v>
      </c>
      <c r="Q203" s="207">
        <f>IFERROR(SUMIF(data!$E:$E,科目余额表!$B203,data!M:M),0)</f>
        <v>0</v>
      </c>
      <c r="R203" s="207">
        <f>IFERROR(SUMIF(data!$E:$E,科目余额表!$B203,data!N:N),0)</f>
        <v>0</v>
      </c>
      <c r="S203" s="207">
        <f>IFERROR(SUMIF(data!$E:$E,科目余额表!$B203,data!O:O),0)</f>
        <v>0</v>
      </c>
      <c r="T203" s="207">
        <f>IFERROR(SUMIF(data!$E:$E,科目余额表!$B203,data!P:P),0)</f>
        <v>0</v>
      </c>
      <c r="U203" s="207">
        <f>IFERROR(SUMIF(data!$E:$E,科目余额表!$B203,data!Q:Q),0)</f>
        <v>0</v>
      </c>
      <c r="V203" s="207">
        <f>IFERROR(SUMIF(data!$E:$E,科目余额表!$B203,data!R:R),0)</f>
        <v>0</v>
      </c>
      <c r="W203" s="207">
        <f>IFERROR(SUMIF(data!$E:$E,科目余额表!$B203,data!S:S),0)</f>
        <v>0</v>
      </c>
      <c r="X203" s="207"/>
      <c r="Y203" s="207"/>
      <c r="Z203" s="207"/>
      <c r="AA203" s="207"/>
      <c r="AB203" s="207"/>
      <c r="AC203" s="207"/>
      <c r="AD203" s="207"/>
      <c r="AE203" s="207"/>
      <c r="AF203" s="207"/>
    </row>
    <row r="204" spans="1:32" s="214" customFormat="1" ht="11.65" customHeight="1">
      <c r="A204" s="215"/>
      <c r="B204" s="220">
        <v>16308</v>
      </c>
      <c r="C204" s="205" t="s">
        <v>457</v>
      </c>
      <c r="D204" s="221">
        <v>106885</v>
      </c>
      <c r="E204" s="221">
        <v>0</v>
      </c>
      <c r="F204" s="222">
        <f t="shared" si="3"/>
        <v>106885</v>
      </c>
      <c r="G204" s="205" t="s">
        <v>442</v>
      </c>
      <c r="H204" s="219" t="s">
        <v>250</v>
      </c>
      <c r="J204" s="207" t="s">
        <v>69</v>
      </c>
      <c r="K204" s="207"/>
      <c r="L204" s="207">
        <f>IFERROR(SUMIF(data!$E:$E,科目余额表!$B204,data!H:H),0)</f>
        <v>35000</v>
      </c>
      <c r="M204" s="207">
        <f>IFERROR(SUMIF(data!$E:$E,科目余额表!$B204,data!I:I),0)</f>
        <v>79800</v>
      </c>
      <c r="N204" s="207">
        <f>IFERROR(SUMIF(data!$E:$E,科目余额表!$B204,data!J:J),0)</f>
        <v>79800</v>
      </c>
      <c r="O204" s="207">
        <f>IFERROR(SUMIF(data!$E:$E,科目余额表!$B204,data!K:K),0)</f>
        <v>79800</v>
      </c>
      <c r="P204" s="207">
        <f>IFERROR(SUMIF(data!$E:$E,科目余额表!$B204,data!L:L),0)</f>
        <v>79800</v>
      </c>
      <c r="Q204" s="207">
        <f>IFERROR(SUMIF(data!$E:$E,科目余额表!$B204,data!M:M),0)</f>
        <v>79800</v>
      </c>
      <c r="R204" s="207">
        <f>IFERROR(SUMIF(data!$E:$E,科目余额表!$B204,data!N:N),0)</f>
        <v>79800</v>
      </c>
      <c r="S204" s="207">
        <f>IFERROR(SUMIF(data!$E:$E,科目余额表!$B204,data!O:O),0)</f>
        <v>79800</v>
      </c>
      <c r="T204" s="207">
        <f>IFERROR(SUMIF(data!$E:$E,科目余额表!$B204,data!P:P),0)</f>
        <v>106885</v>
      </c>
      <c r="U204" s="207">
        <f>IFERROR(SUMIF(data!$E:$E,科目余额表!$B204,data!Q:Q),0)</f>
        <v>106885</v>
      </c>
      <c r="V204" s="207">
        <f>IFERROR(SUMIF(data!$E:$E,科目余额表!$B204,data!R:R),0)</f>
        <v>106885</v>
      </c>
      <c r="W204" s="207">
        <f>IFERROR(SUMIF(data!$E:$E,科目余额表!$B204,data!S:S),0)</f>
        <v>106885</v>
      </c>
      <c r="X204" s="207"/>
      <c r="Y204" s="207"/>
      <c r="Z204" s="207"/>
      <c r="AA204" s="207"/>
      <c r="AB204" s="207"/>
      <c r="AC204" s="207"/>
      <c r="AD204" s="207"/>
      <c r="AE204" s="207"/>
      <c r="AF204" s="207"/>
    </row>
    <row r="205" spans="1:32" s="214" customFormat="1" ht="11.65" customHeight="1">
      <c r="A205" s="215"/>
      <c r="B205" s="220">
        <v>16309</v>
      </c>
      <c r="C205" s="205" t="s">
        <v>458</v>
      </c>
      <c r="D205" s="221">
        <v>0</v>
      </c>
      <c r="E205" s="221">
        <v>0</v>
      </c>
      <c r="F205" s="222">
        <f t="shared" si="3"/>
        <v>0</v>
      </c>
      <c r="G205" s="205" t="s">
        <v>442</v>
      </c>
      <c r="H205" s="219" t="s">
        <v>250</v>
      </c>
      <c r="J205" s="207" t="s">
        <v>69</v>
      </c>
      <c r="K205" s="207"/>
      <c r="L205" s="207">
        <f>IFERROR(SUMIF(data!$E:$E,科目余额表!$B205,data!H:H),0)</f>
        <v>0</v>
      </c>
      <c r="M205" s="207">
        <f>IFERROR(SUMIF(data!$E:$E,科目余额表!$B205,data!I:I),0)</f>
        <v>0</v>
      </c>
      <c r="N205" s="207">
        <f>IFERROR(SUMIF(data!$E:$E,科目余额表!$B205,data!J:J),0)</f>
        <v>0</v>
      </c>
      <c r="O205" s="207">
        <f>IFERROR(SUMIF(data!$E:$E,科目余额表!$B205,data!K:K),0)</f>
        <v>0</v>
      </c>
      <c r="P205" s="207">
        <f>IFERROR(SUMIF(data!$E:$E,科目余额表!$B205,data!L:L),0)</f>
        <v>0</v>
      </c>
      <c r="Q205" s="207">
        <f>IFERROR(SUMIF(data!$E:$E,科目余额表!$B205,data!M:M),0)</f>
        <v>0</v>
      </c>
      <c r="R205" s="207">
        <f>IFERROR(SUMIF(data!$E:$E,科目余额表!$B205,data!N:N),0)</f>
        <v>0</v>
      </c>
      <c r="S205" s="207">
        <f>IFERROR(SUMIF(data!$E:$E,科目余额表!$B205,data!O:O),0)</f>
        <v>0</v>
      </c>
      <c r="T205" s="207">
        <f>IFERROR(SUMIF(data!$E:$E,科目余额表!$B205,data!P:P),0)</f>
        <v>0</v>
      </c>
      <c r="U205" s="207">
        <f>IFERROR(SUMIF(data!$E:$E,科目余额表!$B205,data!Q:Q),0)</f>
        <v>0</v>
      </c>
      <c r="V205" s="207">
        <f>IFERROR(SUMIF(data!$E:$E,科目余额表!$B205,data!R:R),0)</f>
        <v>0</v>
      </c>
      <c r="W205" s="207">
        <f>IFERROR(SUMIF(data!$E:$E,科目余额表!$B205,data!S:S),0)</f>
        <v>0</v>
      </c>
      <c r="X205" s="207"/>
      <c r="Y205" s="207"/>
      <c r="Z205" s="207"/>
      <c r="AA205" s="207"/>
      <c r="AB205" s="207"/>
      <c r="AC205" s="207"/>
      <c r="AD205" s="207"/>
      <c r="AE205" s="207"/>
      <c r="AF205" s="207"/>
    </row>
    <row r="206" spans="1:32" s="214" customFormat="1" ht="11.65" customHeight="1">
      <c r="A206" s="215"/>
      <c r="B206" s="220">
        <v>16310</v>
      </c>
      <c r="C206" s="205" t="s">
        <v>459</v>
      </c>
      <c r="D206" s="221">
        <v>0</v>
      </c>
      <c r="E206" s="221">
        <v>0</v>
      </c>
      <c r="F206" s="222">
        <f t="shared" si="3"/>
        <v>0</v>
      </c>
      <c r="G206" s="205" t="s">
        <v>442</v>
      </c>
      <c r="H206" s="219" t="s">
        <v>250</v>
      </c>
      <c r="J206" s="207" t="s">
        <v>69</v>
      </c>
      <c r="K206" s="207"/>
      <c r="L206" s="207">
        <f>IFERROR(SUMIF(data!$E:$E,科目余额表!$B206,data!H:H),0)</f>
        <v>0</v>
      </c>
      <c r="M206" s="207">
        <f>IFERROR(SUMIF(data!$E:$E,科目余额表!$B206,data!I:I),0)</f>
        <v>0</v>
      </c>
      <c r="N206" s="207">
        <f>IFERROR(SUMIF(data!$E:$E,科目余额表!$B206,data!J:J),0)</f>
        <v>0</v>
      </c>
      <c r="O206" s="207">
        <f>IFERROR(SUMIF(data!$E:$E,科目余额表!$B206,data!K:K),0)</f>
        <v>0</v>
      </c>
      <c r="P206" s="207">
        <f>IFERROR(SUMIF(data!$E:$E,科目余额表!$B206,data!L:L),0)</f>
        <v>0</v>
      </c>
      <c r="Q206" s="207">
        <f>IFERROR(SUMIF(data!$E:$E,科目余额表!$B206,data!M:M),0)</f>
        <v>0</v>
      </c>
      <c r="R206" s="207">
        <f>IFERROR(SUMIF(data!$E:$E,科目余额表!$B206,data!N:N),0)</f>
        <v>0</v>
      </c>
      <c r="S206" s="207">
        <f>IFERROR(SUMIF(data!$E:$E,科目余额表!$B206,data!O:O),0)</f>
        <v>0</v>
      </c>
      <c r="T206" s="207">
        <f>IFERROR(SUMIF(data!$E:$E,科目余额表!$B206,data!P:P),0)</f>
        <v>0</v>
      </c>
      <c r="U206" s="207">
        <f>IFERROR(SUMIF(data!$E:$E,科目余额表!$B206,data!Q:Q),0)</f>
        <v>0</v>
      </c>
      <c r="V206" s="207">
        <f>IFERROR(SUMIF(data!$E:$E,科目余额表!$B206,data!R:R),0)</f>
        <v>0</v>
      </c>
      <c r="W206" s="207">
        <f>IFERROR(SUMIF(data!$E:$E,科目余额表!$B206,data!S:S),0)</f>
        <v>0</v>
      </c>
      <c r="X206" s="207"/>
      <c r="Y206" s="207"/>
      <c r="Z206" s="207"/>
      <c r="AA206" s="207"/>
      <c r="AB206" s="207"/>
      <c r="AC206" s="207"/>
      <c r="AD206" s="207"/>
      <c r="AE206" s="207"/>
      <c r="AF206" s="207"/>
    </row>
    <row r="207" spans="1:32" s="214" customFormat="1" ht="11.65" customHeight="1">
      <c r="A207" s="215"/>
      <c r="B207" s="220">
        <v>16311</v>
      </c>
      <c r="C207" s="205" t="s">
        <v>460</v>
      </c>
      <c r="D207" s="221">
        <v>1897957.31</v>
      </c>
      <c r="E207" s="221">
        <v>0</v>
      </c>
      <c r="F207" s="222">
        <f t="shared" si="3"/>
        <v>1897957.31</v>
      </c>
      <c r="G207" s="205" t="s">
        <v>442</v>
      </c>
      <c r="H207" s="219" t="s">
        <v>250</v>
      </c>
      <c r="J207" s="207" t="s">
        <v>69</v>
      </c>
      <c r="K207" s="207"/>
      <c r="L207" s="207">
        <f>IFERROR(SUMIF(data!$E:$E,科目余额表!$B207,data!H:H),0)</f>
        <v>1897957.31</v>
      </c>
      <c r="M207" s="207">
        <f>IFERROR(SUMIF(data!$E:$E,科目余额表!$B207,data!I:I),0)</f>
        <v>1897957.31</v>
      </c>
      <c r="N207" s="207">
        <f>IFERROR(SUMIF(data!$E:$E,科目余额表!$B207,data!J:J),0)</f>
        <v>1897957.31</v>
      </c>
      <c r="O207" s="207">
        <f>IFERROR(SUMIF(data!$E:$E,科目余额表!$B207,data!K:K),0)</f>
        <v>1897957.31</v>
      </c>
      <c r="P207" s="207">
        <f>IFERROR(SUMIF(data!$E:$E,科目余额表!$B207,data!L:L),0)</f>
        <v>1897957.31</v>
      </c>
      <c r="Q207" s="207">
        <f>IFERROR(SUMIF(data!$E:$E,科目余额表!$B207,data!M:M),0)</f>
        <v>1897957.31</v>
      </c>
      <c r="R207" s="207">
        <f>IFERROR(SUMIF(data!$E:$E,科目余额表!$B207,data!N:N),0)</f>
        <v>1897957.31</v>
      </c>
      <c r="S207" s="207">
        <f>IFERROR(SUMIF(data!$E:$E,科目余额表!$B207,data!O:O),0)</f>
        <v>1897957.31</v>
      </c>
      <c r="T207" s="207">
        <f>IFERROR(SUMIF(data!$E:$E,科目余额表!$B207,data!P:P),0)</f>
        <v>1897957.31</v>
      </c>
      <c r="U207" s="207">
        <f>IFERROR(SUMIF(data!$E:$E,科目余额表!$B207,data!Q:Q),0)</f>
        <v>1897957.31</v>
      </c>
      <c r="V207" s="207">
        <f>IFERROR(SUMIF(data!$E:$E,科目余额表!$B207,data!R:R),0)</f>
        <v>1897957.31</v>
      </c>
      <c r="W207" s="207">
        <f>IFERROR(SUMIF(data!$E:$E,科目余额表!$B207,data!S:S),0)</f>
        <v>1897957.31</v>
      </c>
      <c r="X207" s="207"/>
      <c r="Y207" s="207"/>
      <c r="Z207" s="207"/>
      <c r="AA207" s="207"/>
      <c r="AB207" s="207"/>
      <c r="AC207" s="207"/>
      <c r="AD207" s="207"/>
      <c r="AE207" s="207"/>
      <c r="AF207" s="207"/>
    </row>
    <row r="208" spans="1:32" s="214" customFormat="1" ht="11.65" customHeight="1">
      <c r="A208" s="215"/>
      <c r="B208" s="220">
        <v>16400</v>
      </c>
      <c r="C208" s="205" t="s">
        <v>461</v>
      </c>
      <c r="D208" s="221">
        <v>-11483483.050000001</v>
      </c>
      <c r="E208" s="221">
        <v>-390575.3900000006</v>
      </c>
      <c r="F208" s="222">
        <f t="shared" si="3"/>
        <v>-11874058.440000001</v>
      </c>
      <c r="G208" s="205" t="s">
        <v>445</v>
      </c>
      <c r="H208" s="219" t="s">
        <v>250</v>
      </c>
      <c r="J208" s="207" t="s">
        <v>70</v>
      </c>
      <c r="K208" s="207"/>
      <c r="L208" s="207">
        <f>IFERROR(SUMIF(data!$E:$E,科目余额表!$B208,data!H:H),0)</f>
        <v>-7646518.6999999993</v>
      </c>
      <c r="M208" s="207">
        <f>IFERROR(SUMIF(data!$E:$E,科目余额表!$B208,data!I:I),0)</f>
        <v>-7970177.29</v>
      </c>
      <c r="N208" s="207">
        <f>IFERROR(SUMIF(data!$E:$E,科目余额表!$B208,data!J:J),0)</f>
        <v>-8360515.71</v>
      </c>
      <c r="O208" s="207">
        <f>IFERROR(SUMIF(data!$E:$E,科目余额表!$B208,data!K:K),0)</f>
        <v>-8750854.1600000001</v>
      </c>
      <c r="P208" s="207">
        <f>IFERROR(SUMIF(data!$E:$E,科目余额表!$B208,data!L:L),0)</f>
        <v>-9141192.589999998</v>
      </c>
      <c r="Q208" s="207">
        <f>IFERROR(SUMIF(data!$E:$E,科目余额表!$B208,data!M:M),0)</f>
        <v>-9531531.0499999989</v>
      </c>
      <c r="R208" s="207">
        <f>IFERROR(SUMIF(data!$E:$E,科目余额表!$B208,data!N:N),0)</f>
        <v>-9921869.4499999993</v>
      </c>
      <c r="S208" s="207">
        <f>IFERROR(SUMIF(data!$E:$E,科目余额表!$B208,data!O:O),0)</f>
        <v>-10312207.939999999</v>
      </c>
      <c r="T208" s="207">
        <f>IFERROR(SUMIF(data!$E:$E,科目余额表!$B208,data!P:P),0)</f>
        <v>-10702546.34</v>
      </c>
      <c r="U208" s="207">
        <f>IFERROR(SUMIF(data!$E:$E,科目余额表!$B208,data!Q:Q),0)</f>
        <v>-11092907.75</v>
      </c>
      <c r="V208" s="207">
        <f>IFERROR(SUMIF(data!$E:$E,科目余额表!$B208,data!R:R),0)</f>
        <v>-11483483.050000001</v>
      </c>
      <c r="W208" s="207">
        <f>IFERROR(SUMIF(data!$E:$E,科目余额表!$B208,data!S:S),0)</f>
        <v>-11874058.440000001</v>
      </c>
      <c r="X208" s="207"/>
      <c r="Y208" s="207"/>
      <c r="Z208" s="207"/>
      <c r="AA208" s="207"/>
      <c r="AB208" s="207"/>
      <c r="AC208" s="207"/>
      <c r="AD208" s="207"/>
      <c r="AE208" s="207"/>
      <c r="AF208" s="207"/>
    </row>
    <row r="209" spans="1:32" s="214" customFormat="1" ht="11.65" customHeight="1">
      <c r="A209" s="215"/>
      <c r="B209" s="220">
        <v>16401</v>
      </c>
      <c r="C209" s="205" t="s">
        <v>462</v>
      </c>
      <c r="D209" s="221">
        <v>-1976232.14</v>
      </c>
      <c r="E209" s="221">
        <v>-51141.680000000168</v>
      </c>
      <c r="F209" s="222">
        <f t="shared" si="3"/>
        <v>-2027373.82</v>
      </c>
      <c r="G209" s="205" t="s">
        <v>445</v>
      </c>
      <c r="H209" s="219" t="s">
        <v>250</v>
      </c>
      <c r="J209" s="207" t="s">
        <v>70</v>
      </c>
      <c r="K209" s="207"/>
      <c r="L209" s="207">
        <f>IFERROR(SUMIF(data!$E:$E,科目余额表!$B209,data!H:H),0)</f>
        <v>-1464815.54</v>
      </c>
      <c r="M209" s="207">
        <f>IFERROR(SUMIF(data!$E:$E,科目余额表!$B209,data!I:I),0)</f>
        <v>-1515957.21</v>
      </c>
      <c r="N209" s="207">
        <f>IFERROR(SUMIF(data!$E:$E,科目余额表!$B209,data!J:J),0)</f>
        <v>-1567098.86</v>
      </c>
      <c r="O209" s="207">
        <f>IFERROR(SUMIF(data!$E:$E,科目余额表!$B209,data!K:K),0)</f>
        <v>-1618240.53</v>
      </c>
      <c r="P209" s="207">
        <f>IFERROR(SUMIF(data!$E:$E,科目余额表!$B209,data!L:L),0)</f>
        <v>-1669382.18</v>
      </c>
      <c r="Q209" s="207">
        <f>IFERROR(SUMIF(data!$E:$E,科目余额表!$B209,data!M:M),0)</f>
        <v>-1720523.85</v>
      </c>
      <c r="R209" s="207">
        <f>IFERROR(SUMIF(data!$E:$E,科目余额表!$B209,data!N:N),0)</f>
        <v>-1771665.5</v>
      </c>
      <c r="S209" s="207">
        <f>IFERROR(SUMIF(data!$E:$E,科目余额表!$B209,data!O:O),0)</f>
        <v>-1822807.17</v>
      </c>
      <c r="T209" s="207">
        <f>IFERROR(SUMIF(data!$E:$E,科目余额表!$B209,data!P:P),0)</f>
        <v>-1873948.82</v>
      </c>
      <c r="U209" s="207">
        <f>IFERROR(SUMIF(data!$E:$E,科目余额表!$B209,data!Q:Q),0)</f>
        <v>-1925090.5</v>
      </c>
      <c r="V209" s="207">
        <f>IFERROR(SUMIF(data!$E:$E,科目余额表!$B209,data!R:R),0)</f>
        <v>-1976232.14</v>
      </c>
      <c r="W209" s="207">
        <f>IFERROR(SUMIF(data!$E:$E,科目余额表!$B209,data!S:S),0)</f>
        <v>-2027373.82</v>
      </c>
      <c r="X209" s="207"/>
      <c r="Y209" s="207"/>
      <c r="Z209" s="207"/>
      <c r="AA209" s="207"/>
      <c r="AB209" s="207"/>
      <c r="AC209" s="207"/>
      <c r="AD209" s="207"/>
      <c r="AE209" s="207"/>
      <c r="AF209" s="207"/>
    </row>
    <row r="210" spans="1:32" s="214" customFormat="1" ht="11.65" customHeight="1">
      <c r="A210" s="215"/>
      <c r="B210" s="220">
        <v>16402</v>
      </c>
      <c r="C210" s="205" t="s">
        <v>463</v>
      </c>
      <c r="D210" s="221">
        <v>0</v>
      </c>
      <c r="E210" s="221">
        <v>0</v>
      </c>
      <c r="F210" s="222">
        <f t="shared" si="3"/>
        <v>0</v>
      </c>
      <c r="G210" s="205" t="s">
        <v>445</v>
      </c>
      <c r="H210" s="219" t="s">
        <v>250</v>
      </c>
      <c r="J210" s="207" t="s">
        <v>70</v>
      </c>
      <c r="K210" s="207"/>
      <c r="L210" s="207">
        <f>IFERROR(SUMIF(data!$E:$E,科目余额表!$B210,data!H:H),0)</f>
        <v>0</v>
      </c>
      <c r="M210" s="207">
        <f>IFERROR(SUMIF(data!$E:$E,科目余额表!$B210,data!I:I),0)</f>
        <v>0</v>
      </c>
      <c r="N210" s="207">
        <f>IFERROR(SUMIF(data!$E:$E,科目余额表!$B210,data!J:J),0)</f>
        <v>0</v>
      </c>
      <c r="O210" s="207">
        <f>IFERROR(SUMIF(data!$E:$E,科目余额表!$B210,data!K:K),0)</f>
        <v>0</v>
      </c>
      <c r="P210" s="207">
        <f>IFERROR(SUMIF(data!$E:$E,科目余额表!$B210,data!L:L),0)</f>
        <v>0</v>
      </c>
      <c r="Q210" s="207">
        <f>IFERROR(SUMIF(data!$E:$E,科目余额表!$B210,data!M:M),0)</f>
        <v>0</v>
      </c>
      <c r="R210" s="207">
        <f>IFERROR(SUMIF(data!$E:$E,科目余额表!$B210,data!N:N),0)</f>
        <v>0</v>
      </c>
      <c r="S210" s="207">
        <f>IFERROR(SUMIF(data!$E:$E,科目余额表!$B210,data!O:O),0)</f>
        <v>0</v>
      </c>
      <c r="T210" s="207">
        <f>IFERROR(SUMIF(data!$E:$E,科目余额表!$B210,data!P:P),0)</f>
        <v>0</v>
      </c>
      <c r="U210" s="207">
        <f>IFERROR(SUMIF(data!$E:$E,科目余额表!$B210,data!Q:Q),0)</f>
        <v>0</v>
      </c>
      <c r="V210" s="207">
        <f>IFERROR(SUMIF(data!$E:$E,科目余额表!$B210,data!R:R),0)</f>
        <v>0</v>
      </c>
      <c r="W210" s="207">
        <f>IFERROR(SUMIF(data!$E:$E,科目余额表!$B210,data!S:S),0)</f>
        <v>0</v>
      </c>
      <c r="X210" s="207"/>
      <c r="Y210" s="207"/>
      <c r="Z210" s="207"/>
      <c r="AA210" s="207"/>
      <c r="AB210" s="207"/>
      <c r="AC210" s="207"/>
      <c r="AD210" s="207"/>
      <c r="AE210" s="207"/>
      <c r="AF210" s="207"/>
    </row>
    <row r="211" spans="1:32" s="214" customFormat="1" ht="11.65" customHeight="1">
      <c r="A211" s="215"/>
      <c r="B211" s="220">
        <v>16403</v>
      </c>
      <c r="C211" s="205" t="s">
        <v>464</v>
      </c>
      <c r="D211" s="221">
        <v>0</v>
      </c>
      <c r="E211" s="221">
        <v>0</v>
      </c>
      <c r="F211" s="222">
        <f t="shared" si="3"/>
        <v>0</v>
      </c>
      <c r="G211" s="205" t="s">
        <v>445</v>
      </c>
      <c r="H211" s="219" t="s">
        <v>250</v>
      </c>
      <c r="J211" s="207" t="s">
        <v>70</v>
      </c>
      <c r="K211" s="207"/>
      <c r="L211" s="207">
        <f>IFERROR(SUMIF(data!$E:$E,科目余额表!$B211,data!H:H),0)</f>
        <v>0</v>
      </c>
      <c r="M211" s="207">
        <f>IFERROR(SUMIF(data!$E:$E,科目余额表!$B211,data!I:I),0)</f>
        <v>0</v>
      </c>
      <c r="N211" s="207">
        <f>IFERROR(SUMIF(data!$E:$E,科目余额表!$B211,data!J:J),0)</f>
        <v>0</v>
      </c>
      <c r="O211" s="207">
        <f>IFERROR(SUMIF(data!$E:$E,科目余额表!$B211,data!K:K),0)</f>
        <v>0</v>
      </c>
      <c r="P211" s="207">
        <f>IFERROR(SUMIF(data!$E:$E,科目余额表!$B211,data!L:L),0)</f>
        <v>0</v>
      </c>
      <c r="Q211" s="207">
        <f>IFERROR(SUMIF(data!$E:$E,科目余额表!$B211,data!M:M),0)</f>
        <v>0</v>
      </c>
      <c r="R211" s="207">
        <f>IFERROR(SUMIF(data!$E:$E,科目余额表!$B211,data!N:N),0)</f>
        <v>0</v>
      </c>
      <c r="S211" s="207">
        <f>IFERROR(SUMIF(data!$E:$E,科目余额表!$B211,data!O:O),0)</f>
        <v>0</v>
      </c>
      <c r="T211" s="207">
        <f>IFERROR(SUMIF(data!$E:$E,科目余额表!$B211,data!P:P),0)</f>
        <v>0</v>
      </c>
      <c r="U211" s="207">
        <f>IFERROR(SUMIF(data!$E:$E,科目余额表!$B211,data!Q:Q),0)</f>
        <v>0</v>
      </c>
      <c r="V211" s="207">
        <f>IFERROR(SUMIF(data!$E:$E,科目余额表!$B211,data!R:R),0)</f>
        <v>0</v>
      </c>
      <c r="W211" s="207">
        <f>IFERROR(SUMIF(data!$E:$E,科目余额表!$B211,data!S:S),0)</f>
        <v>0</v>
      </c>
      <c r="X211" s="207"/>
      <c r="Y211" s="207"/>
      <c r="Z211" s="207"/>
      <c r="AA211" s="207"/>
      <c r="AB211" s="207"/>
      <c r="AC211" s="207"/>
      <c r="AD211" s="207"/>
      <c r="AE211" s="207"/>
      <c r="AF211" s="207"/>
    </row>
    <row r="212" spans="1:32" s="214" customFormat="1" ht="11.65" customHeight="1">
      <c r="A212" s="215"/>
      <c r="B212" s="220">
        <v>16404</v>
      </c>
      <c r="C212" s="205" t="s">
        <v>465</v>
      </c>
      <c r="D212" s="221">
        <v>-218569.63</v>
      </c>
      <c r="E212" s="221">
        <v>-5200.2400000000198</v>
      </c>
      <c r="F212" s="222">
        <f t="shared" si="3"/>
        <v>-223769.87000000002</v>
      </c>
      <c r="G212" s="205" t="s">
        <v>445</v>
      </c>
      <c r="H212" s="219" t="s">
        <v>250</v>
      </c>
      <c r="J212" s="207" t="s">
        <v>70</v>
      </c>
      <c r="K212" s="207"/>
      <c r="L212" s="207">
        <f>IFERROR(SUMIF(data!$E:$E,科目余额表!$B212,data!H:H),0)</f>
        <v>-166567.31</v>
      </c>
      <c r="M212" s="207">
        <f>IFERROR(SUMIF(data!$E:$E,科目余额表!$B212,data!I:I),0)</f>
        <v>-171767.54</v>
      </c>
      <c r="N212" s="207">
        <f>IFERROR(SUMIF(data!$E:$E,科目余额表!$B212,data!J:J),0)</f>
        <v>-176967.77000000002</v>
      </c>
      <c r="O212" s="207">
        <f>IFERROR(SUMIF(data!$E:$E,科目余额表!$B212,data!K:K),0)</f>
        <v>-182168</v>
      </c>
      <c r="P212" s="207">
        <f>IFERROR(SUMIF(data!$E:$E,科目余额表!$B212,data!L:L),0)</f>
        <v>-187368.23</v>
      </c>
      <c r="Q212" s="207">
        <f>IFERROR(SUMIF(data!$E:$E,科目余额表!$B212,data!M:M),0)</f>
        <v>-192568.46000000002</v>
      </c>
      <c r="R212" s="207">
        <f>IFERROR(SUMIF(data!$E:$E,科目余额表!$B212,data!N:N),0)</f>
        <v>-197768.69</v>
      </c>
      <c r="S212" s="207">
        <f>IFERROR(SUMIF(data!$E:$E,科目余额表!$B212,data!O:O),0)</f>
        <v>-202968.93000000002</v>
      </c>
      <c r="T212" s="207">
        <f>IFERROR(SUMIF(data!$E:$E,科目余额表!$B212,data!P:P),0)</f>
        <v>-208169.16</v>
      </c>
      <c r="U212" s="207">
        <f>IFERROR(SUMIF(data!$E:$E,科目余额表!$B212,data!Q:Q),0)</f>
        <v>-213369.40000000002</v>
      </c>
      <c r="V212" s="207">
        <f>IFERROR(SUMIF(data!$E:$E,科目余额表!$B212,data!R:R),0)</f>
        <v>-218569.63</v>
      </c>
      <c r="W212" s="207">
        <f>IFERROR(SUMIF(data!$E:$E,科目余额表!$B212,data!S:S),0)</f>
        <v>-223769.87000000002</v>
      </c>
      <c r="X212" s="207"/>
      <c r="Y212" s="207"/>
      <c r="Z212" s="207"/>
      <c r="AA212" s="207"/>
      <c r="AB212" s="207"/>
      <c r="AC212" s="207"/>
      <c r="AD212" s="207"/>
      <c r="AE212" s="207"/>
      <c r="AF212" s="207"/>
    </row>
    <row r="213" spans="1:32" s="214" customFormat="1" ht="11.65" customHeight="1">
      <c r="A213" s="215"/>
      <c r="B213" s="220">
        <v>16405</v>
      </c>
      <c r="C213" s="205" t="s">
        <v>466</v>
      </c>
      <c r="D213" s="221">
        <v>-1239997.26</v>
      </c>
      <c r="E213" s="221">
        <v>-31412.25</v>
      </c>
      <c r="F213" s="222">
        <f t="shared" si="3"/>
        <v>-1271409.51</v>
      </c>
      <c r="G213" s="205" t="s">
        <v>445</v>
      </c>
      <c r="H213" s="219" t="s">
        <v>250</v>
      </c>
      <c r="J213" s="207" t="s">
        <v>70</v>
      </c>
      <c r="K213" s="207"/>
      <c r="L213" s="207">
        <f>IFERROR(SUMIF(data!$E:$E,科目余额表!$B213,data!H:H),0)</f>
        <v>-925877.75</v>
      </c>
      <c r="M213" s="207">
        <f>IFERROR(SUMIF(data!$E:$E,科目余额表!$B213,data!I:I),0)</f>
        <v>-957289.96</v>
      </c>
      <c r="N213" s="207">
        <f>IFERROR(SUMIF(data!$E:$E,科目余额表!$B213,data!J:J),0)</f>
        <v>-988701.66</v>
      </c>
      <c r="O213" s="207">
        <f>IFERROR(SUMIF(data!$E:$E,科目余额表!$B213,data!K:K),0)</f>
        <v>-1020113.88</v>
      </c>
      <c r="P213" s="207">
        <f>IFERROR(SUMIF(data!$E:$E,科目余额表!$B213,data!L:L),0)</f>
        <v>-1051525.57</v>
      </c>
      <c r="Q213" s="207">
        <f>IFERROR(SUMIF(data!$E:$E,科目余额表!$B213,data!M:M),0)</f>
        <v>-1082937.79</v>
      </c>
      <c r="R213" s="207">
        <f>IFERROR(SUMIF(data!$E:$E,科目余额表!$B213,data!N:N),0)</f>
        <v>-1114349.48</v>
      </c>
      <c r="S213" s="207">
        <f>IFERROR(SUMIF(data!$E:$E,科目余额表!$B213,data!O:O),0)</f>
        <v>-1145761.7</v>
      </c>
      <c r="T213" s="207">
        <f>IFERROR(SUMIF(data!$E:$E,科目余额表!$B213,data!P:P),0)</f>
        <v>-1177173.3799999999</v>
      </c>
      <c r="U213" s="207">
        <f>IFERROR(SUMIF(data!$E:$E,科目余额表!$B213,data!Q:Q),0)</f>
        <v>-1208585.6000000001</v>
      </c>
      <c r="V213" s="207">
        <f>IFERROR(SUMIF(data!$E:$E,科目余额表!$B213,data!R:R),0)</f>
        <v>-1239997.26</v>
      </c>
      <c r="W213" s="207">
        <f>IFERROR(SUMIF(data!$E:$E,科目余额表!$B213,data!S:S),0)</f>
        <v>-1271409.51</v>
      </c>
      <c r="X213" s="207"/>
      <c r="Y213" s="207"/>
      <c r="Z213" s="207"/>
      <c r="AA213" s="207"/>
      <c r="AB213" s="207"/>
      <c r="AC213" s="207"/>
      <c r="AD213" s="207"/>
      <c r="AE213" s="207"/>
      <c r="AF213" s="207"/>
    </row>
    <row r="214" spans="1:32" s="214" customFormat="1" ht="11.65" customHeight="1">
      <c r="A214" s="215"/>
      <c r="B214" s="220">
        <v>16406</v>
      </c>
      <c r="C214" s="205" t="s">
        <v>467</v>
      </c>
      <c r="D214" s="221">
        <v>-1116377.29</v>
      </c>
      <c r="E214" s="221">
        <v>-30187.369999999879</v>
      </c>
      <c r="F214" s="222">
        <f t="shared" si="3"/>
        <v>-1146564.6599999999</v>
      </c>
      <c r="G214" s="205" t="s">
        <v>445</v>
      </c>
      <c r="H214" s="219" t="s">
        <v>250</v>
      </c>
      <c r="J214" s="207" t="s">
        <v>70</v>
      </c>
      <c r="K214" s="207"/>
      <c r="L214" s="207">
        <f>IFERROR(SUMIF(data!$E:$E,科目余额表!$B214,data!H:H),0)</f>
        <v>-814088.13</v>
      </c>
      <c r="M214" s="207">
        <f>IFERROR(SUMIF(data!$E:$E,科目余额表!$B214,data!I:I),0)</f>
        <v>-844205.32</v>
      </c>
      <c r="N214" s="207">
        <f>IFERROR(SUMIF(data!$E:$E,科目余额表!$B214,data!J:J),0)</f>
        <v>-874514.09</v>
      </c>
      <c r="O214" s="207">
        <f>IFERROR(SUMIF(data!$E:$E,科目余额表!$B214,data!K:K),0)</f>
        <v>-904822.86</v>
      </c>
      <c r="P214" s="207">
        <f>IFERROR(SUMIF(data!$E:$E,科目余额表!$B214,data!L:L),0)</f>
        <v>-935131.64</v>
      </c>
      <c r="Q214" s="207">
        <f>IFERROR(SUMIF(data!$E:$E,科目余额表!$B214,data!M:M),0)</f>
        <v>-965440.39</v>
      </c>
      <c r="R214" s="207">
        <f>IFERROR(SUMIF(data!$E:$E,科目余额表!$B214,data!N:N),0)</f>
        <v>-995627.78</v>
      </c>
      <c r="S214" s="207">
        <f>IFERROR(SUMIF(data!$E:$E,科目余额表!$B214,data!O:O),0)</f>
        <v>-1025815.14</v>
      </c>
      <c r="T214" s="207">
        <f>IFERROR(SUMIF(data!$E:$E,科目余额表!$B214,data!P:P),0)</f>
        <v>-1056002.53</v>
      </c>
      <c r="U214" s="207">
        <f>IFERROR(SUMIF(data!$E:$E,科目余额表!$B214,data!Q:Q),0)</f>
        <v>-1086189.8999999999</v>
      </c>
      <c r="V214" s="207">
        <f>IFERROR(SUMIF(data!$E:$E,科目余额表!$B214,data!R:R),0)</f>
        <v>-1116377.29</v>
      </c>
      <c r="W214" s="207">
        <f>IFERROR(SUMIF(data!$E:$E,科目余额表!$B214,data!S:S),0)</f>
        <v>-1146564.6599999999</v>
      </c>
      <c r="X214" s="207"/>
      <c r="Y214" s="207"/>
      <c r="Z214" s="207"/>
      <c r="AA214" s="207"/>
      <c r="AB214" s="207"/>
      <c r="AC214" s="207"/>
      <c r="AD214" s="207"/>
      <c r="AE214" s="207"/>
      <c r="AF214" s="207"/>
    </row>
    <row r="215" spans="1:32" s="214" customFormat="1" ht="11.65" customHeight="1">
      <c r="A215" s="215"/>
      <c r="B215" s="220">
        <v>16407</v>
      </c>
      <c r="C215" s="205" t="s">
        <v>468</v>
      </c>
      <c r="D215" s="221">
        <v>0</v>
      </c>
      <c r="E215" s="221">
        <v>0</v>
      </c>
      <c r="F215" s="222">
        <f t="shared" si="3"/>
        <v>0</v>
      </c>
      <c r="G215" s="205" t="s">
        <v>445</v>
      </c>
      <c r="H215" s="219" t="s">
        <v>250</v>
      </c>
      <c r="J215" s="207" t="s">
        <v>70</v>
      </c>
      <c r="K215" s="207"/>
      <c r="L215" s="207">
        <f>IFERROR(SUMIF(data!$E:$E,科目余额表!$B215,data!H:H),0)</f>
        <v>0</v>
      </c>
      <c r="M215" s="207">
        <f>IFERROR(SUMIF(data!$E:$E,科目余额表!$B215,data!I:I),0)</f>
        <v>0</v>
      </c>
      <c r="N215" s="207">
        <f>IFERROR(SUMIF(data!$E:$E,科目余额表!$B215,data!J:J),0)</f>
        <v>0</v>
      </c>
      <c r="O215" s="207">
        <f>IFERROR(SUMIF(data!$E:$E,科目余额表!$B215,data!K:K),0)</f>
        <v>0</v>
      </c>
      <c r="P215" s="207">
        <f>IFERROR(SUMIF(data!$E:$E,科目余额表!$B215,data!L:L),0)</f>
        <v>0</v>
      </c>
      <c r="Q215" s="207">
        <f>IFERROR(SUMIF(data!$E:$E,科目余额表!$B215,data!M:M),0)</f>
        <v>0</v>
      </c>
      <c r="R215" s="207">
        <f>IFERROR(SUMIF(data!$E:$E,科目余额表!$B215,data!N:N),0)</f>
        <v>0</v>
      </c>
      <c r="S215" s="207">
        <f>IFERROR(SUMIF(data!$E:$E,科目余额表!$B215,data!O:O),0)</f>
        <v>0</v>
      </c>
      <c r="T215" s="207">
        <f>IFERROR(SUMIF(data!$E:$E,科目余额表!$B215,data!P:P),0)</f>
        <v>0</v>
      </c>
      <c r="U215" s="207">
        <f>IFERROR(SUMIF(data!$E:$E,科目余额表!$B215,data!Q:Q),0)</f>
        <v>0</v>
      </c>
      <c r="V215" s="207">
        <f>IFERROR(SUMIF(data!$E:$E,科目余额表!$B215,data!R:R),0)</f>
        <v>0</v>
      </c>
      <c r="W215" s="207">
        <f>IFERROR(SUMIF(data!$E:$E,科目余额表!$B215,data!S:S),0)</f>
        <v>0</v>
      </c>
      <c r="X215" s="207"/>
      <c r="Y215" s="207"/>
      <c r="Z215" s="207"/>
      <c r="AA215" s="207"/>
      <c r="AB215" s="207"/>
      <c r="AC215" s="207"/>
      <c r="AD215" s="207"/>
      <c r="AE215" s="207"/>
      <c r="AF215" s="207"/>
    </row>
    <row r="216" spans="1:32" s="214" customFormat="1" ht="11.65" customHeight="1">
      <c r="A216" s="215"/>
      <c r="B216" s="220">
        <v>16408</v>
      </c>
      <c r="C216" s="205" t="s">
        <v>469</v>
      </c>
      <c r="D216" s="221">
        <v>-21459.500000000029</v>
      </c>
      <c r="E216" s="221">
        <v>-1541.8099999999395</v>
      </c>
      <c r="F216" s="222">
        <f t="shared" si="3"/>
        <v>-23001.309999999969</v>
      </c>
      <c r="G216" s="205" t="s">
        <v>445</v>
      </c>
      <c r="H216" s="219" t="s">
        <v>250</v>
      </c>
      <c r="J216" s="207" t="s">
        <v>70</v>
      </c>
      <c r="K216" s="207"/>
      <c r="L216" s="207">
        <f>IFERROR(SUMIF(data!$E:$E,科目余额表!$B216,data!H:H),0)</f>
        <v>-6999.9599999999627</v>
      </c>
      <c r="M216" s="207">
        <f>IFERROR(SUMIF(data!$E:$E,科目余额表!$B216,data!I:I),0)</f>
        <v>-7583.289999999979</v>
      </c>
      <c r="N216" s="207">
        <f>IFERROR(SUMIF(data!$E:$E,科目余额表!$B216,data!J:J),0)</f>
        <v>-8763.9599999999919</v>
      </c>
      <c r="O216" s="207">
        <f>IFERROR(SUMIF(data!$E:$E,科目余额表!$B216,data!K:K),0)</f>
        <v>-9944.6300000000338</v>
      </c>
      <c r="P216" s="207">
        <f>IFERROR(SUMIF(data!$E:$E,科目余额表!$B216,data!L:L),0)</f>
        <v>-11125.299999999959</v>
      </c>
      <c r="Q216" s="207">
        <f>IFERROR(SUMIF(data!$E:$E,科目余额表!$B216,data!M:M),0)</f>
        <v>-12305.969999999943</v>
      </c>
      <c r="R216" s="207">
        <f>IFERROR(SUMIF(data!$E:$E,科目余额表!$B216,data!N:N),0)</f>
        <v>-13486.639999999985</v>
      </c>
      <c r="S216" s="207">
        <f>IFERROR(SUMIF(data!$E:$E,科目余额表!$B216,data!O:O),0)</f>
        <v>-14667.310000000027</v>
      </c>
      <c r="T216" s="207">
        <f>IFERROR(SUMIF(data!$E:$E,科目余额表!$B216,data!P:P),0)</f>
        <v>-18375.890000000043</v>
      </c>
      <c r="U216" s="207">
        <f>IFERROR(SUMIF(data!$E:$E,科目余额表!$B216,data!Q:Q),0)</f>
        <v>-19917.699999999983</v>
      </c>
      <c r="V216" s="207">
        <f>IFERROR(SUMIF(data!$E:$E,科目余额表!$B216,data!R:R),0)</f>
        <v>-21459.500000000029</v>
      </c>
      <c r="W216" s="207">
        <f>IFERROR(SUMIF(data!$E:$E,科目余额表!$B216,data!S:S),0)</f>
        <v>-23001.309999999969</v>
      </c>
      <c r="X216" s="207"/>
      <c r="Y216" s="207"/>
      <c r="Z216" s="207"/>
      <c r="AA216" s="207"/>
      <c r="AB216" s="207"/>
      <c r="AC216" s="207"/>
      <c r="AD216" s="207"/>
      <c r="AE216" s="207"/>
      <c r="AF216" s="207"/>
    </row>
    <row r="217" spans="1:32" s="214" customFormat="1" ht="11.65" customHeight="1">
      <c r="A217" s="215"/>
      <c r="B217" s="220">
        <v>16409</v>
      </c>
      <c r="C217" s="205" t="s">
        <v>470</v>
      </c>
      <c r="D217" s="221">
        <v>0</v>
      </c>
      <c r="E217" s="221">
        <v>0</v>
      </c>
      <c r="F217" s="222">
        <f t="shared" si="3"/>
        <v>0</v>
      </c>
      <c r="G217" s="205" t="s">
        <v>445</v>
      </c>
      <c r="H217" s="219" t="s">
        <v>250</v>
      </c>
      <c r="J217" s="207" t="s">
        <v>70</v>
      </c>
      <c r="K217" s="207"/>
      <c r="L217" s="207">
        <f>IFERROR(SUMIF(data!$E:$E,科目余额表!$B217,data!H:H),0)</f>
        <v>0</v>
      </c>
      <c r="M217" s="207">
        <f>IFERROR(SUMIF(data!$E:$E,科目余额表!$B217,data!I:I),0)</f>
        <v>0</v>
      </c>
      <c r="N217" s="207">
        <f>IFERROR(SUMIF(data!$E:$E,科目余额表!$B217,data!J:J),0)</f>
        <v>0</v>
      </c>
      <c r="O217" s="207">
        <f>IFERROR(SUMIF(data!$E:$E,科目余额表!$B217,data!K:K),0)</f>
        <v>0</v>
      </c>
      <c r="P217" s="207">
        <f>IFERROR(SUMIF(data!$E:$E,科目余额表!$B217,data!L:L),0)</f>
        <v>0</v>
      </c>
      <c r="Q217" s="207">
        <f>IFERROR(SUMIF(data!$E:$E,科目余额表!$B217,data!M:M),0)</f>
        <v>0</v>
      </c>
      <c r="R217" s="207">
        <f>IFERROR(SUMIF(data!$E:$E,科目余额表!$B217,data!N:N),0)</f>
        <v>0</v>
      </c>
      <c r="S217" s="207">
        <f>IFERROR(SUMIF(data!$E:$E,科目余额表!$B217,data!O:O),0)</f>
        <v>0</v>
      </c>
      <c r="T217" s="207">
        <f>IFERROR(SUMIF(data!$E:$E,科目余额表!$B217,data!P:P),0)</f>
        <v>0</v>
      </c>
      <c r="U217" s="207">
        <f>IFERROR(SUMIF(data!$E:$E,科目余额表!$B217,data!Q:Q),0)</f>
        <v>0</v>
      </c>
      <c r="V217" s="207">
        <f>IFERROR(SUMIF(data!$E:$E,科目余额表!$B217,data!R:R),0)</f>
        <v>0</v>
      </c>
      <c r="W217" s="207">
        <f>IFERROR(SUMIF(data!$E:$E,科目余额表!$B217,data!S:S),0)</f>
        <v>0</v>
      </c>
      <c r="X217" s="207"/>
      <c r="Y217" s="207"/>
      <c r="Z217" s="207"/>
      <c r="AA217" s="207"/>
      <c r="AB217" s="207"/>
      <c r="AC217" s="207"/>
      <c r="AD217" s="207"/>
      <c r="AE217" s="207"/>
      <c r="AF217" s="207"/>
    </row>
    <row r="218" spans="1:32" s="214" customFormat="1" ht="11.65" customHeight="1">
      <c r="A218" s="215"/>
      <c r="B218" s="220">
        <v>16410</v>
      </c>
      <c r="C218" s="205" t="s">
        <v>471</v>
      </c>
      <c r="D218" s="221">
        <v>0</v>
      </c>
      <c r="E218" s="221">
        <v>0</v>
      </c>
      <c r="F218" s="222">
        <f t="shared" si="3"/>
        <v>0</v>
      </c>
      <c r="G218" s="205" t="s">
        <v>445</v>
      </c>
      <c r="H218" s="219" t="s">
        <v>250</v>
      </c>
      <c r="J218" s="207" t="s">
        <v>70</v>
      </c>
      <c r="K218" s="207"/>
      <c r="L218" s="207">
        <f>IFERROR(SUMIF(data!$E:$E,科目余额表!$B218,data!H:H),0)</f>
        <v>0</v>
      </c>
      <c r="M218" s="207">
        <f>IFERROR(SUMIF(data!$E:$E,科目余额表!$B218,data!I:I),0)</f>
        <v>0</v>
      </c>
      <c r="N218" s="207">
        <f>IFERROR(SUMIF(data!$E:$E,科目余额表!$B218,data!J:J),0)</f>
        <v>0</v>
      </c>
      <c r="O218" s="207">
        <f>IFERROR(SUMIF(data!$E:$E,科目余额表!$B218,data!K:K),0)</f>
        <v>0</v>
      </c>
      <c r="P218" s="207">
        <f>IFERROR(SUMIF(data!$E:$E,科目余额表!$B218,data!L:L),0)</f>
        <v>0</v>
      </c>
      <c r="Q218" s="207">
        <f>IFERROR(SUMIF(data!$E:$E,科目余额表!$B218,data!M:M),0)</f>
        <v>0</v>
      </c>
      <c r="R218" s="207">
        <f>IFERROR(SUMIF(data!$E:$E,科目余额表!$B218,data!N:N),0)</f>
        <v>0</v>
      </c>
      <c r="S218" s="207">
        <f>IFERROR(SUMIF(data!$E:$E,科目余额表!$B218,data!O:O),0)</f>
        <v>0</v>
      </c>
      <c r="T218" s="207">
        <f>IFERROR(SUMIF(data!$E:$E,科目余额表!$B218,data!P:P),0)</f>
        <v>0</v>
      </c>
      <c r="U218" s="207">
        <f>IFERROR(SUMIF(data!$E:$E,科目余额表!$B218,data!Q:Q),0)</f>
        <v>0</v>
      </c>
      <c r="V218" s="207">
        <f>IFERROR(SUMIF(data!$E:$E,科目余额表!$B218,data!R:R),0)</f>
        <v>0</v>
      </c>
      <c r="W218" s="207">
        <f>IFERROR(SUMIF(data!$E:$E,科目余额表!$B218,data!S:S),0)</f>
        <v>0</v>
      </c>
      <c r="X218" s="207"/>
      <c r="Y218" s="207"/>
      <c r="Z218" s="207"/>
      <c r="AA218" s="207"/>
      <c r="AB218" s="207"/>
      <c r="AC218" s="207"/>
      <c r="AD218" s="207"/>
      <c r="AE218" s="207"/>
      <c r="AF218" s="207"/>
    </row>
    <row r="219" spans="1:32" s="214" customFormat="1" ht="11.65" customHeight="1">
      <c r="A219" s="215"/>
      <c r="B219" s="220">
        <v>16411</v>
      </c>
      <c r="C219" s="205" t="s">
        <v>472</v>
      </c>
      <c r="D219" s="221">
        <v>-1264825.8899999999</v>
      </c>
      <c r="E219" s="221">
        <v>-34023.280000000028</v>
      </c>
      <c r="F219" s="222">
        <f t="shared" si="3"/>
        <v>-1298849.17</v>
      </c>
      <c r="G219" s="205" t="s">
        <v>445</v>
      </c>
      <c r="H219" s="219" t="s">
        <v>250</v>
      </c>
      <c r="J219" s="207" t="s">
        <v>70</v>
      </c>
      <c r="K219" s="207"/>
      <c r="L219" s="207">
        <f>IFERROR(SUMIF(data!$E:$E,科目余额表!$B219,data!H:H),0)</f>
        <v>-924593.28</v>
      </c>
      <c r="M219" s="207">
        <f>IFERROR(SUMIF(data!$E:$E,科目余额表!$B219,data!I:I),0)</f>
        <v>-958616.56</v>
      </c>
      <c r="N219" s="207">
        <f>IFERROR(SUMIF(data!$E:$E,科目余额表!$B219,data!J:J),0)</f>
        <v>-992639.82</v>
      </c>
      <c r="O219" s="207">
        <f>IFERROR(SUMIF(data!$E:$E,科目余额表!$B219,data!K:K),0)</f>
        <v>-1026663.08</v>
      </c>
      <c r="P219" s="207">
        <f>IFERROR(SUMIF(data!$E:$E,科目余额表!$B219,data!L:L),0)</f>
        <v>-1060686.33</v>
      </c>
      <c r="Q219" s="207">
        <f>IFERROR(SUMIF(data!$E:$E,科目余额表!$B219,data!M:M),0)</f>
        <v>-1094709.5900000001</v>
      </c>
      <c r="R219" s="207">
        <f>IFERROR(SUMIF(data!$E:$E,科目余额表!$B219,data!N:N),0)</f>
        <v>-1128732.8400000001</v>
      </c>
      <c r="S219" s="207">
        <f>IFERROR(SUMIF(data!$E:$E,科目余额表!$B219,data!O:O),0)</f>
        <v>-1162756.1000000001</v>
      </c>
      <c r="T219" s="207">
        <f>IFERROR(SUMIF(data!$E:$E,科目余额表!$B219,data!P:P),0)</f>
        <v>-1196779.3500000001</v>
      </c>
      <c r="U219" s="207">
        <f>IFERROR(SUMIF(data!$E:$E,科目余额表!$B219,data!Q:Q),0)</f>
        <v>-1230802.6299999999</v>
      </c>
      <c r="V219" s="207">
        <f>IFERROR(SUMIF(data!$E:$E,科目余额表!$B219,data!R:R),0)</f>
        <v>-1264825.8899999999</v>
      </c>
      <c r="W219" s="207">
        <f>IFERROR(SUMIF(data!$E:$E,科目余额表!$B219,data!S:S),0)</f>
        <v>-1298849.17</v>
      </c>
      <c r="X219" s="207"/>
      <c r="Y219" s="207"/>
      <c r="Z219" s="207"/>
      <c r="AA219" s="207"/>
      <c r="AB219" s="207"/>
      <c r="AC219" s="207"/>
      <c r="AD219" s="207"/>
      <c r="AE219" s="207"/>
      <c r="AF219" s="207"/>
    </row>
    <row r="220" spans="1:32" s="214" customFormat="1" ht="11.65" customHeight="1">
      <c r="A220" s="215"/>
      <c r="B220" s="220">
        <v>16500</v>
      </c>
      <c r="C220" s="205" t="s">
        <v>448</v>
      </c>
      <c r="D220" s="221">
        <v>0</v>
      </c>
      <c r="E220" s="221">
        <v>0</v>
      </c>
      <c r="F220" s="222">
        <f t="shared" si="3"/>
        <v>0</v>
      </c>
      <c r="G220" s="205" t="s">
        <v>448</v>
      </c>
      <c r="H220" s="219" t="s">
        <v>250</v>
      </c>
      <c r="J220" s="207" t="s">
        <v>72</v>
      </c>
      <c r="K220" s="207"/>
      <c r="L220" s="207">
        <f>IFERROR(SUMIF(data!$E:$E,科目余额表!$B220,data!H:H),0)</f>
        <v>0</v>
      </c>
      <c r="M220" s="207">
        <f>IFERROR(SUMIF(data!$E:$E,科目余额表!$B220,data!I:I),0)</f>
        <v>0</v>
      </c>
      <c r="N220" s="207">
        <f>IFERROR(SUMIF(data!$E:$E,科目余额表!$B220,data!J:J),0)</f>
        <v>0</v>
      </c>
      <c r="O220" s="207">
        <f>IFERROR(SUMIF(data!$E:$E,科目余额表!$B220,data!K:K),0)</f>
        <v>0</v>
      </c>
      <c r="P220" s="207">
        <f>IFERROR(SUMIF(data!$E:$E,科目余额表!$B220,data!L:L),0)</f>
        <v>0</v>
      </c>
      <c r="Q220" s="207">
        <f>IFERROR(SUMIF(data!$E:$E,科目余额表!$B220,data!M:M),0)</f>
        <v>0</v>
      </c>
      <c r="R220" s="207">
        <f>IFERROR(SUMIF(data!$E:$E,科目余额表!$B220,data!N:N),0)</f>
        <v>0</v>
      </c>
      <c r="S220" s="207">
        <f>IFERROR(SUMIF(data!$E:$E,科目余额表!$B220,data!O:O),0)</f>
        <v>0</v>
      </c>
      <c r="T220" s="207">
        <f>IFERROR(SUMIF(data!$E:$E,科目余额表!$B220,data!P:P),0)</f>
        <v>0</v>
      </c>
      <c r="U220" s="207">
        <f>IFERROR(SUMIF(data!$E:$E,科目余额表!$B220,data!Q:Q),0)</f>
        <v>0</v>
      </c>
      <c r="V220" s="207">
        <f>IFERROR(SUMIF(data!$E:$E,科目余额表!$B220,data!R:R),0)</f>
        <v>0</v>
      </c>
      <c r="W220" s="207">
        <f>IFERROR(SUMIF(data!$E:$E,科目余额表!$B220,data!S:S),0)</f>
        <v>0</v>
      </c>
      <c r="X220" s="207"/>
      <c r="Y220" s="207"/>
      <c r="Z220" s="207"/>
      <c r="AA220" s="207"/>
      <c r="AB220" s="207"/>
      <c r="AC220" s="207"/>
      <c r="AD220" s="207"/>
      <c r="AE220" s="207"/>
      <c r="AF220" s="207"/>
    </row>
    <row r="221" spans="1:32" s="214" customFormat="1" ht="11.65" customHeight="1">
      <c r="A221" s="215"/>
      <c r="B221" s="220">
        <v>16600</v>
      </c>
      <c r="C221" s="205" t="s">
        <v>473</v>
      </c>
      <c r="D221" s="221">
        <v>0</v>
      </c>
      <c r="E221" s="221">
        <v>0</v>
      </c>
      <c r="F221" s="222">
        <f t="shared" si="3"/>
        <v>0</v>
      </c>
      <c r="G221" s="205" t="s">
        <v>91</v>
      </c>
      <c r="H221" s="219" t="s">
        <v>250</v>
      </c>
      <c r="J221" s="207" t="s">
        <v>474</v>
      </c>
      <c r="K221" s="207"/>
      <c r="L221" s="207">
        <f>IFERROR(SUMIF(data!$E:$E,科目余额表!$B221,data!H:H),0)</f>
        <v>0</v>
      </c>
      <c r="M221" s="207">
        <f>IFERROR(SUMIF(data!$E:$E,科目余额表!$B221,data!I:I),0)</f>
        <v>0</v>
      </c>
      <c r="N221" s="207">
        <f>IFERROR(SUMIF(data!$E:$E,科目余额表!$B221,data!J:J),0)</f>
        <v>0</v>
      </c>
      <c r="O221" s="207">
        <f>IFERROR(SUMIF(data!$E:$E,科目余额表!$B221,data!K:K),0)</f>
        <v>0</v>
      </c>
      <c r="P221" s="207">
        <f>IFERROR(SUMIF(data!$E:$E,科目余额表!$B221,data!L:L),0)</f>
        <v>0</v>
      </c>
      <c r="Q221" s="207">
        <f>IFERROR(SUMIF(data!$E:$E,科目余额表!$B221,data!M:M),0)</f>
        <v>0</v>
      </c>
      <c r="R221" s="207">
        <f>IFERROR(SUMIF(data!$E:$E,科目余额表!$B221,data!N:N),0)</f>
        <v>0</v>
      </c>
      <c r="S221" s="207">
        <f>IFERROR(SUMIF(data!$E:$E,科目余额表!$B221,data!O:O),0)</f>
        <v>0</v>
      </c>
      <c r="T221" s="207">
        <f>IFERROR(SUMIF(data!$E:$E,科目余额表!$B221,data!P:P),0)</f>
        <v>0</v>
      </c>
      <c r="U221" s="207">
        <f>IFERROR(SUMIF(data!$E:$E,科目余额表!$B221,data!Q:Q),0)</f>
        <v>0</v>
      </c>
      <c r="V221" s="207">
        <f>IFERROR(SUMIF(data!$E:$E,科目余额表!$B221,data!R:R),0)</f>
        <v>0</v>
      </c>
      <c r="W221" s="207">
        <f>IFERROR(SUMIF(data!$E:$E,科目余额表!$B221,data!S:S),0)</f>
        <v>0</v>
      </c>
      <c r="X221" s="207"/>
      <c r="Y221" s="207"/>
      <c r="Z221" s="207"/>
      <c r="AA221" s="207"/>
      <c r="AB221" s="207"/>
      <c r="AC221" s="207"/>
      <c r="AD221" s="207"/>
      <c r="AE221" s="207"/>
      <c r="AF221" s="207"/>
    </row>
    <row r="222" spans="1:32" s="214" customFormat="1" ht="11.65" customHeight="1">
      <c r="A222" s="215"/>
      <c r="B222" s="220">
        <v>16701</v>
      </c>
      <c r="C222" s="205" t="s">
        <v>475</v>
      </c>
      <c r="D222" s="221">
        <v>0</v>
      </c>
      <c r="E222" s="221">
        <v>0</v>
      </c>
      <c r="F222" s="222">
        <f t="shared" si="3"/>
        <v>0</v>
      </c>
      <c r="G222" s="205" t="s">
        <v>442</v>
      </c>
      <c r="H222" s="219" t="s">
        <v>250</v>
      </c>
      <c r="J222" s="207" t="s">
        <v>29</v>
      </c>
      <c r="K222" s="207"/>
      <c r="L222" s="207">
        <f>IFERROR(SUMIF(data!$E:$E,科目余额表!$B222,data!H:H),0)</f>
        <v>0</v>
      </c>
      <c r="M222" s="207">
        <f>IFERROR(SUMIF(data!$E:$E,科目余额表!$B222,data!I:I),0)</f>
        <v>0</v>
      </c>
      <c r="N222" s="207">
        <f>IFERROR(SUMIF(data!$E:$E,科目余额表!$B222,data!J:J),0)</f>
        <v>0</v>
      </c>
      <c r="O222" s="207">
        <f>IFERROR(SUMIF(data!$E:$E,科目余额表!$B222,data!K:K),0)</f>
        <v>0</v>
      </c>
      <c r="P222" s="207">
        <f>IFERROR(SUMIF(data!$E:$E,科目余额表!$B222,data!L:L),0)</f>
        <v>0</v>
      </c>
      <c r="Q222" s="207">
        <f>IFERROR(SUMIF(data!$E:$E,科目余额表!$B222,data!M:M),0)</f>
        <v>0</v>
      </c>
      <c r="R222" s="207">
        <f>IFERROR(SUMIF(data!$E:$E,科目余额表!$B222,data!N:N),0)</f>
        <v>0</v>
      </c>
      <c r="S222" s="207">
        <f>IFERROR(SUMIF(data!$E:$E,科目余额表!$B222,data!O:O),0)</f>
        <v>0</v>
      </c>
      <c r="T222" s="207">
        <f>IFERROR(SUMIF(data!$E:$E,科目余额表!$B222,data!P:P),0)</f>
        <v>0</v>
      </c>
      <c r="U222" s="207">
        <f>IFERROR(SUMIF(data!$E:$E,科目余额表!$B222,data!Q:Q),0)</f>
        <v>0</v>
      </c>
      <c r="V222" s="207">
        <f>IFERROR(SUMIF(data!$E:$E,科目余额表!$B222,data!R:R),0)</f>
        <v>0</v>
      </c>
      <c r="W222" s="207">
        <f>IFERROR(SUMIF(data!$E:$E,科目余额表!$B222,data!S:S),0)</f>
        <v>0</v>
      </c>
      <c r="X222" s="207"/>
      <c r="Y222" s="207"/>
      <c r="Z222" s="207"/>
      <c r="AA222" s="207"/>
      <c r="AB222" s="207"/>
      <c r="AC222" s="207"/>
      <c r="AD222" s="207"/>
      <c r="AE222" s="207"/>
      <c r="AF222" s="207"/>
    </row>
    <row r="223" spans="1:32" s="214" customFormat="1" ht="11.65" customHeight="1">
      <c r="A223" s="215"/>
      <c r="B223" s="220">
        <v>16702</v>
      </c>
      <c r="C223" s="205" t="s">
        <v>476</v>
      </c>
      <c r="D223" s="221">
        <v>0</v>
      </c>
      <c r="E223" s="221">
        <v>0</v>
      </c>
      <c r="F223" s="222">
        <f t="shared" si="3"/>
        <v>0</v>
      </c>
      <c r="G223" s="205" t="s">
        <v>442</v>
      </c>
      <c r="H223" s="219" t="s">
        <v>250</v>
      </c>
      <c r="J223" s="207" t="s">
        <v>29</v>
      </c>
      <c r="K223" s="207"/>
      <c r="L223" s="207">
        <f>IFERROR(SUMIF(data!$E:$E,科目余额表!$B223,data!H:H),0)</f>
        <v>0</v>
      </c>
      <c r="M223" s="207">
        <f>IFERROR(SUMIF(data!$E:$E,科目余额表!$B223,data!I:I),0)</f>
        <v>0</v>
      </c>
      <c r="N223" s="207">
        <f>IFERROR(SUMIF(data!$E:$E,科目余额表!$B223,data!J:J),0)</f>
        <v>0</v>
      </c>
      <c r="O223" s="207">
        <f>IFERROR(SUMIF(data!$E:$E,科目余额表!$B223,data!K:K),0)</f>
        <v>0</v>
      </c>
      <c r="P223" s="207">
        <f>IFERROR(SUMIF(data!$E:$E,科目余额表!$B223,data!L:L),0)</f>
        <v>0</v>
      </c>
      <c r="Q223" s="207">
        <f>IFERROR(SUMIF(data!$E:$E,科目余额表!$B223,data!M:M),0)</f>
        <v>0</v>
      </c>
      <c r="R223" s="207">
        <f>IFERROR(SUMIF(data!$E:$E,科目余额表!$B223,data!N:N),0)</f>
        <v>0</v>
      </c>
      <c r="S223" s="207">
        <f>IFERROR(SUMIF(data!$E:$E,科目余额表!$B223,data!O:O),0)</f>
        <v>0</v>
      </c>
      <c r="T223" s="207">
        <f>IFERROR(SUMIF(data!$E:$E,科目余额表!$B223,data!P:P),0)</f>
        <v>0</v>
      </c>
      <c r="U223" s="207">
        <f>IFERROR(SUMIF(data!$E:$E,科目余额表!$B223,data!Q:Q),0)</f>
        <v>0</v>
      </c>
      <c r="V223" s="207">
        <f>IFERROR(SUMIF(data!$E:$E,科目余额表!$B223,data!R:R),0)</f>
        <v>0</v>
      </c>
      <c r="W223" s="207">
        <f>IFERROR(SUMIF(data!$E:$E,科目余额表!$B223,data!S:S),0)</f>
        <v>0</v>
      </c>
      <c r="X223" s="207"/>
      <c r="Y223" s="207"/>
      <c r="Z223" s="207"/>
      <c r="AA223" s="207"/>
      <c r="AB223" s="207"/>
      <c r="AC223" s="207"/>
      <c r="AD223" s="207"/>
      <c r="AE223" s="207"/>
      <c r="AF223" s="207"/>
    </row>
    <row r="224" spans="1:32" s="214" customFormat="1" ht="11.65" customHeight="1">
      <c r="A224" s="215"/>
      <c r="B224" s="220">
        <v>16721</v>
      </c>
      <c r="C224" s="205" t="s">
        <v>477</v>
      </c>
      <c r="D224" s="221">
        <v>3163128.25</v>
      </c>
      <c r="E224" s="221">
        <v>-1801000.0500000007</v>
      </c>
      <c r="F224" s="222">
        <f t="shared" si="3"/>
        <v>1362128.1999999993</v>
      </c>
      <c r="G224" s="205" t="s">
        <v>442</v>
      </c>
      <c r="H224" s="219" t="s">
        <v>250</v>
      </c>
      <c r="J224" s="207" t="s">
        <v>478</v>
      </c>
      <c r="K224" s="207"/>
      <c r="L224" s="207">
        <f>IFERROR(SUMIF(data!$E:$E,科目余额表!$B224,data!H:H),0)</f>
        <v>4657756.5300000012</v>
      </c>
      <c r="M224" s="207">
        <f>IFERROR(SUMIF(data!$E:$E,科目余额表!$B224,data!I:I),0)</f>
        <v>1564017.0000000037</v>
      </c>
      <c r="N224" s="207">
        <f>IFERROR(SUMIF(data!$E:$E,科目余额表!$B224,data!J:J),0)</f>
        <v>1501301.0000000037</v>
      </c>
      <c r="O224" s="207">
        <f>IFERROR(SUMIF(data!$E:$E,科目余额表!$B224,data!K:K),0)</f>
        <v>2005301.0000000037</v>
      </c>
      <c r="P224" s="207">
        <f>IFERROR(SUMIF(data!$E:$E,科目余额表!$B224,data!L:L),0)</f>
        <v>1966301.0500000045</v>
      </c>
      <c r="Q224" s="207">
        <f>IFERROR(SUMIF(data!$E:$E,科目余额表!$B224,data!M:M),0)</f>
        <v>2003038.7500000037</v>
      </c>
      <c r="R224" s="207">
        <f>IFERROR(SUMIF(data!$E:$E,科目余额表!$B224,data!N:N),0)</f>
        <v>2480953.6400000043</v>
      </c>
      <c r="S224" s="207">
        <f>IFERROR(SUMIF(data!$E:$E,科目余额表!$B224,data!O:O),0)</f>
        <v>3002465.8400000036</v>
      </c>
      <c r="T224" s="207">
        <f>IFERROR(SUMIF(data!$E:$E,科目余额表!$B224,data!P:P),0)</f>
        <v>4650380.8400000036</v>
      </c>
      <c r="U224" s="207">
        <f>IFERROR(SUMIF(data!$E:$E,科目余额表!$B224,data!Q:Q),0)</f>
        <v>3037128.25</v>
      </c>
      <c r="V224" s="207">
        <f>IFERROR(SUMIF(data!$E:$E,科目余额表!$B224,data!R:R),0)</f>
        <v>3163128.25</v>
      </c>
      <c r="W224" s="207">
        <f>IFERROR(SUMIF(data!$E:$E,科目余额表!$B224,data!S:S),0)</f>
        <v>1362128.1999999993</v>
      </c>
      <c r="X224" s="207"/>
      <c r="Y224" s="207"/>
      <c r="Z224" s="207"/>
      <c r="AA224" s="207"/>
      <c r="AB224" s="207"/>
      <c r="AC224" s="207"/>
      <c r="AD224" s="207"/>
      <c r="AE224" s="207"/>
      <c r="AF224" s="207"/>
    </row>
    <row r="225" spans="1:32" s="214" customFormat="1" ht="11.65" customHeight="1">
      <c r="A225" s="215"/>
      <c r="B225" s="220">
        <v>16722</v>
      </c>
      <c r="C225" s="205" t="s">
        <v>479</v>
      </c>
      <c r="D225" s="221">
        <v>0</v>
      </c>
      <c r="E225" s="221">
        <v>0</v>
      </c>
      <c r="F225" s="222">
        <f t="shared" si="3"/>
        <v>0</v>
      </c>
      <c r="G225" s="205" t="s">
        <v>442</v>
      </c>
      <c r="H225" s="219" t="s">
        <v>250</v>
      </c>
      <c r="J225" s="207" t="s">
        <v>478</v>
      </c>
      <c r="K225" s="207"/>
      <c r="L225" s="207">
        <f>IFERROR(SUMIF(data!$E:$E,科目余额表!$B225,data!H:H),0)</f>
        <v>0</v>
      </c>
      <c r="M225" s="207">
        <f>IFERROR(SUMIF(data!$E:$E,科目余额表!$B225,data!I:I),0)</f>
        <v>0</v>
      </c>
      <c r="N225" s="207">
        <f>IFERROR(SUMIF(data!$E:$E,科目余额表!$B225,data!J:J),0)</f>
        <v>0</v>
      </c>
      <c r="O225" s="207">
        <f>IFERROR(SUMIF(data!$E:$E,科目余额表!$B225,data!K:K),0)</f>
        <v>0</v>
      </c>
      <c r="P225" s="207">
        <f>IFERROR(SUMIF(data!$E:$E,科目余额表!$B225,data!L:L),0)</f>
        <v>0</v>
      </c>
      <c r="Q225" s="207">
        <f>IFERROR(SUMIF(data!$E:$E,科目余额表!$B225,data!M:M),0)</f>
        <v>0</v>
      </c>
      <c r="R225" s="207">
        <f>IFERROR(SUMIF(data!$E:$E,科目余额表!$B225,data!N:N),0)</f>
        <v>0</v>
      </c>
      <c r="S225" s="207">
        <f>IFERROR(SUMIF(data!$E:$E,科目余额表!$B225,data!O:O),0)</f>
        <v>0</v>
      </c>
      <c r="T225" s="207">
        <f>IFERROR(SUMIF(data!$E:$E,科目余额表!$B225,data!P:P),0)</f>
        <v>0</v>
      </c>
      <c r="U225" s="207">
        <f>IFERROR(SUMIF(data!$E:$E,科目余额表!$B225,data!Q:Q),0)</f>
        <v>0</v>
      </c>
      <c r="V225" s="207">
        <f>IFERROR(SUMIF(data!$E:$E,科目余额表!$B225,data!R:R),0)</f>
        <v>0</v>
      </c>
      <c r="W225" s="207">
        <f>IFERROR(SUMIF(data!$E:$E,科目余额表!$B225,data!S:S),0)</f>
        <v>0</v>
      </c>
      <c r="X225" s="207"/>
      <c r="Y225" s="207"/>
      <c r="Z225" s="207"/>
      <c r="AA225" s="207"/>
      <c r="AB225" s="207"/>
      <c r="AC225" s="207"/>
      <c r="AD225" s="207"/>
      <c r="AE225" s="207"/>
      <c r="AF225" s="207"/>
    </row>
    <row r="226" spans="1:32" s="214" customFormat="1" ht="11.65" customHeight="1">
      <c r="A226" s="215"/>
      <c r="B226" s="220">
        <v>16723</v>
      </c>
      <c r="C226" s="205" t="s">
        <v>480</v>
      </c>
      <c r="D226" s="221">
        <v>0</v>
      </c>
      <c r="E226" s="221">
        <v>0</v>
      </c>
      <c r="F226" s="222">
        <f t="shared" si="3"/>
        <v>0</v>
      </c>
      <c r="G226" s="205" t="s">
        <v>442</v>
      </c>
      <c r="H226" s="219" t="s">
        <v>250</v>
      </c>
      <c r="J226" s="207" t="s">
        <v>478</v>
      </c>
      <c r="K226" s="207"/>
      <c r="L226" s="207">
        <f>IFERROR(SUMIF(data!$E:$E,科目余额表!$B226,data!H:H),0)</f>
        <v>0</v>
      </c>
      <c r="M226" s="207">
        <f>IFERROR(SUMIF(data!$E:$E,科目余额表!$B226,data!I:I),0)</f>
        <v>0</v>
      </c>
      <c r="N226" s="207">
        <f>IFERROR(SUMIF(data!$E:$E,科目余额表!$B226,data!J:J),0)</f>
        <v>0</v>
      </c>
      <c r="O226" s="207">
        <f>IFERROR(SUMIF(data!$E:$E,科目余额表!$B226,data!K:K),0)</f>
        <v>0</v>
      </c>
      <c r="P226" s="207">
        <f>IFERROR(SUMIF(data!$E:$E,科目余额表!$B226,data!L:L),0)</f>
        <v>0</v>
      </c>
      <c r="Q226" s="207">
        <f>IFERROR(SUMIF(data!$E:$E,科目余额表!$B226,data!M:M),0)</f>
        <v>0</v>
      </c>
      <c r="R226" s="207">
        <f>IFERROR(SUMIF(data!$E:$E,科目余额表!$B226,data!N:N),0)</f>
        <v>0</v>
      </c>
      <c r="S226" s="207">
        <f>IFERROR(SUMIF(data!$E:$E,科目余额表!$B226,data!O:O),0)</f>
        <v>0</v>
      </c>
      <c r="T226" s="207">
        <f>IFERROR(SUMIF(data!$E:$E,科目余额表!$B226,data!P:P),0)</f>
        <v>0</v>
      </c>
      <c r="U226" s="207">
        <f>IFERROR(SUMIF(data!$E:$E,科目余额表!$B226,data!Q:Q),0)</f>
        <v>0</v>
      </c>
      <c r="V226" s="207">
        <f>IFERROR(SUMIF(data!$E:$E,科目余额表!$B226,data!R:R),0)</f>
        <v>0</v>
      </c>
      <c r="W226" s="207">
        <f>IFERROR(SUMIF(data!$E:$E,科目余额表!$B226,data!S:S),0)</f>
        <v>0</v>
      </c>
      <c r="X226" s="207"/>
      <c r="Y226" s="207"/>
      <c r="Z226" s="207"/>
      <c r="AA226" s="207"/>
      <c r="AB226" s="207"/>
      <c r="AC226" s="207"/>
      <c r="AD226" s="207"/>
      <c r="AE226" s="207"/>
      <c r="AF226" s="207"/>
    </row>
    <row r="227" spans="1:32" s="214" customFormat="1" ht="11.65" customHeight="1">
      <c r="A227" s="215"/>
      <c r="B227" s="220">
        <v>16724</v>
      </c>
      <c r="C227" s="205" t="s">
        <v>481</v>
      </c>
      <c r="D227" s="221">
        <v>0</v>
      </c>
      <c r="E227" s="221">
        <v>0</v>
      </c>
      <c r="F227" s="222">
        <f t="shared" si="3"/>
        <v>0</v>
      </c>
      <c r="G227" s="205" t="s">
        <v>442</v>
      </c>
      <c r="H227" s="219" t="s">
        <v>250</v>
      </c>
      <c r="J227" s="207" t="s">
        <v>478</v>
      </c>
      <c r="K227" s="207"/>
      <c r="L227" s="207">
        <f>IFERROR(SUMIF(data!$E:$E,科目余额表!$B227,data!H:H),0)</f>
        <v>0</v>
      </c>
      <c r="M227" s="207">
        <f>IFERROR(SUMIF(data!$E:$E,科目余额表!$B227,data!I:I),0)</f>
        <v>0</v>
      </c>
      <c r="N227" s="207">
        <f>IFERROR(SUMIF(data!$E:$E,科目余额表!$B227,data!J:J),0)</f>
        <v>0</v>
      </c>
      <c r="O227" s="207">
        <f>IFERROR(SUMIF(data!$E:$E,科目余额表!$B227,data!K:K),0)</f>
        <v>0</v>
      </c>
      <c r="P227" s="207">
        <f>IFERROR(SUMIF(data!$E:$E,科目余额表!$B227,data!L:L),0)</f>
        <v>0</v>
      </c>
      <c r="Q227" s="207">
        <f>IFERROR(SUMIF(data!$E:$E,科目余额表!$B227,data!M:M),0)</f>
        <v>0</v>
      </c>
      <c r="R227" s="207">
        <f>IFERROR(SUMIF(data!$E:$E,科目余额表!$B227,data!N:N),0)</f>
        <v>0</v>
      </c>
      <c r="S227" s="207">
        <f>IFERROR(SUMIF(data!$E:$E,科目余额表!$B227,data!O:O),0)</f>
        <v>0</v>
      </c>
      <c r="T227" s="207">
        <f>IFERROR(SUMIF(data!$E:$E,科目余额表!$B227,data!P:P),0)</f>
        <v>0</v>
      </c>
      <c r="U227" s="207">
        <f>IFERROR(SUMIF(data!$E:$E,科目余额表!$B227,data!Q:Q),0)</f>
        <v>0</v>
      </c>
      <c r="V227" s="207">
        <f>IFERROR(SUMIF(data!$E:$E,科目余额表!$B227,data!R:R),0)</f>
        <v>0</v>
      </c>
      <c r="W227" s="207">
        <f>IFERROR(SUMIF(data!$E:$E,科目余额表!$B227,data!S:S),0)</f>
        <v>0</v>
      </c>
      <c r="X227" s="207"/>
      <c r="Y227" s="207"/>
      <c r="Z227" s="207"/>
      <c r="AA227" s="207"/>
      <c r="AB227" s="207"/>
      <c r="AC227" s="207"/>
      <c r="AD227" s="207"/>
      <c r="AE227" s="207"/>
      <c r="AF227" s="207"/>
    </row>
    <row r="228" spans="1:32" s="214" customFormat="1" ht="11.65" customHeight="1">
      <c r="A228" s="215"/>
      <c r="B228" s="220">
        <v>16725</v>
      </c>
      <c r="C228" s="205" t="s">
        <v>482</v>
      </c>
      <c r="D228" s="221">
        <v>0</v>
      </c>
      <c r="E228" s="221">
        <v>0</v>
      </c>
      <c r="F228" s="222">
        <f t="shared" si="3"/>
        <v>0</v>
      </c>
      <c r="G228" s="205" t="s">
        <v>442</v>
      </c>
      <c r="H228" s="219" t="s">
        <v>250</v>
      </c>
      <c r="J228" s="207" t="s">
        <v>478</v>
      </c>
      <c r="K228" s="207"/>
      <c r="L228" s="207">
        <f>IFERROR(SUMIF(data!$E:$E,科目余额表!$B228,data!H:H),0)</f>
        <v>0</v>
      </c>
      <c r="M228" s="207">
        <f>IFERROR(SUMIF(data!$E:$E,科目余额表!$B228,data!I:I),0)</f>
        <v>0</v>
      </c>
      <c r="N228" s="207">
        <f>IFERROR(SUMIF(data!$E:$E,科目余额表!$B228,data!J:J),0)</f>
        <v>0</v>
      </c>
      <c r="O228" s="207">
        <f>IFERROR(SUMIF(data!$E:$E,科目余额表!$B228,data!K:K),0)</f>
        <v>0</v>
      </c>
      <c r="P228" s="207">
        <f>IFERROR(SUMIF(data!$E:$E,科目余额表!$B228,data!L:L),0)</f>
        <v>0</v>
      </c>
      <c r="Q228" s="207">
        <f>IFERROR(SUMIF(data!$E:$E,科目余额表!$B228,data!M:M),0)</f>
        <v>0</v>
      </c>
      <c r="R228" s="207">
        <f>IFERROR(SUMIF(data!$E:$E,科目余额表!$B228,data!N:N),0)</f>
        <v>0</v>
      </c>
      <c r="S228" s="207">
        <f>IFERROR(SUMIF(data!$E:$E,科目余额表!$B228,data!O:O),0)</f>
        <v>0</v>
      </c>
      <c r="T228" s="207">
        <f>IFERROR(SUMIF(data!$E:$E,科目余额表!$B228,data!P:P),0)</f>
        <v>0</v>
      </c>
      <c r="U228" s="207">
        <f>IFERROR(SUMIF(data!$E:$E,科目余额表!$B228,data!Q:Q),0)</f>
        <v>0</v>
      </c>
      <c r="V228" s="207">
        <f>IFERROR(SUMIF(data!$E:$E,科目余额表!$B228,data!R:R),0)</f>
        <v>0</v>
      </c>
      <c r="W228" s="207">
        <f>IFERROR(SUMIF(data!$E:$E,科目余额表!$B228,data!S:S),0)</f>
        <v>0</v>
      </c>
      <c r="X228" s="207"/>
      <c r="Y228" s="207"/>
      <c r="Z228" s="207"/>
      <c r="AA228" s="207"/>
      <c r="AB228" s="207"/>
      <c r="AC228" s="207"/>
      <c r="AD228" s="207"/>
      <c r="AE228" s="207"/>
      <c r="AF228" s="207"/>
    </row>
    <row r="229" spans="1:32" s="214" customFormat="1" ht="11.65" customHeight="1">
      <c r="A229" s="215"/>
      <c r="B229" s="220">
        <v>16726</v>
      </c>
      <c r="C229" s="205" t="s">
        <v>483</v>
      </c>
      <c r="D229" s="221">
        <v>0</v>
      </c>
      <c r="E229" s="221">
        <v>0</v>
      </c>
      <c r="F229" s="222">
        <f t="shared" si="3"/>
        <v>0</v>
      </c>
      <c r="G229" s="205" t="s">
        <v>442</v>
      </c>
      <c r="H229" s="219" t="s">
        <v>250</v>
      </c>
      <c r="J229" s="207" t="s">
        <v>478</v>
      </c>
      <c r="K229" s="207"/>
      <c r="L229" s="207">
        <f>IFERROR(SUMIF(data!$E:$E,科目余额表!$B229,data!H:H),0)</f>
        <v>0</v>
      </c>
      <c r="M229" s="207">
        <f>IFERROR(SUMIF(data!$E:$E,科目余额表!$B229,data!I:I),0)</f>
        <v>0</v>
      </c>
      <c r="N229" s="207">
        <f>IFERROR(SUMIF(data!$E:$E,科目余额表!$B229,data!J:J),0)</f>
        <v>0</v>
      </c>
      <c r="O229" s="207">
        <f>IFERROR(SUMIF(data!$E:$E,科目余额表!$B229,data!K:K),0)</f>
        <v>0</v>
      </c>
      <c r="P229" s="207">
        <f>IFERROR(SUMIF(data!$E:$E,科目余额表!$B229,data!L:L),0)</f>
        <v>0</v>
      </c>
      <c r="Q229" s="207">
        <f>IFERROR(SUMIF(data!$E:$E,科目余额表!$B229,data!M:M),0)</f>
        <v>0</v>
      </c>
      <c r="R229" s="207">
        <f>IFERROR(SUMIF(data!$E:$E,科目余额表!$B229,data!N:N),0)</f>
        <v>0</v>
      </c>
      <c r="S229" s="207">
        <f>IFERROR(SUMIF(data!$E:$E,科目余额表!$B229,data!O:O),0)</f>
        <v>0</v>
      </c>
      <c r="T229" s="207">
        <f>IFERROR(SUMIF(data!$E:$E,科目余额表!$B229,data!P:P),0)</f>
        <v>0</v>
      </c>
      <c r="U229" s="207">
        <f>IFERROR(SUMIF(data!$E:$E,科目余额表!$B229,data!Q:Q),0)</f>
        <v>0</v>
      </c>
      <c r="V229" s="207">
        <f>IFERROR(SUMIF(data!$E:$E,科目余额表!$B229,data!R:R),0)</f>
        <v>0</v>
      </c>
      <c r="W229" s="207">
        <f>IFERROR(SUMIF(data!$E:$E,科目余额表!$B229,data!S:S),0)</f>
        <v>0</v>
      </c>
      <c r="X229" s="207"/>
      <c r="Y229" s="207"/>
      <c r="Z229" s="207"/>
      <c r="AA229" s="207"/>
      <c r="AB229" s="207"/>
      <c r="AC229" s="207"/>
      <c r="AD229" s="207"/>
      <c r="AE229" s="207"/>
      <c r="AF229" s="207"/>
    </row>
    <row r="230" spans="1:32" s="214" customFormat="1" ht="11.65" customHeight="1">
      <c r="A230" s="215"/>
      <c r="B230" s="220">
        <v>16727</v>
      </c>
      <c r="C230" s="205" t="s">
        <v>484</v>
      </c>
      <c r="D230" s="221">
        <v>0</v>
      </c>
      <c r="E230" s="221">
        <v>0</v>
      </c>
      <c r="F230" s="222">
        <f t="shared" si="3"/>
        <v>0</v>
      </c>
      <c r="G230" s="205" t="s">
        <v>442</v>
      </c>
      <c r="H230" s="219" t="s">
        <v>250</v>
      </c>
      <c r="J230" s="207" t="s">
        <v>478</v>
      </c>
      <c r="K230" s="207"/>
      <c r="L230" s="207">
        <f>IFERROR(SUMIF(data!$E:$E,科目余额表!$B230,data!H:H),0)</f>
        <v>0</v>
      </c>
      <c r="M230" s="207">
        <f>IFERROR(SUMIF(data!$E:$E,科目余额表!$B230,data!I:I),0)</f>
        <v>0</v>
      </c>
      <c r="N230" s="207">
        <f>IFERROR(SUMIF(data!$E:$E,科目余额表!$B230,data!J:J),0)</f>
        <v>0</v>
      </c>
      <c r="O230" s="207">
        <f>IFERROR(SUMIF(data!$E:$E,科目余额表!$B230,data!K:K),0)</f>
        <v>0</v>
      </c>
      <c r="P230" s="207">
        <f>IFERROR(SUMIF(data!$E:$E,科目余额表!$B230,data!L:L),0)</f>
        <v>0</v>
      </c>
      <c r="Q230" s="207">
        <f>IFERROR(SUMIF(data!$E:$E,科目余额表!$B230,data!M:M),0)</f>
        <v>0</v>
      </c>
      <c r="R230" s="207">
        <f>IFERROR(SUMIF(data!$E:$E,科目余额表!$B230,data!N:N),0)</f>
        <v>0</v>
      </c>
      <c r="S230" s="207">
        <f>IFERROR(SUMIF(data!$E:$E,科目余额表!$B230,data!O:O),0)</f>
        <v>0</v>
      </c>
      <c r="T230" s="207">
        <f>IFERROR(SUMIF(data!$E:$E,科目余额表!$B230,data!P:P),0)</f>
        <v>0</v>
      </c>
      <c r="U230" s="207">
        <f>IFERROR(SUMIF(data!$E:$E,科目余额表!$B230,data!Q:Q),0)</f>
        <v>0</v>
      </c>
      <c r="V230" s="207">
        <f>IFERROR(SUMIF(data!$E:$E,科目余额表!$B230,data!R:R),0)</f>
        <v>0</v>
      </c>
      <c r="W230" s="207">
        <f>IFERROR(SUMIF(data!$E:$E,科目余额表!$B230,data!S:S),0)</f>
        <v>0</v>
      </c>
      <c r="X230" s="207"/>
      <c r="Y230" s="207"/>
      <c r="Z230" s="207"/>
      <c r="AA230" s="207"/>
      <c r="AB230" s="207"/>
      <c r="AC230" s="207"/>
      <c r="AD230" s="207"/>
      <c r="AE230" s="207"/>
      <c r="AF230" s="207"/>
    </row>
    <row r="231" spans="1:32" s="214" customFormat="1" ht="11.65" customHeight="1">
      <c r="A231" s="215"/>
      <c r="B231" s="220">
        <v>16728</v>
      </c>
      <c r="C231" s="205" t="s">
        <v>485</v>
      </c>
      <c r="D231" s="221">
        <v>0</v>
      </c>
      <c r="E231" s="221">
        <v>0</v>
      </c>
      <c r="F231" s="222">
        <f t="shared" si="3"/>
        <v>0</v>
      </c>
      <c r="G231" s="205" t="s">
        <v>442</v>
      </c>
      <c r="H231" s="219" t="s">
        <v>250</v>
      </c>
      <c r="J231" s="207" t="s">
        <v>478</v>
      </c>
      <c r="K231" s="207"/>
      <c r="L231" s="207">
        <f>IFERROR(SUMIF(data!$E:$E,科目余额表!$B231,data!H:H),0)</f>
        <v>0</v>
      </c>
      <c r="M231" s="207">
        <f>IFERROR(SUMIF(data!$E:$E,科目余额表!$B231,data!I:I),0)</f>
        <v>0</v>
      </c>
      <c r="N231" s="207">
        <f>IFERROR(SUMIF(data!$E:$E,科目余额表!$B231,data!J:J),0)</f>
        <v>0</v>
      </c>
      <c r="O231" s="207">
        <f>IFERROR(SUMIF(data!$E:$E,科目余额表!$B231,data!K:K),0)</f>
        <v>0</v>
      </c>
      <c r="P231" s="207">
        <f>IFERROR(SUMIF(data!$E:$E,科目余额表!$B231,data!L:L),0)</f>
        <v>0</v>
      </c>
      <c r="Q231" s="207">
        <f>IFERROR(SUMIF(data!$E:$E,科目余额表!$B231,data!M:M),0)</f>
        <v>0</v>
      </c>
      <c r="R231" s="207">
        <f>IFERROR(SUMIF(data!$E:$E,科目余额表!$B231,data!N:N),0)</f>
        <v>0</v>
      </c>
      <c r="S231" s="207">
        <f>IFERROR(SUMIF(data!$E:$E,科目余额表!$B231,data!O:O),0)</f>
        <v>0</v>
      </c>
      <c r="T231" s="207">
        <f>IFERROR(SUMIF(data!$E:$E,科目余额表!$B231,data!P:P),0)</f>
        <v>0</v>
      </c>
      <c r="U231" s="207">
        <f>IFERROR(SUMIF(data!$E:$E,科目余额表!$B231,data!Q:Q),0)</f>
        <v>0</v>
      </c>
      <c r="V231" s="207">
        <f>IFERROR(SUMIF(data!$E:$E,科目余额表!$B231,data!R:R),0)</f>
        <v>0</v>
      </c>
      <c r="W231" s="207">
        <f>IFERROR(SUMIF(data!$E:$E,科目余额表!$B231,data!S:S),0)</f>
        <v>0</v>
      </c>
      <c r="X231" s="207"/>
      <c r="Y231" s="207"/>
      <c r="Z231" s="207"/>
      <c r="AA231" s="207"/>
      <c r="AB231" s="207"/>
      <c r="AC231" s="207"/>
      <c r="AD231" s="207"/>
      <c r="AE231" s="207"/>
      <c r="AF231" s="207"/>
    </row>
    <row r="232" spans="1:32" s="214" customFormat="1" ht="11.65" customHeight="1">
      <c r="A232" s="215"/>
      <c r="B232" s="220">
        <v>16729</v>
      </c>
      <c r="C232" s="205" t="s">
        <v>486</v>
      </c>
      <c r="D232" s="221">
        <v>0</v>
      </c>
      <c r="E232" s="221">
        <v>0</v>
      </c>
      <c r="F232" s="222">
        <f t="shared" si="3"/>
        <v>0</v>
      </c>
      <c r="G232" s="205" t="s">
        <v>442</v>
      </c>
      <c r="H232" s="219" t="s">
        <v>250</v>
      </c>
      <c r="J232" s="207" t="s">
        <v>478</v>
      </c>
      <c r="K232" s="207"/>
      <c r="L232" s="207">
        <f>IFERROR(SUMIF(data!$E:$E,科目余额表!$B232,data!H:H),0)</f>
        <v>0</v>
      </c>
      <c r="M232" s="207">
        <f>IFERROR(SUMIF(data!$E:$E,科目余额表!$B232,data!I:I),0)</f>
        <v>0</v>
      </c>
      <c r="N232" s="207">
        <f>IFERROR(SUMIF(data!$E:$E,科目余额表!$B232,data!J:J),0)</f>
        <v>0</v>
      </c>
      <c r="O232" s="207">
        <f>IFERROR(SUMIF(data!$E:$E,科目余额表!$B232,data!K:K),0)</f>
        <v>0</v>
      </c>
      <c r="P232" s="207">
        <f>IFERROR(SUMIF(data!$E:$E,科目余额表!$B232,data!L:L),0)</f>
        <v>0</v>
      </c>
      <c r="Q232" s="207">
        <f>IFERROR(SUMIF(data!$E:$E,科目余额表!$B232,data!M:M),0)</f>
        <v>0</v>
      </c>
      <c r="R232" s="207">
        <f>IFERROR(SUMIF(data!$E:$E,科目余额表!$B232,data!N:N),0)</f>
        <v>0</v>
      </c>
      <c r="S232" s="207">
        <f>IFERROR(SUMIF(data!$E:$E,科目余额表!$B232,data!O:O),0)</f>
        <v>0</v>
      </c>
      <c r="T232" s="207">
        <f>IFERROR(SUMIF(data!$E:$E,科目余额表!$B232,data!P:P),0)</f>
        <v>0</v>
      </c>
      <c r="U232" s="207">
        <f>IFERROR(SUMIF(data!$E:$E,科目余额表!$B232,data!Q:Q),0)</f>
        <v>0</v>
      </c>
      <c r="V232" s="207">
        <f>IFERROR(SUMIF(data!$E:$E,科目余额表!$B232,data!R:R),0)</f>
        <v>0</v>
      </c>
      <c r="W232" s="207">
        <f>IFERROR(SUMIF(data!$E:$E,科目余额表!$B232,data!S:S),0)</f>
        <v>0</v>
      </c>
      <c r="X232" s="207"/>
      <c r="Y232" s="207"/>
      <c r="Z232" s="207"/>
      <c r="AA232" s="207"/>
      <c r="AB232" s="207"/>
      <c r="AC232" s="207"/>
      <c r="AD232" s="207"/>
      <c r="AE232" s="207"/>
      <c r="AF232" s="207"/>
    </row>
    <row r="233" spans="1:32" s="214" customFormat="1" ht="11.65" customHeight="1">
      <c r="A233" s="215"/>
      <c r="B233" s="220">
        <v>16730</v>
      </c>
      <c r="C233" s="205" t="s">
        <v>487</v>
      </c>
      <c r="D233" s="221">
        <v>0</v>
      </c>
      <c r="E233" s="221">
        <v>0</v>
      </c>
      <c r="F233" s="222">
        <f t="shared" si="3"/>
        <v>0</v>
      </c>
      <c r="G233" s="205" t="s">
        <v>442</v>
      </c>
      <c r="H233" s="219" t="s">
        <v>250</v>
      </c>
      <c r="J233" s="207" t="s">
        <v>478</v>
      </c>
      <c r="K233" s="207"/>
      <c r="L233" s="207">
        <f>IFERROR(SUMIF(data!$E:$E,科目余额表!$B233,data!H:H),0)</f>
        <v>0</v>
      </c>
      <c r="M233" s="207">
        <f>IFERROR(SUMIF(data!$E:$E,科目余额表!$B233,data!I:I),0)</f>
        <v>0</v>
      </c>
      <c r="N233" s="207">
        <f>IFERROR(SUMIF(data!$E:$E,科目余额表!$B233,data!J:J),0)</f>
        <v>0</v>
      </c>
      <c r="O233" s="207">
        <f>IFERROR(SUMIF(data!$E:$E,科目余额表!$B233,data!K:K),0)</f>
        <v>0</v>
      </c>
      <c r="P233" s="207">
        <f>IFERROR(SUMIF(data!$E:$E,科目余额表!$B233,data!L:L),0)</f>
        <v>0</v>
      </c>
      <c r="Q233" s="207">
        <f>IFERROR(SUMIF(data!$E:$E,科目余额表!$B233,data!M:M),0)</f>
        <v>0</v>
      </c>
      <c r="R233" s="207">
        <f>IFERROR(SUMIF(data!$E:$E,科目余额表!$B233,data!N:N),0)</f>
        <v>0</v>
      </c>
      <c r="S233" s="207">
        <f>IFERROR(SUMIF(data!$E:$E,科目余额表!$B233,data!O:O),0)</f>
        <v>0</v>
      </c>
      <c r="T233" s="207">
        <f>IFERROR(SUMIF(data!$E:$E,科目余额表!$B233,data!P:P),0)</f>
        <v>0</v>
      </c>
      <c r="U233" s="207">
        <f>IFERROR(SUMIF(data!$E:$E,科目余额表!$B233,data!Q:Q),0)</f>
        <v>0</v>
      </c>
      <c r="V233" s="207">
        <f>IFERROR(SUMIF(data!$E:$E,科目余额表!$B233,data!R:R),0)</f>
        <v>0</v>
      </c>
      <c r="W233" s="207">
        <f>IFERROR(SUMIF(data!$E:$E,科目余额表!$B233,data!S:S),0)</f>
        <v>0</v>
      </c>
      <c r="X233" s="207"/>
      <c r="Y233" s="207"/>
      <c r="Z233" s="207"/>
      <c r="AA233" s="207"/>
      <c r="AB233" s="207"/>
      <c r="AC233" s="207"/>
      <c r="AD233" s="207"/>
      <c r="AE233" s="207"/>
      <c r="AF233" s="207"/>
    </row>
    <row r="234" spans="1:32" s="214" customFormat="1" ht="11.65" customHeight="1">
      <c r="A234" s="215"/>
      <c r="B234" s="220">
        <v>16731</v>
      </c>
      <c r="C234" s="205" t="s">
        <v>488</v>
      </c>
      <c r="D234" s="221">
        <v>0</v>
      </c>
      <c r="E234" s="221">
        <v>0</v>
      </c>
      <c r="F234" s="222">
        <f t="shared" si="3"/>
        <v>0</v>
      </c>
      <c r="G234" s="205" t="s">
        <v>442</v>
      </c>
      <c r="H234" s="219" t="s">
        <v>250</v>
      </c>
      <c r="J234" s="207" t="s">
        <v>478</v>
      </c>
      <c r="K234" s="207"/>
      <c r="L234" s="207">
        <f>IFERROR(SUMIF(data!$E:$E,科目余额表!$B234,data!H:H),0)</f>
        <v>0</v>
      </c>
      <c r="M234" s="207">
        <f>IFERROR(SUMIF(data!$E:$E,科目余额表!$B234,data!I:I),0)</f>
        <v>0</v>
      </c>
      <c r="N234" s="207">
        <f>IFERROR(SUMIF(data!$E:$E,科目余额表!$B234,data!J:J),0)</f>
        <v>0</v>
      </c>
      <c r="O234" s="207">
        <f>IFERROR(SUMIF(data!$E:$E,科目余额表!$B234,data!K:K),0)</f>
        <v>0</v>
      </c>
      <c r="P234" s="207">
        <f>IFERROR(SUMIF(data!$E:$E,科目余额表!$B234,data!L:L),0)</f>
        <v>0</v>
      </c>
      <c r="Q234" s="207">
        <f>IFERROR(SUMIF(data!$E:$E,科目余额表!$B234,data!M:M),0)</f>
        <v>0</v>
      </c>
      <c r="R234" s="207">
        <f>IFERROR(SUMIF(data!$E:$E,科目余额表!$B234,data!N:N),0)</f>
        <v>0</v>
      </c>
      <c r="S234" s="207">
        <f>IFERROR(SUMIF(data!$E:$E,科目余额表!$B234,data!O:O),0)</f>
        <v>0</v>
      </c>
      <c r="T234" s="207">
        <f>IFERROR(SUMIF(data!$E:$E,科目余额表!$B234,data!P:P),0)</f>
        <v>0</v>
      </c>
      <c r="U234" s="207">
        <f>IFERROR(SUMIF(data!$E:$E,科目余额表!$B234,data!Q:Q),0)</f>
        <v>0</v>
      </c>
      <c r="V234" s="207">
        <f>IFERROR(SUMIF(data!$E:$E,科目余额表!$B234,data!R:R),0)</f>
        <v>0</v>
      </c>
      <c r="W234" s="207">
        <f>IFERROR(SUMIF(data!$E:$E,科目余额表!$B234,data!S:S),0)</f>
        <v>0</v>
      </c>
      <c r="X234" s="207"/>
      <c r="Y234" s="207"/>
      <c r="Z234" s="207"/>
      <c r="AA234" s="207"/>
      <c r="AB234" s="207"/>
      <c r="AC234" s="207"/>
      <c r="AD234" s="207"/>
      <c r="AE234" s="207"/>
      <c r="AF234" s="207"/>
    </row>
    <row r="235" spans="1:32" s="214" customFormat="1" ht="11.65" customHeight="1">
      <c r="A235" s="215"/>
      <c r="B235" s="220">
        <v>16732</v>
      </c>
      <c r="C235" s="205" t="s">
        <v>489</v>
      </c>
      <c r="D235" s="221">
        <v>0</v>
      </c>
      <c r="E235" s="221">
        <v>0</v>
      </c>
      <c r="F235" s="222">
        <f t="shared" si="3"/>
        <v>0</v>
      </c>
      <c r="G235" s="205" t="s">
        <v>442</v>
      </c>
      <c r="H235" s="219" t="s">
        <v>250</v>
      </c>
      <c r="J235" s="207" t="s">
        <v>478</v>
      </c>
      <c r="K235" s="207"/>
      <c r="L235" s="207">
        <f>IFERROR(SUMIF(data!$E:$E,科目余额表!$B235,data!H:H),0)</f>
        <v>0</v>
      </c>
      <c r="M235" s="207">
        <f>IFERROR(SUMIF(data!$E:$E,科目余额表!$B235,data!I:I),0)</f>
        <v>0</v>
      </c>
      <c r="N235" s="207">
        <f>IFERROR(SUMIF(data!$E:$E,科目余额表!$B235,data!J:J),0)</f>
        <v>0</v>
      </c>
      <c r="O235" s="207">
        <f>IFERROR(SUMIF(data!$E:$E,科目余额表!$B235,data!K:K),0)</f>
        <v>0</v>
      </c>
      <c r="P235" s="207">
        <f>IFERROR(SUMIF(data!$E:$E,科目余额表!$B235,data!L:L),0)</f>
        <v>0</v>
      </c>
      <c r="Q235" s="207">
        <f>IFERROR(SUMIF(data!$E:$E,科目余额表!$B235,data!M:M),0)</f>
        <v>0</v>
      </c>
      <c r="R235" s="207">
        <f>IFERROR(SUMIF(data!$E:$E,科目余额表!$B235,data!N:N),0)</f>
        <v>0</v>
      </c>
      <c r="S235" s="207">
        <f>IFERROR(SUMIF(data!$E:$E,科目余额表!$B235,data!O:O),0)</f>
        <v>0</v>
      </c>
      <c r="T235" s="207">
        <f>IFERROR(SUMIF(data!$E:$E,科目余额表!$B235,data!P:P),0)</f>
        <v>0</v>
      </c>
      <c r="U235" s="207">
        <f>IFERROR(SUMIF(data!$E:$E,科目余额表!$B235,data!Q:Q),0)</f>
        <v>0</v>
      </c>
      <c r="V235" s="207">
        <f>IFERROR(SUMIF(data!$E:$E,科目余额表!$B235,data!R:R),0)</f>
        <v>0</v>
      </c>
      <c r="W235" s="207">
        <f>IFERROR(SUMIF(data!$E:$E,科目余额表!$B235,data!S:S),0)</f>
        <v>0</v>
      </c>
      <c r="X235" s="207"/>
      <c r="Y235" s="207"/>
      <c r="Z235" s="207"/>
      <c r="AA235" s="207"/>
      <c r="AB235" s="207"/>
      <c r="AC235" s="207"/>
      <c r="AD235" s="207"/>
      <c r="AE235" s="207"/>
      <c r="AF235" s="207"/>
    </row>
    <row r="236" spans="1:32" s="214" customFormat="1" ht="11.65" customHeight="1">
      <c r="A236" s="215"/>
      <c r="B236" s="220">
        <v>16733</v>
      </c>
      <c r="C236" s="205" t="s">
        <v>490</v>
      </c>
      <c r="D236" s="221">
        <v>0</v>
      </c>
      <c r="E236" s="221">
        <v>0</v>
      </c>
      <c r="F236" s="222">
        <f t="shared" si="3"/>
        <v>0</v>
      </c>
      <c r="G236" s="205" t="s">
        <v>79</v>
      </c>
      <c r="H236" s="219" t="s">
        <v>250</v>
      </c>
      <c r="J236" s="207" t="s">
        <v>478</v>
      </c>
      <c r="K236" s="207"/>
      <c r="L236" s="207">
        <f>IFERROR(SUMIF(data!$E:$E,科目余额表!$B236,data!H:H),0)</f>
        <v>0</v>
      </c>
      <c r="M236" s="207">
        <f>IFERROR(SUMIF(data!$E:$E,科目余额表!$B236,data!I:I),0)</f>
        <v>0</v>
      </c>
      <c r="N236" s="207">
        <f>IFERROR(SUMIF(data!$E:$E,科目余额表!$B236,data!J:J),0)</f>
        <v>0</v>
      </c>
      <c r="O236" s="207">
        <f>IFERROR(SUMIF(data!$E:$E,科目余额表!$B236,data!K:K),0)</f>
        <v>0</v>
      </c>
      <c r="P236" s="207">
        <f>IFERROR(SUMIF(data!$E:$E,科目余额表!$B236,data!L:L),0)</f>
        <v>0</v>
      </c>
      <c r="Q236" s="207">
        <f>IFERROR(SUMIF(data!$E:$E,科目余额表!$B236,data!M:M),0)</f>
        <v>0</v>
      </c>
      <c r="R236" s="207">
        <f>IFERROR(SUMIF(data!$E:$E,科目余额表!$B236,data!N:N),0)</f>
        <v>0</v>
      </c>
      <c r="S236" s="207">
        <f>IFERROR(SUMIF(data!$E:$E,科目余额表!$B236,data!O:O),0)</f>
        <v>0</v>
      </c>
      <c r="T236" s="207">
        <f>IFERROR(SUMIF(data!$E:$E,科目余额表!$B236,data!P:P),0)</f>
        <v>0</v>
      </c>
      <c r="U236" s="207">
        <f>IFERROR(SUMIF(data!$E:$E,科目余额表!$B236,data!Q:Q),0)</f>
        <v>0</v>
      </c>
      <c r="V236" s="207">
        <f>IFERROR(SUMIF(data!$E:$E,科目余额表!$B236,data!R:R),0)</f>
        <v>0</v>
      </c>
      <c r="W236" s="207">
        <f>IFERROR(SUMIF(data!$E:$E,科目余额表!$B236,data!S:S),0)</f>
        <v>0</v>
      </c>
      <c r="X236" s="207"/>
      <c r="Y236" s="207"/>
      <c r="Z236" s="207"/>
      <c r="AA236" s="207"/>
      <c r="AB236" s="207"/>
      <c r="AC236" s="207"/>
      <c r="AD236" s="207"/>
      <c r="AE236" s="207"/>
      <c r="AF236" s="207"/>
    </row>
    <row r="237" spans="1:32" s="214" customFormat="1" ht="11.65" customHeight="1">
      <c r="A237" s="215"/>
      <c r="B237" s="220">
        <v>16734</v>
      </c>
      <c r="C237" s="205" t="s">
        <v>491</v>
      </c>
      <c r="D237" s="221">
        <v>0</v>
      </c>
      <c r="E237" s="221">
        <v>0</v>
      </c>
      <c r="F237" s="222">
        <f t="shared" si="3"/>
        <v>0</v>
      </c>
      <c r="G237" s="205" t="s">
        <v>87</v>
      </c>
      <c r="H237" s="219" t="s">
        <v>250</v>
      </c>
      <c r="J237" s="207" t="s">
        <v>478</v>
      </c>
      <c r="K237" s="207"/>
      <c r="L237" s="207">
        <f>IFERROR(SUMIF(data!$E:$E,科目余额表!$B237,data!H:H),0)</f>
        <v>0</v>
      </c>
      <c r="M237" s="207">
        <f>IFERROR(SUMIF(data!$E:$E,科目余额表!$B237,data!I:I),0)</f>
        <v>0</v>
      </c>
      <c r="N237" s="207">
        <f>IFERROR(SUMIF(data!$E:$E,科目余额表!$B237,data!J:J),0)</f>
        <v>0</v>
      </c>
      <c r="O237" s="207">
        <f>IFERROR(SUMIF(data!$E:$E,科目余额表!$B237,data!K:K),0)</f>
        <v>0</v>
      </c>
      <c r="P237" s="207">
        <f>IFERROR(SUMIF(data!$E:$E,科目余额表!$B237,data!L:L),0)</f>
        <v>0</v>
      </c>
      <c r="Q237" s="207">
        <f>IFERROR(SUMIF(data!$E:$E,科目余额表!$B237,data!M:M),0)</f>
        <v>0</v>
      </c>
      <c r="R237" s="207">
        <f>IFERROR(SUMIF(data!$E:$E,科目余额表!$B237,data!N:N),0)</f>
        <v>0</v>
      </c>
      <c r="S237" s="207">
        <f>IFERROR(SUMIF(data!$E:$E,科目余额表!$B237,data!O:O),0)</f>
        <v>0</v>
      </c>
      <c r="T237" s="207">
        <f>IFERROR(SUMIF(data!$E:$E,科目余额表!$B237,data!P:P),0)</f>
        <v>0</v>
      </c>
      <c r="U237" s="207">
        <f>IFERROR(SUMIF(data!$E:$E,科目余额表!$B237,data!Q:Q),0)</f>
        <v>0</v>
      </c>
      <c r="V237" s="207">
        <f>IFERROR(SUMIF(data!$E:$E,科目余额表!$B237,data!R:R),0)</f>
        <v>0</v>
      </c>
      <c r="W237" s="207">
        <f>IFERROR(SUMIF(data!$E:$E,科目余额表!$B237,data!S:S),0)</f>
        <v>0</v>
      </c>
      <c r="X237" s="207"/>
      <c r="Y237" s="207"/>
      <c r="Z237" s="207"/>
      <c r="AA237" s="207"/>
      <c r="AB237" s="207"/>
      <c r="AC237" s="207"/>
      <c r="AD237" s="207"/>
      <c r="AE237" s="207"/>
      <c r="AF237" s="207"/>
    </row>
    <row r="238" spans="1:32" s="214" customFormat="1" ht="11.65" customHeight="1">
      <c r="A238" s="215"/>
      <c r="B238" s="220">
        <v>16800</v>
      </c>
      <c r="C238" s="205" t="s">
        <v>492</v>
      </c>
      <c r="D238" s="221">
        <v>0</v>
      </c>
      <c r="E238" s="221">
        <v>0</v>
      </c>
      <c r="F238" s="222">
        <f t="shared" si="3"/>
        <v>0</v>
      </c>
      <c r="G238" s="205" t="s">
        <v>448</v>
      </c>
      <c r="H238" s="219" t="s">
        <v>250</v>
      </c>
      <c r="J238" s="207" t="s">
        <v>478</v>
      </c>
      <c r="K238" s="207"/>
      <c r="L238" s="207">
        <f>IFERROR(SUMIF(data!$E:$E,科目余额表!$B238,data!H:H),0)</f>
        <v>0</v>
      </c>
      <c r="M238" s="207">
        <f>IFERROR(SUMIF(data!$E:$E,科目余额表!$B238,data!I:I),0)</f>
        <v>0</v>
      </c>
      <c r="N238" s="207">
        <f>IFERROR(SUMIF(data!$E:$E,科目余额表!$B238,data!J:J),0)</f>
        <v>0</v>
      </c>
      <c r="O238" s="207">
        <f>IFERROR(SUMIF(data!$E:$E,科目余额表!$B238,data!K:K),0)</f>
        <v>0</v>
      </c>
      <c r="P238" s="207">
        <f>IFERROR(SUMIF(data!$E:$E,科目余额表!$B238,data!L:L),0)</f>
        <v>0</v>
      </c>
      <c r="Q238" s="207">
        <f>IFERROR(SUMIF(data!$E:$E,科目余额表!$B238,data!M:M),0)</f>
        <v>0</v>
      </c>
      <c r="R238" s="207">
        <f>IFERROR(SUMIF(data!$E:$E,科目余额表!$B238,data!N:N),0)</f>
        <v>0</v>
      </c>
      <c r="S238" s="207">
        <f>IFERROR(SUMIF(data!$E:$E,科目余额表!$B238,data!O:O),0)</f>
        <v>0</v>
      </c>
      <c r="T238" s="207">
        <f>IFERROR(SUMIF(data!$E:$E,科目余额表!$B238,data!P:P),0)</f>
        <v>0</v>
      </c>
      <c r="U238" s="207">
        <f>IFERROR(SUMIF(data!$E:$E,科目余额表!$B238,data!Q:Q),0)</f>
        <v>0</v>
      </c>
      <c r="V238" s="207">
        <f>IFERROR(SUMIF(data!$E:$E,科目余额表!$B238,data!R:R),0)</f>
        <v>0</v>
      </c>
      <c r="W238" s="207">
        <f>IFERROR(SUMIF(data!$E:$E,科目余额表!$B238,data!S:S),0)</f>
        <v>0</v>
      </c>
      <c r="X238" s="207"/>
      <c r="Y238" s="207"/>
      <c r="Z238" s="207"/>
      <c r="AA238" s="207"/>
      <c r="AB238" s="207"/>
      <c r="AC238" s="207"/>
      <c r="AD238" s="207"/>
      <c r="AE238" s="207"/>
      <c r="AF238" s="207"/>
    </row>
    <row r="239" spans="1:32" s="214" customFormat="1" ht="11.65" customHeight="1">
      <c r="A239" s="215"/>
      <c r="B239" s="220">
        <v>16801</v>
      </c>
      <c r="C239" s="205" t="s">
        <v>493</v>
      </c>
      <c r="D239" s="221">
        <v>0</v>
      </c>
      <c r="E239" s="221">
        <v>0</v>
      </c>
      <c r="F239" s="222">
        <f t="shared" si="3"/>
        <v>0</v>
      </c>
      <c r="G239" s="205" t="s">
        <v>448</v>
      </c>
      <c r="H239" s="219" t="s">
        <v>250</v>
      </c>
      <c r="J239" s="207" t="s">
        <v>478</v>
      </c>
      <c r="K239" s="207"/>
      <c r="L239" s="207">
        <f>IFERROR(SUMIF(data!$E:$E,科目余额表!$B239,data!H:H),0)</f>
        <v>0</v>
      </c>
      <c r="M239" s="207">
        <f>IFERROR(SUMIF(data!$E:$E,科目余额表!$B239,data!I:I),0)</f>
        <v>0</v>
      </c>
      <c r="N239" s="207">
        <f>IFERROR(SUMIF(data!$E:$E,科目余额表!$B239,data!J:J),0)</f>
        <v>0</v>
      </c>
      <c r="O239" s="207">
        <f>IFERROR(SUMIF(data!$E:$E,科目余额表!$B239,data!K:K),0)</f>
        <v>0</v>
      </c>
      <c r="P239" s="207">
        <f>IFERROR(SUMIF(data!$E:$E,科目余额表!$B239,data!L:L),0)</f>
        <v>0</v>
      </c>
      <c r="Q239" s="207">
        <f>IFERROR(SUMIF(data!$E:$E,科目余额表!$B239,data!M:M),0)</f>
        <v>0</v>
      </c>
      <c r="R239" s="207">
        <f>IFERROR(SUMIF(data!$E:$E,科目余额表!$B239,data!N:N),0)</f>
        <v>0</v>
      </c>
      <c r="S239" s="207">
        <f>IFERROR(SUMIF(data!$E:$E,科目余额表!$B239,data!O:O),0)</f>
        <v>0</v>
      </c>
      <c r="T239" s="207">
        <f>IFERROR(SUMIF(data!$E:$E,科目余额表!$B239,data!P:P),0)</f>
        <v>0</v>
      </c>
      <c r="U239" s="207">
        <f>IFERROR(SUMIF(data!$E:$E,科目余额表!$B239,data!Q:Q),0)</f>
        <v>0</v>
      </c>
      <c r="V239" s="207">
        <f>IFERROR(SUMIF(data!$E:$E,科目余额表!$B239,data!R:R),0)</f>
        <v>0</v>
      </c>
      <c r="W239" s="207">
        <f>IFERROR(SUMIF(data!$E:$E,科目余额表!$B239,data!S:S),0)</f>
        <v>0</v>
      </c>
      <c r="X239" s="207"/>
      <c r="Y239" s="207"/>
      <c r="Z239" s="207"/>
      <c r="AA239" s="207"/>
      <c r="AB239" s="207"/>
      <c r="AC239" s="207"/>
      <c r="AD239" s="207"/>
      <c r="AE239" s="207"/>
      <c r="AF239" s="207"/>
    </row>
    <row r="240" spans="1:32" s="214" customFormat="1" ht="11.65" customHeight="1">
      <c r="A240" s="215"/>
      <c r="B240" s="224">
        <v>16900</v>
      </c>
      <c r="C240" s="204" t="s">
        <v>494</v>
      </c>
      <c r="D240" s="221">
        <v>0</v>
      </c>
      <c r="E240" s="221">
        <v>0</v>
      </c>
      <c r="F240" s="222">
        <f t="shared" si="3"/>
        <v>0</v>
      </c>
      <c r="G240" s="205" t="s">
        <v>442</v>
      </c>
      <c r="H240" s="219" t="s">
        <v>250</v>
      </c>
      <c r="J240" s="207" t="s">
        <v>495</v>
      </c>
      <c r="K240" s="207"/>
      <c r="L240" s="207">
        <f>IFERROR(SUMIF(data!$E:$E,科目余额表!$B240,data!H:H),0)</f>
        <v>0</v>
      </c>
      <c r="M240" s="207">
        <f>IFERROR(SUMIF(data!$E:$E,科目余额表!$B240,data!I:I),0)</f>
        <v>0</v>
      </c>
      <c r="N240" s="207">
        <f>IFERROR(SUMIF(data!$E:$E,科目余额表!$B240,data!J:J),0)</f>
        <v>0</v>
      </c>
      <c r="O240" s="207">
        <f>IFERROR(SUMIF(data!$E:$E,科目余额表!$B240,data!K:K),0)</f>
        <v>0</v>
      </c>
      <c r="P240" s="207">
        <f>IFERROR(SUMIF(data!$E:$E,科目余额表!$B240,data!L:L),0)</f>
        <v>0</v>
      </c>
      <c r="Q240" s="207">
        <f>IFERROR(SUMIF(data!$E:$E,科目余额表!$B240,data!M:M),0)</f>
        <v>0</v>
      </c>
      <c r="R240" s="207">
        <f>IFERROR(SUMIF(data!$E:$E,科目余额表!$B240,data!N:N),0)</f>
        <v>0</v>
      </c>
      <c r="S240" s="207">
        <f>IFERROR(SUMIF(data!$E:$E,科目余额表!$B240,data!O:O),0)</f>
        <v>0</v>
      </c>
      <c r="T240" s="207">
        <f>IFERROR(SUMIF(data!$E:$E,科目余额表!$B240,data!P:P),0)</f>
        <v>0</v>
      </c>
      <c r="U240" s="207">
        <f>IFERROR(SUMIF(data!$E:$E,科目余额表!$B240,data!Q:Q),0)</f>
        <v>0</v>
      </c>
      <c r="V240" s="207">
        <f>IFERROR(SUMIF(data!$E:$E,科目余额表!$B240,data!R:R),0)</f>
        <v>0</v>
      </c>
      <c r="W240" s="207">
        <f>IFERROR(SUMIF(data!$E:$E,科目余额表!$B240,data!S:S),0)</f>
        <v>0</v>
      </c>
      <c r="X240" s="207"/>
      <c r="Y240" s="207"/>
      <c r="Z240" s="207"/>
      <c r="AA240" s="207"/>
      <c r="AB240" s="207"/>
      <c r="AC240" s="207"/>
      <c r="AD240" s="207"/>
      <c r="AE240" s="207"/>
      <c r="AF240" s="207"/>
    </row>
    <row r="241" spans="1:32" s="214" customFormat="1" ht="11.65" customHeight="1">
      <c r="A241" s="215"/>
      <c r="B241" s="224">
        <v>16901</v>
      </c>
      <c r="C241" s="204" t="s">
        <v>496</v>
      </c>
      <c r="D241" s="221">
        <v>0</v>
      </c>
      <c r="E241" s="221">
        <v>0</v>
      </c>
      <c r="F241" s="222">
        <f t="shared" si="3"/>
        <v>0</v>
      </c>
      <c r="G241" s="205" t="s">
        <v>442</v>
      </c>
      <c r="H241" s="219" t="s">
        <v>250</v>
      </c>
      <c r="J241" s="207" t="s">
        <v>495</v>
      </c>
      <c r="K241" s="207"/>
      <c r="L241" s="207">
        <f>IFERROR(SUMIF(data!$E:$E,科目余额表!$B241,data!H:H),0)</f>
        <v>0</v>
      </c>
      <c r="M241" s="207">
        <f>IFERROR(SUMIF(data!$E:$E,科目余额表!$B241,data!I:I),0)</f>
        <v>0</v>
      </c>
      <c r="N241" s="207">
        <f>IFERROR(SUMIF(data!$E:$E,科目余额表!$B241,data!J:J),0)</f>
        <v>0</v>
      </c>
      <c r="O241" s="207">
        <f>IFERROR(SUMIF(data!$E:$E,科目余额表!$B241,data!K:K),0)</f>
        <v>0</v>
      </c>
      <c r="P241" s="207">
        <f>IFERROR(SUMIF(data!$E:$E,科目余额表!$B241,data!L:L),0)</f>
        <v>0</v>
      </c>
      <c r="Q241" s="207">
        <f>IFERROR(SUMIF(data!$E:$E,科目余额表!$B241,data!M:M),0)</f>
        <v>0</v>
      </c>
      <c r="R241" s="207">
        <f>IFERROR(SUMIF(data!$E:$E,科目余额表!$B241,data!N:N),0)</f>
        <v>0</v>
      </c>
      <c r="S241" s="207">
        <f>IFERROR(SUMIF(data!$E:$E,科目余额表!$B241,data!O:O),0)</f>
        <v>0</v>
      </c>
      <c r="T241" s="207">
        <f>IFERROR(SUMIF(data!$E:$E,科目余额表!$B241,data!P:P),0)</f>
        <v>0</v>
      </c>
      <c r="U241" s="207">
        <f>IFERROR(SUMIF(data!$E:$E,科目余额表!$B241,data!Q:Q),0)</f>
        <v>0</v>
      </c>
      <c r="V241" s="207">
        <f>IFERROR(SUMIF(data!$E:$E,科目余额表!$B241,data!R:R),0)</f>
        <v>0</v>
      </c>
      <c r="W241" s="207">
        <f>IFERROR(SUMIF(data!$E:$E,科目余额表!$B241,data!S:S),0)</f>
        <v>0</v>
      </c>
      <c r="X241" s="207"/>
      <c r="Y241" s="207"/>
      <c r="Z241" s="207"/>
      <c r="AA241" s="207"/>
      <c r="AB241" s="207"/>
      <c r="AC241" s="207"/>
      <c r="AD241" s="207"/>
      <c r="AE241" s="207"/>
      <c r="AF241" s="207"/>
    </row>
    <row r="242" spans="1:32" s="214" customFormat="1" ht="11.65" customHeight="1">
      <c r="A242" s="215"/>
      <c r="B242" s="224">
        <v>16910</v>
      </c>
      <c r="C242" s="204" t="s">
        <v>497</v>
      </c>
      <c r="D242" s="221">
        <v>0</v>
      </c>
      <c r="E242" s="221">
        <v>0</v>
      </c>
      <c r="F242" s="222">
        <f t="shared" si="3"/>
        <v>0</v>
      </c>
      <c r="G242" s="205" t="s">
        <v>445</v>
      </c>
      <c r="H242" s="219" t="s">
        <v>250</v>
      </c>
      <c r="J242" s="207" t="s">
        <v>495</v>
      </c>
      <c r="K242" s="207"/>
      <c r="L242" s="207">
        <f>IFERROR(SUMIF(data!$E:$E,科目余额表!$B242,data!H:H),0)</f>
        <v>0</v>
      </c>
      <c r="M242" s="207">
        <f>IFERROR(SUMIF(data!$E:$E,科目余额表!$B242,data!I:I),0)</f>
        <v>0</v>
      </c>
      <c r="N242" s="207">
        <f>IFERROR(SUMIF(data!$E:$E,科目余额表!$B242,data!J:J),0)</f>
        <v>0</v>
      </c>
      <c r="O242" s="207">
        <f>IFERROR(SUMIF(data!$E:$E,科目余额表!$B242,data!K:K),0)</f>
        <v>0</v>
      </c>
      <c r="P242" s="207">
        <f>IFERROR(SUMIF(data!$E:$E,科目余额表!$B242,data!L:L),0)</f>
        <v>0</v>
      </c>
      <c r="Q242" s="207">
        <f>IFERROR(SUMIF(data!$E:$E,科目余额表!$B242,data!M:M),0)</f>
        <v>0</v>
      </c>
      <c r="R242" s="207">
        <f>IFERROR(SUMIF(data!$E:$E,科目余额表!$B242,data!N:N),0)</f>
        <v>0</v>
      </c>
      <c r="S242" s="207">
        <f>IFERROR(SUMIF(data!$E:$E,科目余额表!$B242,data!O:O),0)</f>
        <v>0</v>
      </c>
      <c r="T242" s="207">
        <f>IFERROR(SUMIF(data!$E:$E,科目余额表!$B242,data!P:P),0)</f>
        <v>0</v>
      </c>
      <c r="U242" s="207">
        <f>IFERROR(SUMIF(data!$E:$E,科目余额表!$B242,data!Q:Q),0)</f>
        <v>0</v>
      </c>
      <c r="V242" s="207">
        <f>IFERROR(SUMIF(data!$E:$E,科目余额表!$B242,data!R:R),0)</f>
        <v>0</v>
      </c>
      <c r="W242" s="207">
        <f>IFERROR(SUMIF(data!$E:$E,科目余额表!$B242,data!S:S),0)</f>
        <v>0</v>
      </c>
      <c r="X242" s="207"/>
      <c r="Y242" s="207"/>
      <c r="Z242" s="207"/>
      <c r="AA242" s="207"/>
      <c r="AB242" s="207"/>
      <c r="AC242" s="207"/>
      <c r="AD242" s="207"/>
      <c r="AE242" s="207"/>
      <c r="AF242" s="207"/>
    </row>
    <row r="243" spans="1:32" s="214" customFormat="1" ht="11.65" customHeight="1">
      <c r="A243" s="215"/>
      <c r="B243" s="224">
        <v>16911</v>
      </c>
      <c r="C243" s="204" t="s">
        <v>498</v>
      </c>
      <c r="D243" s="221">
        <v>0</v>
      </c>
      <c r="E243" s="221">
        <v>0</v>
      </c>
      <c r="F243" s="222">
        <f t="shared" si="3"/>
        <v>0</v>
      </c>
      <c r="G243" s="205" t="s">
        <v>445</v>
      </c>
      <c r="H243" s="219" t="s">
        <v>250</v>
      </c>
      <c r="J243" s="207" t="s">
        <v>495</v>
      </c>
      <c r="K243" s="207"/>
      <c r="L243" s="207">
        <f>IFERROR(SUMIF(data!$E:$E,科目余额表!$B243,data!H:H),0)</f>
        <v>0</v>
      </c>
      <c r="M243" s="207">
        <f>IFERROR(SUMIF(data!$E:$E,科目余额表!$B243,data!I:I),0)</f>
        <v>0</v>
      </c>
      <c r="N243" s="207">
        <f>IFERROR(SUMIF(data!$E:$E,科目余额表!$B243,data!J:J),0)</f>
        <v>0</v>
      </c>
      <c r="O243" s="207">
        <f>IFERROR(SUMIF(data!$E:$E,科目余额表!$B243,data!K:K),0)</f>
        <v>0</v>
      </c>
      <c r="P243" s="207">
        <f>IFERROR(SUMIF(data!$E:$E,科目余额表!$B243,data!L:L),0)</f>
        <v>0</v>
      </c>
      <c r="Q243" s="207">
        <f>IFERROR(SUMIF(data!$E:$E,科目余额表!$B243,data!M:M),0)</f>
        <v>0</v>
      </c>
      <c r="R243" s="207">
        <f>IFERROR(SUMIF(data!$E:$E,科目余额表!$B243,data!N:N),0)</f>
        <v>0</v>
      </c>
      <c r="S243" s="207">
        <f>IFERROR(SUMIF(data!$E:$E,科目余额表!$B243,data!O:O),0)</f>
        <v>0</v>
      </c>
      <c r="T243" s="207">
        <f>IFERROR(SUMIF(data!$E:$E,科目余额表!$B243,data!P:P),0)</f>
        <v>0</v>
      </c>
      <c r="U243" s="207">
        <f>IFERROR(SUMIF(data!$E:$E,科目余额表!$B243,data!Q:Q),0)</f>
        <v>0</v>
      </c>
      <c r="V243" s="207">
        <f>IFERROR(SUMIF(data!$E:$E,科目余额表!$B243,data!R:R),0)</f>
        <v>0</v>
      </c>
      <c r="W243" s="207">
        <f>IFERROR(SUMIF(data!$E:$E,科目余额表!$B243,data!S:S),0)</f>
        <v>0</v>
      </c>
      <c r="X243" s="207"/>
      <c r="Y243" s="207"/>
      <c r="Z243" s="207"/>
      <c r="AA243" s="207"/>
      <c r="AB243" s="207"/>
      <c r="AC243" s="207"/>
      <c r="AD243" s="207"/>
      <c r="AE243" s="207"/>
      <c r="AF243" s="207"/>
    </row>
    <row r="244" spans="1:32" s="214" customFormat="1" ht="11.65" customHeight="1">
      <c r="A244" s="215"/>
      <c r="B244" s="220">
        <v>17002</v>
      </c>
      <c r="C244" s="205" t="s">
        <v>499</v>
      </c>
      <c r="D244" s="221">
        <v>0</v>
      </c>
      <c r="E244" s="221">
        <v>0</v>
      </c>
      <c r="F244" s="222">
        <f t="shared" si="3"/>
        <v>0</v>
      </c>
      <c r="G244" s="205" t="s">
        <v>87</v>
      </c>
      <c r="H244" s="219" t="s">
        <v>250</v>
      </c>
      <c r="J244" s="207" t="s">
        <v>87</v>
      </c>
      <c r="K244" s="207"/>
      <c r="L244" s="207">
        <f>IFERROR(SUMIF(data!$E:$E,科目余额表!$B244,data!H:H),0)</f>
        <v>0</v>
      </c>
      <c r="M244" s="207">
        <f>IFERROR(SUMIF(data!$E:$E,科目余额表!$B244,data!I:I),0)</f>
        <v>0</v>
      </c>
      <c r="N244" s="207">
        <f>IFERROR(SUMIF(data!$E:$E,科目余额表!$B244,data!J:J),0)</f>
        <v>0</v>
      </c>
      <c r="O244" s="207">
        <f>IFERROR(SUMIF(data!$E:$E,科目余额表!$B244,data!K:K),0)</f>
        <v>0</v>
      </c>
      <c r="P244" s="207">
        <f>IFERROR(SUMIF(data!$E:$E,科目余额表!$B244,data!L:L),0)</f>
        <v>0</v>
      </c>
      <c r="Q244" s="207">
        <f>IFERROR(SUMIF(data!$E:$E,科目余额表!$B244,data!M:M),0)</f>
        <v>0</v>
      </c>
      <c r="R244" s="207">
        <f>IFERROR(SUMIF(data!$E:$E,科目余额表!$B244,data!N:N),0)</f>
        <v>0</v>
      </c>
      <c r="S244" s="207">
        <f>IFERROR(SUMIF(data!$E:$E,科目余额表!$B244,data!O:O),0)</f>
        <v>0</v>
      </c>
      <c r="T244" s="207">
        <f>IFERROR(SUMIF(data!$E:$E,科目余额表!$B244,data!P:P),0)</f>
        <v>0</v>
      </c>
      <c r="U244" s="207">
        <f>IFERROR(SUMIF(data!$E:$E,科目余额表!$B244,data!Q:Q),0)</f>
        <v>0</v>
      </c>
      <c r="V244" s="207">
        <f>IFERROR(SUMIF(data!$E:$E,科目余额表!$B244,data!R:R),0)</f>
        <v>0</v>
      </c>
      <c r="W244" s="207">
        <f>IFERROR(SUMIF(data!$E:$E,科目余额表!$B244,data!S:S),0)</f>
        <v>0</v>
      </c>
      <c r="X244" s="207"/>
      <c r="Y244" s="207"/>
      <c r="Z244" s="207"/>
      <c r="AA244" s="207"/>
      <c r="AB244" s="207"/>
      <c r="AC244" s="207"/>
      <c r="AD244" s="207"/>
      <c r="AE244" s="207"/>
      <c r="AF244" s="207"/>
    </row>
    <row r="245" spans="1:32" s="214" customFormat="1" ht="11.65" customHeight="1">
      <c r="A245" s="215"/>
      <c r="B245" s="220">
        <v>17003</v>
      </c>
      <c r="C245" s="205" t="s">
        <v>500</v>
      </c>
      <c r="D245" s="221">
        <v>22926078.260000002</v>
      </c>
      <c r="E245" s="221">
        <v>0</v>
      </c>
      <c r="F245" s="222">
        <f t="shared" si="3"/>
        <v>22926078.260000002</v>
      </c>
      <c r="G245" s="205" t="s">
        <v>87</v>
      </c>
      <c r="H245" s="219" t="s">
        <v>250</v>
      </c>
      <c r="J245" s="207" t="s">
        <v>87</v>
      </c>
      <c r="K245" s="207"/>
      <c r="L245" s="207">
        <f>IFERROR(SUMIF(data!$E:$E,科目余额表!$B245,data!H:H),0)</f>
        <v>22926078.260000002</v>
      </c>
      <c r="M245" s="207">
        <f>IFERROR(SUMIF(data!$E:$E,科目余额表!$B245,data!I:I),0)</f>
        <v>22926078.260000002</v>
      </c>
      <c r="N245" s="207">
        <f>IFERROR(SUMIF(data!$E:$E,科目余额表!$B245,data!J:J),0)</f>
        <v>22926078.260000002</v>
      </c>
      <c r="O245" s="207">
        <f>IFERROR(SUMIF(data!$E:$E,科目余额表!$B245,data!K:K),0)</f>
        <v>22926078.260000002</v>
      </c>
      <c r="P245" s="207">
        <f>IFERROR(SUMIF(data!$E:$E,科目余额表!$B245,data!L:L),0)</f>
        <v>22926078.260000002</v>
      </c>
      <c r="Q245" s="207">
        <f>IFERROR(SUMIF(data!$E:$E,科目余额表!$B245,data!M:M),0)</f>
        <v>22926078.260000002</v>
      </c>
      <c r="R245" s="207">
        <f>IFERROR(SUMIF(data!$E:$E,科目余额表!$B245,data!N:N),0)</f>
        <v>22926078.260000002</v>
      </c>
      <c r="S245" s="207">
        <f>IFERROR(SUMIF(data!$E:$E,科目余额表!$B245,data!O:O),0)</f>
        <v>22926078.260000002</v>
      </c>
      <c r="T245" s="207">
        <f>IFERROR(SUMIF(data!$E:$E,科目余额表!$B245,data!P:P),0)</f>
        <v>22926078.260000002</v>
      </c>
      <c r="U245" s="207">
        <f>IFERROR(SUMIF(data!$E:$E,科目余额表!$B245,data!Q:Q),0)</f>
        <v>22926078.260000002</v>
      </c>
      <c r="V245" s="207">
        <f>IFERROR(SUMIF(data!$E:$E,科目余额表!$B245,data!R:R),0)</f>
        <v>22926078.260000002</v>
      </c>
      <c r="W245" s="207">
        <f>IFERROR(SUMIF(data!$E:$E,科目余额表!$B245,data!S:S),0)</f>
        <v>22926078.260000002</v>
      </c>
      <c r="X245" s="207"/>
      <c r="Y245" s="207"/>
      <c r="Z245" s="207"/>
      <c r="AA245" s="207"/>
      <c r="AB245" s="207"/>
      <c r="AC245" s="207"/>
      <c r="AD245" s="207"/>
      <c r="AE245" s="207"/>
      <c r="AF245" s="207"/>
    </row>
    <row r="246" spans="1:32" s="214" customFormat="1" ht="11.65" customHeight="1">
      <c r="A246" s="215"/>
      <c r="B246" s="220">
        <v>17004</v>
      </c>
      <c r="C246" s="205" t="s">
        <v>501</v>
      </c>
      <c r="D246" s="221">
        <v>0</v>
      </c>
      <c r="E246" s="221">
        <v>0</v>
      </c>
      <c r="F246" s="222">
        <f t="shared" si="3"/>
        <v>0</v>
      </c>
      <c r="G246" s="205" t="s">
        <v>87</v>
      </c>
      <c r="H246" s="219" t="s">
        <v>250</v>
      </c>
      <c r="J246" s="207" t="s">
        <v>87</v>
      </c>
      <c r="K246" s="207"/>
      <c r="L246" s="207">
        <f>IFERROR(SUMIF(data!$E:$E,科目余额表!$B246,data!H:H),0)</f>
        <v>0</v>
      </c>
      <c r="M246" s="207">
        <f>IFERROR(SUMIF(data!$E:$E,科目余额表!$B246,data!I:I),0)</f>
        <v>0</v>
      </c>
      <c r="N246" s="207">
        <f>IFERROR(SUMIF(data!$E:$E,科目余额表!$B246,data!J:J),0)</f>
        <v>0</v>
      </c>
      <c r="O246" s="207">
        <f>IFERROR(SUMIF(data!$E:$E,科目余额表!$B246,data!K:K),0)</f>
        <v>0</v>
      </c>
      <c r="P246" s="207">
        <f>IFERROR(SUMIF(data!$E:$E,科目余额表!$B246,data!L:L),0)</f>
        <v>0</v>
      </c>
      <c r="Q246" s="207">
        <f>IFERROR(SUMIF(data!$E:$E,科目余额表!$B246,data!M:M),0)</f>
        <v>0</v>
      </c>
      <c r="R246" s="207">
        <f>IFERROR(SUMIF(data!$E:$E,科目余额表!$B246,data!N:N),0)</f>
        <v>0</v>
      </c>
      <c r="S246" s="207">
        <f>IFERROR(SUMIF(data!$E:$E,科目余额表!$B246,data!O:O),0)</f>
        <v>0</v>
      </c>
      <c r="T246" s="207">
        <f>IFERROR(SUMIF(data!$E:$E,科目余额表!$B246,data!P:P),0)</f>
        <v>0</v>
      </c>
      <c r="U246" s="207">
        <f>IFERROR(SUMIF(data!$E:$E,科目余额表!$B246,data!Q:Q),0)</f>
        <v>0</v>
      </c>
      <c r="V246" s="207">
        <f>IFERROR(SUMIF(data!$E:$E,科目余额表!$B246,data!R:R),0)</f>
        <v>0</v>
      </c>
      <c r="W246" s="207">
        <f>IFERROR(SUMIF(data!$E:$E,科目余额表!$B246,data!S:S),0)</f>
        <v>0</v>
      </c>
      <c r="X246" s="207"/>
      <c r="Y246" s="207"/>
      <c r="Z246" s="207"/>
      <c r="AA246" s="207"/>
      <c r="AB246" s="207"/>
      <c r="AC246" s="207"/>
      <c r="AD246" s="207"/>
      <c r="AE246" s="207"/>
      <c r="AF246" s="207"/>
    </row>
    <row r="247" spans="1:32" s="214" customFormat="1" ht="11.65" customHeight="1">
      <c r="A247" s="215"/>
      <c r="B247" s="220">
        <v>17005</v>
      </c>
      <c r="C247" s="205" t="s">
        <v>502</v>
      </c>
      <c r="D247" s="221">
        <v>0</v>
      </c>
      <c r="E247" s="221">
        <v>0</v>
      </c>
      <c r="F247" s="222">
        <f t="shared" si="3"/>
        <v>0</v>
      </c>
      <c r="G247" s="205" t="s">
        <v>87</v>
      </c>
      <c r="H247" s="219" t="s">
        <v>250</v>
      </c>
      <c r="J247" s="207" t="s">
        <v>87</v>
      </c>
      <c r="K247" s="207"/>
      <c r="L247" s="207">
        <f>IFERROR(SUMIF(data!$E:$E,科目余额表!$B247,data!H:H),0)</f>
        <v>0</v>
      </c>
      <c r="M247" s="207">
        <f>IFERROR(SUMIF(data!$E:$E,科目余额表!$B247,data!I:I),0)</f>
        <v>0</v>
      </c>
      <c r="N247" s="207">
        <f>IFERROR(SUMIF(data!$E:$E,科目余额表!$B247,data!J:J),0)</f>
        <v>0</v>
      </c>
      <c r="O247" s="207">
        <f>IFERROR(SUMIF(data!$E:$E,科目余额表!$B247,data!K:K),0)</f>
        <v>0</v>
      </c>
      <c r="P247" s="207">
        <f>IFERROR(SUMIF(data!$E:$E,科目余额表!$B247,data!L:L),0)</f>
        <v>0</v>
      </c>
      <c r="Q247" s="207">
        <f>IFERROR(SUMIF(data!$E:$E,科目余额表!$B247,data!M:M),0)</f>
        <v>0</v>
      </c>
      <c r="R247" s="207">
        <f>IFERROR(SUMIF(data!$E:$E,科目余额表!$B247,data!N:N),0)</f>
        <v>0</v>
      </c>
      <c r="S247" s="207">
        <f>IFERROR(SUMIF(data!$E:$E,科目余额表!$B247,data!O:O),0)</f>
        <v>0</v>
      </c>
      <c r="T247" s="207">
        <f>IFERROR(SUMIF(data!$E:$E,科目余额表!$B247,data!P:P),0)</f>
        <v>0</v>
      </c>
      <c r="U247" s="207">
        <f>IFERROR(SUMIF(data!$E:$E,科目余额表!$B247,data!Q:Q),0)</f>
        <v>0</v>
      </c>
      <c r="V247" s="207">
        <f>IFERROR(SUMIF(data!$E:$E,科目余额表!$B247,data!R:R),0)</f>
        <v>0</v>
      </c>
      <c r="W247" s="207">
        <f>IFERROR(SUMIF(data!$E:$E,科目余额表!$B247,data!S:S),0)</f>
        <v>0</v>
      </c>
      <c r="X247" s="207"/>
      <c r="Y247" s="207"/>
      <c r="Z247" s="207"/>
      <c r="AA247" s="207"/>
      <c r="AB247" s="207"/>
      <c r="AC247" s="207"/>
      <c r="AD247" s="207"/>
      <c r="AE247" s="207"/>
      <c r="AF247" s="207"/>
    </row>
    <row r="248" spans="1:32" s="214" customFormat="1" ht="11.65" customHeight="1">
      <c r="A248" s="215"/>
      <c r="B248" s="220">
        <v>17102</v>
      </c>
      <c r="C248" s="205" t="s">
        <v>503</v>
      </c>
      <c r="D248" s="221">
        <v>0</v>
      </c>
      <c r="E248" s="221">
        <v>0</v>
      </c>
      <c r="F248" s="222">
        <f t="shared" si="3"/>
        <v>0</v>
      </c>
      <c r="G248" s="205" t="s">
        <v>210</v>
      </c>
      <c r="H248" s="219" t="s">
        <v>250</v>
      </c>
      <c r="J248" s="207" t="s">
        <v>87</v>
      </c>
      <c r="K248" s="207"/>
      <c r="L248" s="207">
        <f>IFERROR(SUMIF(data!$E:$E,科目余额表!$B248,data!H:H),0)</f>
        <v>0</v>
      </c>
      <c r="M248" s="207">
        <f>IFERROR(SUMIF(data!$E:$E,科目余额表!$B248,data!I:I),0)</f>
        <v>0</v>
      </c>
      <c r="N248" s="207">
        <f>IFERROR(SUMIF(data!$E:$E,科目余额表!$B248,data!J:J),0)</f>
        <v>0</v>
      </c>
      <c r="O248" s="207">
        <f>IFERROR(SUMIF(data!$E:$E,科目余额表!$B248,data!K:K),0)</f>
        <v>0</v>
      </c>
      <c r="P248" s="207">
        <f>IFERROR(SUMIF(data!$E:$E,科目余额表!$B248,data!L:L),0)</f>
        <v>0</v>
      </c>
      <c r="Q248" s="207">
        <f>IFERROR(SUMIF(data!$E:$E,科目余额表!$B248,data!M:M),0)</f>
        <v>0</v>
      </c>
      <c r="R248" s="207">
        <f>IFERROR(SUMIF(data!$E:$E,科目余额表!$B248,data!N:N),0)</f>
        <v>0</v>
      </c>
      <c r="S248" s="207">
        <f>IFERROR(SUMIF(data!$E:$E,科目余额表!$B248,data!O:O),0)</f>
        <v>0</v>
      </c>
      <c r="T248" s="207">
        <f>IFERROR(SUMIF(data!$E:$E,科目余额表!$B248,data!P:P),0)</f>
        <v>0</v>
      </c>
      <c r="U248" s="207">
        <f>IFERROR(SUMIF(data!$E:$E,科目余额表!$B248,data!Q:Q),0)</f>
        <v>0</v>
      </c>
      <c r="V248" s="207">
        <f>IFERROR(SUMIF(data!$E:$E,科目余额表!$B248,data!R:R),0)</f>
        <v>0</v>
      </c>
      <c r="W248" s="207">
        <f>IFERROR(SUMIF(data!$E:$E,科目余额表!$B248,data!S:S),0)</f>
        <v>0</v>
      </c>
      <c r="X248" s="207"/>
      <c r="Y248" s="207"/>
      <c r="Z248" s="207"/>
      <c r="AA248" s="207"/>
      <c r="AB248" s="207"/>
      <c r="AC248" s="207"/>
      <c r="AD248" s="207"/>
      <c r="AE248" s="207"/>
      <c r="AF248" s="207"/>
    </row>
    <row r="249" spans="1:32" s="214" customFormat="1" ht="11.65" customHeight="1">
      <c r="A249" s="215"/>
      <c r="B249" s="220">
        <v>17103</v>
      </c>
      <c r="C249" s="205" t="s">
        <v>504</v>
      </c>
      <c r="D249" s="221">
        <v>-16812457.240000002</v>
      </c>
      <c r="E249" s="221">
        <v>-382101.29999999702</v>
      </c>
      <c r="F249" s="222">
        <f t="shared" si="3"/>
        <v>-17194558.539999999</v>
      </c>
      <c r="G249" s="205" t="s">
        <v>210</v>
      </c>
      <c r="H249" s="219" t="s">
        <v>250</v>
      </c>
      <c r="J249" s="207" t="s">
        <v>87</v>
      </c>
      <c r="K249" s="207"/>
      <c r="L249" s="207">
        <f>IFERROR(SUMIF(data!$E:$E,科目余额表!$B249,data!H:H),0)</f>
        <v>-12991444.240000002</v>
      </c>
      <c r="M249" s="207">
        <f>IFERROR(SUMIF(data!$E:$E,科目余额表!$B249,data!I:I),0)</f>
        <v>-13373545.540000001</v>
      </c>
      <c r="N249" s="207">
        <f>IFERROR(SUMIF(data!$E:$E,科目余额表!$B249,data!J:J),0)</f>
        <v>-13755646.840000002</v>
      </c>
      <c r="O249" s="207">
        <f>IFERROR(SUMIF(data!$E:$E,科目余额表!$B249,data!K:K),0)</f>
        <v>-14137748.140000002</v>
      </c>
      <c r="P249" s="207">
        <f>IFERROR(SUMIF(data!$E:$E,科目余额表!$B249,data!L:L),0)</f>
        <v>-14519849.440000001</v>
      </c>
      <c r="Q249" s="207">
        <f>IFERROR(SUMIF(data!$E:$E,科目余额表!$B249,data!M:M),0)</f>
        <v>-14901950.740000002</v>
      </c>
      <c r="R249" s="207">
        <f>IFERROR(SUMIF(data!$E:$E,科目余额表!$B249,data!N:N),0)</f>
        <v>-15284052.040000003</v>
      </c>
      <c r="S249" s="207">
        <f>IFERROR(SUMIF(data!$E:$E,科目余额表!$B249,data!O:O),0)</f>
        <v>-15666153.340000002</v>
      </c>
      <c r="T249" s="207">
        <f>IFERROR(SUMIF(data!$E:$E,科目余额表!$B249,data!P:P),0)</f>
        <v>-16048254.640000001</v>
      </c>
      <c r="U249" s="207">
        <f>IFERROR(SUMIF(data!$E:$E,科目余额表!$B249,data!Q:Q),0)</f>
        <v>-16430355.940000001</v>
      </c>
      <c r="V249" s="207">
        <f>IFERROR(SUMIF(data!$E:$E,科目余额表!$B249,data!R:R),0)</f>
        <v>-16812457.240000002</v>
      </c>
      <c r="W249" s="207">
        <f>IFERROR(SUMIF(data!$E:$E,科目余额表!$B249,data!S:S),0)</f>
        <v>-17194558.539999999</v>
      </c>
      <c r="X249" s="207"/>
      <c r="Y249" s="207"/>
      <c r="Z249" s="207"/>
      <c r="AA249" s="207"/>
      <c r="AB249" s="207"/>
      <c r="AC249" s="207"/>
      <c r="AD249" s="207"/>
      <c r="AE249" s="207"/>
      <c r="AF249" s="207"/>
    </row>
    <row r="250" spans="1:32" s="214" customFormat="1" ht="11.65" customHeight="1">
      <c r="A250" s="215"/>
      <c r="B250" s="220">
        <v>17104</v>
      </c>
      <c r="C250" s="205" t="s">
        <v>505</v>
      </c>
      <c r="D250" s="221">
        <v>0</v>
      </c>
      <c r="E250" s="221">
        <v>0</v>
      </c>
      <c r="F250" s="222">
        <f t="shared" si="3"/>
        <v>0</v>
      </c>
      <c r="G250" s="205" t="s">
        <v>210</v>
      </c>
      <c r="H250" s="219" t="s">
        <v>250</v>
      </c>
      <c r="J250" s="207" t="s">
        <v>87</v>
      </c>
      <c r="K250" s="207"/>
      <c r="L250" s="207">
        <f>IFERROR(SUMIF(data!$E:$E,科目余额表!$B250,data!H:H),0)</f>
        <v>0</v>
      </c>
      <c r="M250" s="207">
        <f>IFERROR(SUMIF(data!$E:$E,科目余额表!$B250,data!I:I),0)</f>
        <v>0</v>
      </c>
      <c r="N250" s="207">
        <f>IFERROR(SUMIF(data!$E:$E,科目余额表!$B250,data!J:J),0)</f>
        <v>0</v>
      </c>
      <c r="O250" s="207">
        <f>IFERROR(SUMIF(data!$E:$E,科目余额表!$B250,data!K:K),0)</f>
        <v>0</v>
      </c>
      <c r="P250" s="207">
        <f>IFERROR(SUMIF(data!$E:$E,科目余额表!$B250,data!L:L),0)</f>
        <v>0</v>
      </c>
      <c r="Q250" s="207">
        <f>IFERROR(SUMIF(data!$E:$E,科目余额表!$B250,data!M:M),0)</f>
        <v>0</v>
      </c>
      <c r="R250" s="207">
        <f>IFERROR(SUMIF(data!$E:$E,科目余额表!$B250,data!N:N),0)</f>
        <v>0</v>
      </c>
      <c r="S250" s="207">
        <f>IFERROR(SUMIF(data!$E:$E,科目余额表!$B250,data!O:O),0)</f>
        <v>0</v>
      </c>
      <c r="T250" s="207">
        <f>IFERROR(SUMIF(data!$E:$E,科目余额表!$B250,data!P:P),0)</f>
        <v>0</v>
      </c>
      <c r="U250" s="207">
        <f>IFERROR(SUMIF(data!$E:$E,科目余额表!$B250,data!Q:Q),0)</f>
        <v>0</v>
      </c>
      <c r="V250" s="207">
        <f>IFERROR(SUMIF(data!$E:$E,科目余额表!$B250,data!R:R),0)</f>
        <v>0</v>
      </c>
      <c r="W250" s="207">
        <f>IFERROR(SUMIF(data!$E:$E,科目余额表!$B250,data!S:S),0)</f>
        <v>0</v>
      </c>
      <c r="X250" s="207"/>
      <c r="Y250" s="207"/>
      <c r="Z250" s="207"/>
      <c r="AA250" s="207"/>
      <c r="AB250" s="207"/>
      <c r="AC250" s="207"/>
      <c r="AD250" s="207"/>
      <c r="AE250" s="207"/>
      <c r="AF250" s="207"/>
    </row>
    <row r="251" spans="1:32" s="214" customFormat="1" ht="11.65" customHeight="1">
      <c r="A251" s="215"/>
      <c r="B251" s="220">
        <v>17105</v>
      </c>
      <c r="C251" s="205" t="s">
        <v>506</v>
      </c>
      <c r="D251" s="221">
        <v>0</v>
      </c>
      <c r="E251" s="221">
        <v>0</v>
      </c>
      <c r="F251" s="222">
        <f t="shared" si="3"/>
        <v>0</v>
      </c>
      <c r="G251" s="205" t="s">
        <v>210</v>
      </c>
      <c r="H251" s="219" t="s">
        <v>250</v>
      </c>
      <c r="J251" s="207" t="s">
        <v>87</v>
      </c>
      <c r="K251" s="207"/>
      <c r="L251" s="207">
        <f>IFERROR(SUMIF(data!$E:$E,科目余额表!$B251,data!H:H),0)</f>
        <v>0</v>
      </c>
      <c r="M251" s="207">
        <f>IFERROR(SUMIF(data!$E:$E,科目余额表!$B251,data!I:I),0)</f>
        <v>0</v>
      </c>
      <c r="N251" s="207">
        <f>IFERROR(SUMIF(data!$E:$E,科目余额表!$B251,data!J:J),0)</f>
        <v>0</v>
      </c>
      <c r="O251" s="207">
        <f>IFERROR(SUMIF(data!$E:$E,科目余额表!$B251,data!K:K),0)</f>
        <v>0</v>
      </c>
      <c r="P251" s="207">
        <f>IFERROR(SUMIF(data!$E:$E,科目余额表!$B251,data!L:L),0)</f>
        <v>0</v>
      </c>
      <c r="Q251" s="207">
        <f>IFERROR(SUMIF(data!$E:$E,科目余额表!$B251,data!M:M),0)</f>
        <v>0</v>
      </c>
      <c r="R251" s="207">
        <f>IFERROR(SUMIF(data!$E:$E,科目余额表!$B251,data!N:N),0)</f>
        <v>0</v>
      </c>
      <c r="S251" s="207">
        <f>IFERROR(SUMIF(data!$E:$E,科目余额表!$B251,data!O:O),0)</f>
        <v>0</v>
      </c>
      <c r="T251" s="207">
        <f>IFERROR(SUMIF(data!$E:$E,科目余额表!$B251,data!P:P),0)</f>
        <v>0</v>
      </c>
      <c r="U251" s="207">
        <f>IFERROR(SUMIF(data!$E:$E,科目余额表!$B251,data!Q:Q),0)</f>
        <v>0</v>
      </c>
      <c r="V251" s="207">
        <f>IFERROR(SUMIF(data!$E:$E,科目余额表!$B251,data!R:R),0)</f>
        <v>0</v>
      </c>
      <c r="W251" s="207">
        <f>IFERROR(SUMIF(data!$E:$E,科目余额表!$B251,data!S:S),0)</f>
        <v>0</v>
      </c>
      <c r="X251" s="207"/>
      <c r="Y251" s="207"/>
      <c r="Z251" s="207"/>
      <c r="AA251" s="207"/>
      <c r="AB251" s="207"/>
      <c r="AC251" s="207"/>
      <c r="AD251" s="207"/>
      <c r="AE251" s="207"/>
      <c r="AF251" s="207"/>
    </row>
    <row r="252" spans="1:32" s="214" customFormat="1" ht="11.65" customHeight="1">
      <c r="A252" s="215"/>
      <c r="B252" s="220">
        <v>17200</v>
      </c>
      <c r="C252" s="205" t="s">
        <v>507</v>
      </c>
      <c r="D252" s="221">
        <v>0</v>
      </c>
      <c r="E252" s="221">
        <v>0</v>
      </c>
      <c r="F252" s="222">
        <f t="shared" si="3"/>
        <v>0</v>
      </c>
      <c r="G252" s="205" t="s">
        <v>91</v>
      </c>
      <c r="H252" s="219" t="s">
        <v>250</v>
      </c>
      <c r="J252" s="207" t="s">
        <v>87</v>
      </c>
      <c r="K252" s="207"/>
      <c r="L252" s="207">
        <f>IFERROR(SUMIF(data!$E:$E,科目余额表!$B252,data!H:H),0)</f>
        <v>0</v>
      </c>
      <c r="M252" s="207">
        <f>IFERROR(SUMIF(data!$E:$E,科目余额表!$B252,data!I:I),0)</f>
        <v>0</v>
      </c>
      <c r="N252" s="207">
        <f>IFERROR(SUMIF(data!$E:$E,科目余额表!$B252,data!J:J),0)</f>
        <v>0</v>
      </c>
      <c r="O252" s="207">
        <f>IFERROR(SUMIF(data!$E:$E,科目余额表!$B252,data!K:K),0)</f>
        <v>0</v>
      </c>
      <c r="P252" s="207">
        <f>IFERROR(SUMIF(data!$E:$E,科目余额表!$B252,data!L:L),0)</f>
        <v>0</v>
      </c>
      <c r="Q252" s="207">
        <f>IFERROR(SUMIF(data!$E:$E,科目余额表!$B252,data!M:M),0)</f>
        <v>0</v>
      </c>
      <c r="R252" s="207">
        <f>IFERROR(SUMIF(data!$E:$E,科目余额表!$B252,data!N:N),0)</f>
        <v>0</v>
      </c>
      <c r="S252" s="207">
        <f>IFERROR(SUMIF(data!$E:$E,科目余额表!$B252,data!O:O),0)</f>
        <v>0</v>
      </c>
      <c r="T252" s="207">
        <f>IFERROR(SUMIF(data!$E:$E,科目余额表!$B252,data!P:P),0)</f>
        <v>0</v>
      </c>
      <c r="U252" s="207">
        <f>IFERROR(SUMIF(data!$E:$E,科目余额表!$B252,data!Q:Q),0)</f>
        <v>0</v>
      </c>
      <c r="V252" s="207">
        <f>IFERROR(SUMIF(data!$E:$E,科目余额表!$B252,data!R:R),0)</f>
        <v>0</v>
      </c>
      <c r="W252" s="207">
        <f>IFERROR(SUMIF(data!$E:$E,科目余额表!$B252,data!S:S),0)</f>
        <v>0</v>
      </c>
      <c r="X252" s="207"/>
      <c r="Y252" s="207"/>
      <c r="Z252" s="207"/>
      <c r="AA252" s="207"/>
      <c r="AB252" s="207"/>
      <c r="AC252" s="207"/>
      <c r="AD252" s="207"/>
      <c r="AE252" s="207"/>
      <c r="AF252" s="207"/>
    </row>
    <row r="253" spans="1:32" s="214" customFormat="1" ht="11.65" customHeight="1">
      <c r="A253" s="215"/>
      <c r="B253" s="220">
        <v>17210</v>
      </c>
      <c r="C253" s="205" t="s">
        <v>508</v>
      </c>
      <c r="D253" s="221">
        <v>0</v>
      </c>
      <c r="E253" s="221">
        <v>0</v>
      </c>
      <c r="F253" s="222">
        <f t="shared" si="3"/>
        <v>0</v>
      </c>
      <c r="G253" s="205" t="s">
        <v>91</v>
      </c>
      <c r="H253" s="219" t="s">
        <v>250</v>
      </c>
      <c r="J253" s="207" t="s">
        <v>87</v>
      </c>
      <c r="K253" s="207"/>
      <c r="L253" s="207">
        <f>IFERROR(SUMIF(data!$E:$E,科目余额表!$B253,data!H:H),0)</f>
        <v>0</v>
      </c>
      <c r="M253" s="207">
        <f>IFERROR(SUMIF(data!$E:$E,科目余额表!$B253,data!I:I),0)</f>
        <v>0</v>
      </c>
      <c r="N253" s="207">
        <f>IFERROR(SUMIF(data!$E:$E,科目余额表!$B253,data!J:J),0)</f>
        <v>0</v>
      </c>
      <c r="O253" s="207">
        <f>IFERROR(SUMIF(data!$E:$E,科目余额表!$B253,data!K:K),0)</f>
        <v>0</v>
      </c>
      <c r="P253" s="207">
        <f>IFERROR(SUMIF(data!$E:$E,科目余额表!$B253,data!L:L),0)</f>
        <v>0</v>
      </c>
      <c r="Q253" s="207">
        <f>IFERROR(SUMIF(data!$E:$E,科目余额表!$B253,data!M:M),0)</f>
        <v>0</v>
      </c>
      <c r="R253" s="207">
        <f>IFERROR(SUMIF(data!$E:$E,科目余额表!$B253,data!N:N),0)</f>
        <v>0</v>
      </c>
      <c r="S253" s="207">
        <f>IFERROR(SUMIF(data!$E:$E,科目余额表!$B253,data!O:O),0)</f>
        <v>0</v>
      </c>
      <c r="T253" s="207">
        <f>IFERROR(SUMIF(data!$E:$E,科目余额表!$B253,data!P:P),0)</f>
        <v>0</v>
      </c>
      <c r="U253" s="207">
        <f>IFERROR(SUMIF(data!$E:$E,科目余额表!$B253,data!Q:Q),0)</f>
        <v>0</v>
      </c>
      <c r="V253" s="207">
        <f>IFERROR(SUMIF(data!$E:$E,科目余额表!$B253,data!R:R),0)</f>
        <v>0</v>
      </c>
      <c r="W253" s="207">
        <f>IFERROR(SUMIF(data!$E:$E,科目余额表!$B253,data!S:S),0)</f>
        <v>0</v>
      </c>
      <c r="X253" s="207"/>
      <c r="Y253" s="207"/>
      <c r="Z253" s="207"/>
      <c r="AA253" s="207"/>
      <c r="AB253" s="207"/>
      <c r="AC253" s="207"/>
      <c r="AD253" s="207"/>
      <c r="AE253" s="207"/>
      <c r="AF253" s="207"/>
    </row>
    <row r="254" spans="1:32" s="214" customFormat="1" ht="11.65" customHeight="1">
      <c r="A254" s="215"/>
      <c r="B254" s="220">
        <v>18000</v>
      </c>
      <c r="C254" s="205" t="s">
        <v>509</v>
      </c>
      <c r="D254" s="221">
        <v>0</v>
      </c>
      <c r="E254" s="221">
        <v>0</v>
      </c>
      <c r="F254" s="222">
        <f t="shared" si="3"/>
        <v>0</v>
      </c>
      <c r="G254" s="205" t="s">
        <v>79</v>
      </c>
      <c r="H254" s="219" t="s">
        <v>250</v>
      </c>
      <c r="J254" s="207" t="s">
        <v>79</v>
      </c>
      <c r="K254" s="207"/>
      <c r="L254" s="207">
        <f>IFERROR(SUMIF(data!$E:$E,科目余额表!$B254,data!H:H),0)</f>
        <v>0</v>
      </c>
      <c r="M254" s="207">
        <f>IFERROR(SUMIF(data!$E:$E,科目余额表!$B254,data!I:I),0)</f>
        <v>0</v>
      </c>
      <c r="N254" s="207">
        <f>IFERROR(SUMIF(data!$E:$E,科目余额表!$B254,data!J:J),0)</f>
        <v>0</v>
      </c>
      <c r="O254" s="207">
        <f>IFERROR(SUMIF(data!$E:$E,科目余额表!$B254,data!K:K),0)</f>
        <v>0</v>
      </c>
      <c r="P254" s="207">
        <f>IFERROR(SUMIF(data!$E:$E,科目余额表!$B254,data!L:L),0)</f>
        <v>0</v>
      </c>
      <c r="Q254" s="207">
        <f>IFERROR(SUMIF(data!$E:$E,科目余额表!$B254,data!M:M),0)</f>
        <v>0</v>
      </c>
      <c r="R254" s="207">
        <f>IFERROR(SUMIF(data!$E:$E,科目余额表!$B254,data!N:N),0)</f>
        <v>0</v>
      </c>
      <c r="S254" s="207">
        <f>IFERROR(SUMIF(data!$E:$E,科目余额表!$B254,data!O:O),0)</f>
        <v>0</v>
      </c>
      <c r="T254" s="207">
        <f>IFERROR(SUMIF(data!$E:$E,科目余额表!$B254,data!P:P),0)</f>
        <v>0</v>
      </c>
      <c r="U254" s="207">
        <f>IFERROR(SUMIF(data!$E:$E,科目余额表!$B254,data!Q:Q),0)</f>
        <v>0</v>
      </c>
      <c r="V254" s="207">
        <f>IFERROR(SUMIF(data!$E:$E,科目余额表!$B254,data!R:R),0)</f>
        <v>0</v>
      </c>
      <c r="W254" s="207">
        <f>IFERROR(SUMIF(data!$E:$E,科目余额表!$B254,data!S:S),0)</f>
        <v>0</v>
      </c>
      <c r="X254" s="207"/>
      <c r="Y254" s="207"/>
      <c r="Z254" s="207"/>
      <c r="AA254" s="207"/>
      <c r="AB254" s="207"/>
      <c r="AC254" s="207"/>
      <c r="AD254" s="207"/>
      <c r="AE254" s="207"/>
      <c r="AF254" s="207"/>
    </row>
    <row r="255" spans="1:32" s="214" customFormat="1" ht="11.65" customHeight="1">
      <c r="A255" s="215"/>
      <c r="B255" s="220">
        <v>18001</v>
      </c>
      <c r="C255" s="205" t="s">
        <v>510</v>
      </c>
      <c r="D255" s="221">
        <v>39703455.480000004</v>
      </c>
      <c r="E255" s="221">
        <v>-4517477.4200000018</v>
      </c>
      <c r="F255" s="222">
        <f t="shared" si="3"/>
        <v>35185978.060000002</v>
      </c>
      <c r="G255" s="205" t="s">
        <v>79</v>
      </c>
      <c r="H255" s="219" t="s">
        <v>250</v>
      </c>
      <c r="J255" s="207" t="s">
        <v>79</v>
      </c>
      <c r="K255" s="207"/>
      <c r="L255" s="207">
        <f>IFERROR(SUMIF(data!$E:$E,科目余额表!$B255,data!H:H),0)</f>
        <v>34966520.220000006</v>
      </c>
      <c r="M255" s="207">
        <f>IFERROR(SUMIF(data!$E:$E,科目余额表!$B255,data!I:I),0)</f>
        <v>35075177.650000006</v>
      </c>
      <c r="N255" s="207">
        <f>IFERROR(SUMIF(data!$E:$E,科目余额表!$B255,data!J:J),0)</f>
        <v>35202753.860000007</v>
      </c>
      <c r="O255" s="207">
        <f>IFERROR(SUMIF(data!$E:$E,科目余额表!$B255,data!K:K),0)</f>
        <v>35316966.100000009</v>
      </c>
      <c r="P255" s="207">
        <f>IFERROR(SUMIF(data!$E:$E,科目余额表!$B255,data!L:L),0)</f>
        <v>34936138.880000003</v>
      </c>
      <c r="Q255" s="207">
        <f>IFERROR(SUMIF(data!$E:$E,科目余额表!$B255,data!M:M),0)</f>
        <v>34815043.810000002</v>
      </c>
      <c r="R255" s="207">
        <f>IFERROR(SUMIF(data!$E:$E,科目余额表!$B255,data!N:N),0)</f>
        <v>34912311.540000007</v>
      </c>
      <c r="S255" s="207">
        <f>IFERROR(SUMIF(data!$E:$E,科目余额表!$B255,data!O:O),0)</f>
        <v>35460022.799999997</v>
      </c>
      <c r="T255" s="207">
        <f>IFERROR(SUMIF(data!$E:$E,科目余额表!$B255,data!P:P),0)</f>
        <v>35691292.879999995</v>
      </c>
      <c r="U255" s="207">
        <f>IFERROR(SUMIF(data!$E:$E,科目余额表!$B255,data!Q:Q),0)</f>
        <v>35866496.979999997</v>
      </c>
      <c r="V255" s="207">
        <f>IFERROR(SUMIF(data!$E:$E,科目余额表!$B255,data!R:R),0)</f>
        <v>39703455.480000004</v>
      </c>
      <c r="W255" s="207">
        <f>IFERROR(SUMIF(data!$E:$E,科目余额表!$B255,data!S:S),0)</f>
        <v>35185978.060000002</v>
      </c>
      <c r="X255" s="207"/>
      <c r="Y255" s="207"/>
      <c r="Z255" s="207"/>
      <c r="AA255" s="207"/>
      <c r="AB255" s="207"/>
      <c r="AC255" s="207"/>
      <c r="AD255" s="207"/>
      <c r="AE255" s="207"/>
      <c r="AF255" s="207"/>
    </row>
    <row r="256" spans="1:32" s="214" customFormat="1" ht="11.65" customHeight="1">
      <c r="A256" s="215"/>
      <c r="B256" s="220">
        <v>18002</v>
      </c>
      <c r="C256" s="205" t="s">
        <v>511</v>
      </c>
      <c r="D256" s="221">
        <v>0</v>
      </c>
      <c r="E256" s="221">
        <v>0</v>
      </c>
      <c r="F256" s="222">
        <f t="shared" si="3"/>
        <v>0</v>
      </c>
      <c r="G256" s="205" t="s">
        <v>79</v>
      </c>
      <c r="H256" s="219" t="s">
        <v>250</v>
      </c>
      <c r="J256" s="207" t="s">
        <v>79</v>
      </c>
      <c r="K256" s="207"/>
      <c r="L256" s="207">
        <f>IFERROR(SUMIF(data!$E:$E,科目余额表!$B256,data!H:H),0)</f>
        <v>0</v>
      </c>
      <c r="M256" s="207">
        <f>IFERROR(SUMIF(data!$E:$E,科目余额表!$B256,data!I:I),0)</f>
        <v>0</v>
      </c>
      <c r="N256" s="207">
        <f>IFERROR(SUMIF(data!$E:$E,科目余额表!$B256,data!J:J),0)</f>
        <v>0</v>
      </c>
      <c r="O256" s="207">
        <f>IFERROR(SUMIF(data!$E:$E,科目余额表!$B256,data!K:K),0)</f>
        <v>0</v>
      </c>
      <c r="P256" s="207">
        <f>IFERROR(SUMIF(data!$E:$E,科目余额表!$B256,data!L:L),0)</f>
        <v>0</v>
      </c>
      <c r="Q256" s="207">
        <f>IFERROR(SUMIF(data!$E:$E,科目余额表!$B256,data!M:M),0)</f>
        <v>0</v>
      </c>
      <c r="R256" s="207">
        <f>IFERROR(SUMIF(data!$E:$E,科目余额表!$B256,data!N:N),0)</f>
        <v>0</v>
      </c>
      <c r="S256" s="207">
        <f>IFERROR(SUMIF(data!$E:$E,科目余额表!$B256,data!O:O),0)</f>
        <v>0</v>
      </c>
      <c r="T256" s="207">
        <f>IFERROR(SUMIF(data!$E:$E,科目余额表!$B256,data!P:P),0)</f>
        <v>0</v>
      </c>
      <c r="U256" s="207">
        <f>IFERROR(SUMIF(data!$E:$E,科目余额表!$B256,data!Q:Q),0)</f>
        <v>0</v>
      </c>
      <c r="V256" s="207">
        <f>IFERROR(SUMIF(data!$E:$E,科目余额表!$B256,data!R:R),0)</f>
        <v>0</v>
      </c>
      <c r="W256" s="207">
        <f>IFERROR(SUMIF(data!$E:$E,科目余额表!$B256,data!S:S),0)</f>
        <v>0</v>
      </c>
      <c r="X256" s="207"/>
      <c r="Y256" s="207"/>
      <c r="Z256" s="207"/>
      <c r="AA256" s="207"/>
      <c r="AB256" s="207"/>
      <c r="AC256" s="207"/>
      <c r="AD256" s="207"/>
      <c r="AE256" s="207"/>
      <c r="AF256" s="207"/>
    </row>
    <row r="257" spans="1:32" s="214" customFormat="1" ht="11.65" customHeight="1">
      <c r="A257" s="215"/>
      <c r="B257" s="220">
        <v>18100</v>
      </c>
      <c r="C257" s="205" t="s">
        <v>512</v>
      </c>
      <c r="D257" s="221">
        <v>0</v>
      </c>
      <c r="E257" s="221">
        <v>0</v>
      </c>
      <c r="F257" s="222">
        <f t="shared" si="3"/>
        <v>0</v>
      </c>
      <c r="G257" s="205" t="s">
        <v>209</v>
      </c>
      <c r="H257" s="219" t="s">
        <v>250</v>
      </c>
      <c r="J257" s="207" t="s">
        <v>79</v>
      </c>
      <c r="K257" s="207"/>
      <c r="L257" s="207">
        <f>IFERROR(SUMIF(data!$E:$E,科目余额表!$B257,data!H:H),0)</f>
        <v>0</v>
      </c>
      <c r="M257" s="207">
        <f>IFERROR(SUMIF(data!$E:$E,科目余额表!$B257,data!I:I),0)</f>
        <v>0</v>
      </c>
      <c r="N257" s="207">
        <f>IFERROR(SUMIF(data!$E:$E,科目余额表!$B257,data!J:J),0)</f>
        <v>0</v>
      </c>
      <c r="O257" s="207">
        <f>IFERROR(SUMIF(data!$E:$E,科目余额表!$B257,data!K:K),0)</f>
        <v>0</v>
      </c>
      <c r="P257" s="207">
        <f>IFERROR(SUMIF(data!$E:$E,科目余额表!$B257,data!L:L),0)</f>
        <v>0</v>
      </c>
      <c r="Q257" s="207">
        <f>IFERROR(SUMIF(data!$E:$E,科目余额表!$B257,data!M:M),0)</f>
        <v>0</v>
      </c>
      <c r="R257" s="207">
        <f>IFERROR(SUMIF(data!$E:$E,科目余额表!$B257,data!N:N),0)</f>
        <v>0</v>
      </c>
      <c r="S257" s="207">
        <f>IFERROR(SUMIF(data!$E:$E,科目余额表!$B257,data!O:O),0)</f>
        <v>0</v>
      </c>
      <c r="T257" s="207">
        <f>IFERROR(SUMIF(data!$E:$E,科目余额表!$B257,data!P:P),0)</f>
        <v>0</v>
      </c>
      <c r="U257" s="207">
        <f>IFERROR(SUMIF(data!$E:$E,科目余额表!$B257,data!Q:Q),0)</f>
        <v>0</v>
      </c>
      <c r="V257" s="207">
        <f>IFERROR(SUMIF(data!$E:$E,科目余额表!$B257,data!R:R),0)</f>
        <v>0</v>
      </c>
      <c r="W257" s="207">
        <f>IFERROR(SUMIF(data!$E:$E,科目余额表!$B257,data!S:S),0)</f>
        <v>0</v>
      </c>
      <c r="X257" s="207"/>
      <c r="Y257" s="207"/>
      <c r="Z257" s="207"/>
      <c r="AA257" s="207"/>
      <c r="AB257" s="207"/>
      <c r="AC257" s="207"/>
      <c r="AD257" s="207"/>
      <c r="AE257" s="207"/>
      <c r="AF257" s="207"/>
    </row>
    <row r="258" spans="1:32" s="214" customFormat="1" ht="11.65" customHeight="1">
      <c r="A258" s="215"/>
      <c r="B258" s="220">
        <v>18101</v>
      </c>
      <c r="C258" s="205" t="s">
        <v>513</v>
      </c>
      <c r="D258" s="221">
        <v>-9485232.0800000001</v>
      </c>
      <c r="E258" s="221">
        <v>-299350.81000000052</v>
      </c>
      <c r="F258" s="222">
        <f t="shared" si="3"/>
        <v>-9784582.8900000006</v>
      </c>
      <c r="G258" s="205" t="s">
        <v>209</v>
      </c>
      <c r="H258" s="219" t="s">
        <v>250</v>
      </c>
      <c r="J258" s="207" t="s">
        <v>79</v>
      </c>
      <c r="K258" s="207"/>
      <c r="L258" s="207">
        <f>IFERROR(SUMIF(data!$E:$E,科目余额表!$B258,data!H:H),0)</f>
        <v>-5375410.8300000001</v>
      </c>
      <c r="M258" s="207">
        <f>IFERROR(SUMIF(data!$E:$E,科目余额表!$B258,data!I:I),0)</f>
        <v>-5707754.6299999999</v>
      </c>
      <c r="N258" s="207">
        <f>IFERROR(SUMIF(data!$E:$E,科目余额表!$B258,data!J:J),0)</f>
        <v>-6122703.2599999998</v>
      </c>
      <c r="O258" s="207">
        <f>IFERROR(SUMIF(data!$E:$E,科目余额表!$B258,data!K:K),0)</f>
        <v>-6543019.3600000003</v>
      </c>
      <c r="P258" s="207">
        <f>IFERROR(SUMIF(data!$E:$E,科目余额表!$B258,data!L:L),0)</f>
        <v>-6963335.46</v>
      </c>
      <c r="Q258" s="207">
        <f>IFERROR(SUMIF(data!$E:$E,科目余额表!$B258,data!M:M),0)</f>
        <v>-7383651.5599999996</v>
      </c>
      <c r="R258" s="207">
        <f>IFERROR(SUMIF(data!$E:$E,科目余额表!$B258,data!N:N),0)</f>
        <v>-7803967.6600000001</v>
      </c>
      <c r="S258" s="207">
        <f>IFERROR(SUMIF(data!$E:$E,科目余额表!$B258,data!O:O),0)</f>
        <v>-8224283.7599999998</v>
      </c>
      <c r="T258" s="207">
        <f>IFERROR(SUMIF(data!$E:$E,科目余额表!$B258,data!P:P),0)</f>
        <v>-8644599.8699999992</v>
      </c>
      <c r="U258" s="207">
        <f>IFERROR(SUMIF(data!$E:$E,科目余额表!$B258,data!Q:Q),0)</f>
        <v>-9064915.9700000007</v>
      </c>
      <c r="V258" s="207">
        <f>IFERROR(SUMIF(data!$E:$E,科目余额表!$B258,data!R:R),0)</f>
        <v>-9485232.0800000001</v>
      </c>
      <c r="W258" s="207">
        <f>IFERROR(SUMIF(data!$E:$E,科目余额表!$B258,data!S:S),0)</f>
        <v>-9784582.8900000006</v>
      </c>
      <c r="X258" s="207"/>
      <c r="Y258" s="207"/>
      <c r="Z258" s="207"/>
      <c r="AA258" s="207"/>
      <c r="AB258" s="207"/>
      <c r="AC258" s="207"/>
      <c r="AD258" s="207"/>
      <c r="AE258" s="207"/>
      <c r="AF258" s="207"/>
    </row>
    <row r="259" spans="1:32" s="214" customFormat="1" ht="11.65" customHeight="1">
      <c r="A259" s="215"/>
      <c r="B259" s="220">
        <v>18102</v>
      </c>
      <c r="C259" s="205" t="s">
        <v>514</v>
      </c>
      <c r="D259" s="221">
        <v>0</v>
      </c>
      <c r="E259" s="221">
        <v>0</v>
      </c>
      <c r="F259" s="222">
        <f t="shared" si="3"/>
        <v>0</v>
      </c>
      <c r="G259" s="205" t="s">
        <v>209</v>
      </c>
      <c r="H259" s="219" t="s">
        <v>250</v>
      </c>
      <c r="J259" s="207" t="s">
        <v>79</v>
      </c>
      <c r="K259" s="207"/>
      <c r="L259" s="207">
        <f>IFERROR(SUMIF(data!$E:$E,科目余额表!$B259,data!H:H),0)</f>
        <v>0</v>
      </c>
      <c r="M259" s="207">
        <f>IFERROR(SUMIF(data!$E:$E,科目余额表!$B259,data!I:I),0)</f>
        <v>0</v>
      </c>
      <c r="N259" s="207">
        <f>IFERROR(SUMIF(data!$E:$E,科目余额表!$B259,data!J:J),0)</f>
        <v>0</v>
      </c>
      <c r="O259" s="207">
        <f>IFERROR(SUMIF(data!$E:$E,科目余额表!$B259,data!K:K),0)</f>
        <v>0</v>
      </c>
      <c r="P259" s="207">
        <f>IFERROR(SUMIF(data!$E:$E,科目余额表!$B259,data!L:L),0)</f>
        <v>0</v>
      </c>
      <c r="Q259" s="207">
        <f>IFERROR(SUMIF(data!$E:$E,科目余额表!$B259,data!M:M),0)</f>
        <v>0</v>
      </c>
      <c r="R259" s="207">
        <f>IFERROR(SUMIF(data!$E:$E,科目余额表!$B259,data!N:N),0)</f>
        <v>0</v>
      </c>
      <c r="S259" s="207">
        <f>IFERROR(SUMIF(data!$E:$E,科目余额表!$B259,data!O:O),0)</f>
        <v>0</v>
      </c>
      <c r="T259" s="207">
        <f>IFERROR(SUMIF(data!$E:$E,科目余额表!$B259,data!P:P),0)</f>
        <v>0</v>
      </c>
      <c r="U259" s="207">
        <f>IFERROR(SUMIF(data!$E:$E,科目余额表!$B259,data!Q:Q),0)</f>
        <v>0</v>
      </c>
      <c r="V259" s="207">
        <f>IFERROR(SUMIF(data!$E:$E,科目余额表!$B259,data!R:R),0)</f>
        <v>0</v>
      </c>
      <c r="W259" s="207">
        <f>IFERROR(SUMIF(data!$E:$E,科目余额表!$B259,data!S:S),0)</f>
        <v>0</v>
      </c>
      <c r="X259" s="207"/>
      <c r="Y259" s="207"/>
      <c r="Z259" s="207"/>
      <c r="AA259" s="207"/>
      <c r="AB259" s="207"/>
      <c r="AC259" s="207"/>
      <c r="AD259" s="207"/>
      <c r="AE259" s="207"/>
      <c r="AF259" s="207"/>
    </row>
    <row r="260" spans="1:32" s="214" customFormat="1" ht="11.65" customHeight="1">
      <c r="A260" s="215"/>
      <c r="B260" s="220">
        <v>18200</v>
      </c>
      <c r="C260" s="205" t="s">
        <v>515</v>
      </c>
      <c r="D260" s="221">
        <v>0</v>
      </c>
      <c r="E260" s="221">
        <v>0</v>
      </c>
      <c r="F260" s="222">
        <f t="shared" si="3"/>
        <v>0</v>
      </c>
      <c r="G260" s="205" t="s">
        <v>515</v>
      </c>
      <c r="H260" s="219" t="s">
        <v>250</v>
      </c>
      <c r="J260" s="207" t="s">
        <v>79</v>
      </c>
      <c r="K260" s="207"/>
      <c r="L260" s="207">
        <f>IFERROR(SUMIF(data!$E:$E,科目余额表!$B260,data!H:H),0)</f>
        <v>0</v>
      </c>
      <c r="M260" s="207">
        <f>IFERROR(SUMIF(data!$E:$E,科目余额表!$B260,data!I:I),0)</f>
        <v>0</v>
      </c>
      <c r="N260" s="207">
        <f>IFERROR(SUMIF(data!$E:$E,科目余额表!$B260,data!J:J),0)</f>
        <v>0</v>
      </c>
      <c r="O260" s="207">
        <f>IFERROR(SUMIF(data!$E:$E,科目余额表!$B260,data!K:K),0)</f>
        <v>0</v>
      </c>
      <c r="P260" s="207">
        <f>IFERROR(SUMIF(data!$E:$E,科目余额表!$B260,data!L:L),0)</f>
        <v>0</v>
      </c>
      <c r="Q260" s="207">
        <f>IFERROR(SUMIF(data!$E:$E,科目余额表!$B260,data!M:M),0)</f>
        <v>0</v>
      </c>
      <c r="R260" s="207">
        <f>IFERROR(SUMIF(data!$E:$E,科目余额表!$B260,data!N:N),0)</f>
        <v>0</v>
      </c>
      <c r="S260" s="207">
        <f>IFERROR(SUMIF(data!$E:$E,科目余额表!$B260,data!O:O),0)</f>
        <v>0</v>
      </c>
      <c r="T260" s="207">
        <f>IFERROR(SUMIF(data!$E:$E,科目余额表!$B260,data!P:P),0)</f>
        <v>0</v>
      </c>
      <c r="U260" s="207">
        <f>IFERROR(SUMIF(data!$E:$E,科目余额表!$B260,data!Q:Q),0)</f>
        <v>0</v>
      </c>
      <c r="V260" s="207">
        <f>IFERROR(SUMIF(data!$E:$E,科目余额表!$B260,data!R:R),0)</f>
        <v>0</v>
      </c>
      <c r="W260" s="207">
        <f>IFERROR(SUMIF(data!$E:$E,科目余额表!$B260,data!S:S),0)</f>
        <v>0</v>
      </c>
      <c r="X260" s="207"/>
      <c r="Y260" s="207"/>
      <c r="Z260" s="207"/>
      <c r="AA260" s="207"/>
      <c r="AB260" s="207"/>
      <c r="AC260" s="207"/>
      <c r="AD260" s="207"/>
      <c r="AE260" s="207"/>
      <c r="AF260" s="207"/>
    </row>
    <row r="261" spans="1:32" s="214" customFormat="1" ht="11.65" customHeight="1">
      <c r="A261" s="215"/>
      <c r="B261" s="220">
        <v>18300</v>
      </c>
      <c r="C261" s="205" t="s">
        <v>516</v>
      </c>
      <c r="D261" s="221">
        <v>0</v>
      </c>
      <c r="E261" s="221">
        <v>0</v>
      </c>
      <c r="F261" s="222">
        <f t="shared" si="3"/>
        <v>0</v>
      </c>
      <c r="G261" s="205" t="s">
        <v>91</v>
      </c>
      <c r="H261" s="219" t="s">
        <v>250</v>
      </c>
      <c r="J261" s="207" t="s">
        <v>83</v>
      </c>
      <c r="K261" s="207"/>
      <c r="L261" s="207">
        <f>IFERROR(SUMIF(data!$E:$E,科目余额表!$B261,data!H:H),0)</f>
        <v>0</v>
      </c>
      <c r="M261" s="207">
        <f>IFERROR(SUMIF(data!$E:$E,科目余额表!$B261,data!I:I),0)</f>
        <v>0</v>
      </c>
      <c r="N261" s="207">
        <f>IFERROR(SUMIF(data!$E:$E,科目余额表!$B261,data!J:J),0)</f>
        <v>0</v>
      </c>
      <c r="O261" s="207">
        <f>IFERROR(SUMIF(data!$E:$E,科目余额表!$B261,data!K:K),0)</f>
        <v>0</v>
      </c>
      <c r="P261" s="207">
        <f>IFERROR(SUMIF(data!$E:$E,科目余额表!$B261,data!L:L),0)</f>
        <v>0</v>
      </c>
      <c r="Q261" s="207">
        <f>IFERROR(SUMIF(data!$E:$E,科目余额表!$B261,data!M:M),0)</f>
        <v>0</v>
      </c>
      <c r="R261" s="207">
        <f>IFERROR(SUMIF(data!$E:$E,科目余额表!$B261,data!N:N),0)</f>
        <v>0</v>
      </c>
      <c r="S261" s="207">
        <f>IFERROR(SUMIF(data!$E:$E,科目余额表!$B261,data!O:O),0)</f>
        <v>0</v>
      </c>
      <c r="T261" s="207">
        <f>IFERROR(SUMIF(data!$E:$E,科目余额表!$B261,data!P:P),0)</f>
        <v>0</v>
      </c>
      <c r="U261" s="207">
        <f>IFERROR(SUMIF(data!$E:$E,科目余额表!$B261,data!Q:Q),0)</f>
        <v>0</v>
      </c>
      <c r="V261" s="207">
        <f>IFERROR(SUMIF(data!$E:$E,科目余额表!$B261,data!R:R),0)</f>
        <v>0</v>
      </c>
      <c r="W261" s="207">
        <f>IFERROR(SUMIF(data!$E:$E,科目余额表!$B261,data!S:S),0)</f>
        <v>0</v>
      </c>
      <c r="X261" s="207"/>
      <c r="Y261" s="207"/>
      <c r="Z261" s="207"/>
      <c r="AA261" s="207"/>
      <c r="AB261" s="207"/>
      <c r="AC261" s="207"/>
      <c r="AD261" s="207"/>
      <c r="AE261" s="207"/>
      <c r="AF261" s="207"/>
    </row>
    <row r="262" spans="1:32" s="214" customFormat="1" ht="11.65" customHeight="1">
      <c r="A262" s="215"/>
      <c r="B262" s="220">
        <v>19000</v>
      </c>
      <c r="C262" s="205" t="s">
        <v>517</v>
      </c>
      <c r="D262" s="221">
        <v>0</v>
      </c>
      <c r="E262" s="221">
        <v>0</v>
      </c>
      <c r="F262" s="222">
        <f t="shared" si="3"/>
        <v>0</v>
      </c>
      <c r="G262" s="205" t="s">
        <v>91</v>
      </c>
      <c r="H262" s="219" t="s">
        <v>250</v>
      </c>
      <c r="J262" s="207" t="s">
        <v>57</v>
      </c>
      <c r="K262" s="207"/>
      <c r="L262" s="207">
        <f>IFERROR(SUMIF(data!$E:$E,科目余额表!$B262,data!H:H),0)</f>
        <v>0</v>
      </c>
      <c r="M262" s="207">
        <f>IFERROR(SUMIF(data!$E:$E,科目余额表!$B262,data!I:I),0)</f>
        <v>0</v>
      </c>
      <c r="N262" s="207">
        <f>IFERROR(SUMIF(data!$E:$E,科目余额表!$B262,data!J:J),0)</f>
        <v>0</v>
      </c>
      <c r="O262" s="207">
        <f>IFERROR(SUMIF(data!$E:$E,科目余额表!$B262,data!K:K),0)</f>
        <v>0</v>
      </c>
      <c r="P262" s="207">
        <f>IFERROR(SUMIF(data!$E:$E,科目余额表!$B262,data!L:L),0)</f>
        <v>0</v>
      </c>
      <c r="Q262" s="207">
        <f>IFERROR(SUMIF(data!$E:$E,科目余额表!$B262,data!M:M),0)</f>
        <v>0</v>
      </c>
      <c r="R262" s="207">
        <f>IFERROR(SUMIF(data!$E:$E,科目余额表!$B262,data!N:N),0)</f>
        <v>0</v>
      </c>
      <c r="S262" s="207">
        <f>IFERROR(SUMIF(data!$E:$E,科目余额表!$B262,data!O:O),0)</f>
        <v>0</v>
      </c>
      <c r="T262" s="207">
        <f>IFERROR(SUMIF(data!$E:$E,科目余额表!$B262,data!P:P),0)</f>
        <v>0</v>
      </c>
      <c r="U262" s="207">
        <f>IFERROR(SUMIF(data!$E:$E,科目余额表!$B262,data!Q:Q),0)</f>
        <v>0</v>
      </c>
      <c r="V262" s="207">
        <f>IFERROR(SUMIF(data!$E:$E,科目余额表!$B262,data!R:R),0)</f>
        <v>0</v>
      </c>
      <c r="W262" s="207">
        <f>IFERROR(SUMIF(data!$E:$E,科目余额表!$B262,data!S:S),0)</f>
        <v>0</v>
      </c>
      <c r="X262" s="207"/>
      <c r="Y262" s="207"/>
      <c r="Z262" s="207"/>
      <c r="AA262" s="207"/>
      <c r="AB262" s="207"/>
      <c r="AC262" s="207"/>
      <c r="AD262" s="207"/>
      <c r="AE262" s="207"/>
      <c r="AF262" s="207"/>
    </row>
    <row r="263" spans="1:32" s="214" customFormat="1" ht="11.65" customHeight="1">
      <c r="A263" s="215"/>
      <c r="B263" s="220">
        <v>19001</v>
      </c>
      <c r="C263" s="205" t="s">
        <v>85</v>
      </c>
      <c r="D263" s="221">
        <v>0</v>
      </c>
      <c r="E263" s="221">
        <v>0</v>
      </c>
      <c r="F263" s="222">
        <f t="shared" ref="F263:F326" si="4">D263+E263</f>
        <v>0</v>
      </c>
      <c r="G263" s="205" t="s">
        <v>91</v>
      </c>
      <c r="H263" s="219" t="s">
        <v>250</v>
      </c>
      <c r="J263" s="207" t="s">
        <v>57</v>
      </c>
      <c r="K263" s="207"/>
      <c r="L263" s="207">
        <f>IFERROR(SUMIF(data!$E:$E,科目余额表!$B263,data!H:H),0)</f>
        <v>0</v>
      </c>
      <c r="M263" s="207">
        <f>IFERROR(SUMIF(data!$E:$E,科目余额表!$B263,data!I:I),0)</f>
        <v>0</v>
      </c>
      <c r="N263" s="207">
        <f>IFERROR(SUMIF(data!$E:$E,科目余额表!$B263,data!J:J),0)</f>
        <v>0</v>
      </c>
      <c r="O263" s="207">
        <f>IFERROR(SUMIF(data!$E:$E,科目余额表!$B263,data!K:K),0)</f>
        <v>0</v>
      </c>
      <c r="P263" s="207">
        <f>IFERROR(SUMIF(data!$E:$E,科目余额表!$B263,data!L:L),0)</f>
        <v>0</v>
      </c>
      <c r="Q263" s="207">
        <f>IFERROR(SUMIF(data!$E:$E,科目余额表!$B263,data!M:M),0)</f>
        <v>0</v>
      </c>
      <c r="R263" s="207">
        <f>IFERROR(SUMIF(data!$E:$E,科目余额表!$B263,data!N:N),0)</f>
        <v>0</v>
      </c>
      <c r="S263" s="207">
        <f>IFERROR(SUMIF(data!$E:$E,科目余额表!$B263,data!O:O),0)</f>
        <v>0</v>
      </c>
      <c r="T263" s="207">
        <f>IFERROR(SUMIF(data!$E:$E,科目余额表!$B263,data!P:P),0)</f>
        <v>0</v>
      </c>
      <c r="U263" s="207">
        <f>IFERROR(SUMIF(data!$E:$E,科目余额表!$B263,data!Q:Q),0)</f>
        <v>0</v>
      </c>
      <c r="V263" s="207">
        <f>IFERROR(SUMIF(data!$E:$E,科目余额表!$B263,data!R:R),0)</f>
        <v>0</v>
      </c>
      <c r="W263" s="207">
        <f>IFERROR(SUMIF(data!$E:$E,科目余额表!$B263,data!S:S),0)</f>
        <v>0</v>
      </c>
      <c r="X263" s="207"/>
      <c r="Y263" s="207"/>
      <c r="Z263" s="207"/>
      <c r="AA263" s="207"/>
      <c r="AB263" s="207"/>
      <c r="AC263" s="207"/>
      <c r="AD263" s="207"/>
      <c r="AE263" s="207"/>
      <c r="AF263" s="207"/>
    </row>
    <row r="264" spans="1:32" s="214" customFormat="1" ht="11.65" customHeight="1">
      <c r="A264" s="215"/>
      <c r="B264" s="220">
        <v>19100</v>
      </c>
      <c r="C264" s="205" t="s">
        <v>89</v>
      </c>
      <c r="D264" s="221">
        <v>26749188.739999998</v>
      </c>
      <c r="E264" s="221">
        <v>-4404.820000000298</v>
      </c>
      <c r="F264" s="222">
        <f t="shared" si="4"/>
        <v>26744783.919999998</v>
      </c>
      <c r="G264" s="205" t="s">
        <v>89</v>
      </c>
      <c r="H264" s="219" t="s">
        <v>250</v>
      </c>
      <c r="J264" s="207" t="s">
        <v>89</v>
      </c>
      <c r="K264" s="207"/>
      <c r="L264" s="207">
        <f>IFERROR(SUMIF(data!$E:$E,科目余额表!$B264,data!H:H),0)</f>
        <v>21474383.599999998</v>
      </c>
      <c r="M264" s="207">
        <f>IFERROR(SUMIF(data!$E:$E,科目余额表!$B264,data!I:I),0)</f>
        <v>22061281.84</v>
      </c>
      <c r="N264" s="207">
        <f>IFERROR(SUMIF(data!$E:$E,科目余额表!$B264,data!J:J),0)</f>
        <v>22495177.899999999</v>
      </c>
      <c r="O264" s="207">
        <f>IFERROR(SUMIF(data!$E:$E,科目余额表!$B264,data!K:K),0)</f>
        <v>23191693.120000001</v>
      </c>
      <c r="P264" s="207">
        <f>IFERROR(SUMIF(data!$E:$E,科目余额表!$B264,data!L:L),0)</f>
        <v>23643589.350000001</v>
      </c>
      <c r="Q264" s="207">
        <f>IFERROR(SUMIF(data!$E:$E,科目余额表!$B264,data!M:M),0)</f>
        <v>24112496.789999999</v>
      </c>
      <c r="R264" s="207">
        <f>IFERROR(SUMIF(data!$E:$E,科目余额表!$B264,data!N:N),0)</f>
        <v>24693921.5</v>
      </c>
      <c r="S264" s="207">
        <f>IFERROR(SUMIF(data!$E:$E,科目余额表!$B264,data!O:O),0)</f>
        <v>25246444.009999998</v>
      </c>
      <c r="T264" s="207">
        <f>IFERROR(SUMIF(data!$E:$E,科目余额表!$B264,data!P:P),0)</f>
        <v>25698152.609999999</v>
      </c>
      <c r="U264" s="207">
        <f>IFERROR(SUMIF(data!$E:$E,科目余额表!$B264,data!Q:Q),0)</f>
        <v>26232452.850000001</v>
      </c>
      <c r="V264" s="207">
        <f>IFERROR(SUMIF(data!$E:$E,科目余额表!$B264,data!R:R),0)</f>
        <v>26749188.739999998</v>
      </c>
      <c r="W264" s="207">
        <f>IFERROR(SUMIF(data!$E:$E,科目余额表!$B264,data!S:S),0)</f>
        <v>26503406.57</v>
      </c>
      <c r="X264" s="207"/>
      <c r="Y264" s="207"/>
      <c r="Z264" s="207"/>
      <c r="AA264" s="207"/>
      <c r="AB264" s="207"/>
      <c r="AC264" s="207"/>
      <c r="AD264" s="207"/>
      <c r="AE264" s="207"/>
      <c r="AF264" s="207"/>
    </row>
    <row r="265" spans="1:32" s="214" customFormat="1" ht="11.65" customHeight="1">
      <c r="A265" s="215"/>
      <c r="B265" s="220">
        <v>20000</v>
      </c>
      <c r="C265" s="205" t="s">
        <v>518</v>
      </c>
      <c r="D265" s="221">
        <v>-23856895.5</v>
      </c>
      <c r="E265" s="221">
        <v>394802.03999999911</v>
      </c>
      <c r="F265" s="222">
        <f t="shared" si="4"/>
        <v>-23462093.460000001</v>
      </c>
      <c r="G265" s="205" t="s">
        <v>519</v>
      </c>
      <c r="H265" s="219" t="s">
        <v>250</v>
      </c>
      <c r="J265" s="207" t="s">
        <v>519</v>
      </c>
      <c r="K265" s="207"/>
      <c r="L265" s="207">
        <f>IFERROR(SUMIF(data!$E:$E,科目余额表!$B265,data!H:H),0)</f>
        <v>-21279783.039999999</v>
      </c>
      <c r="M265" s="207">
        <f>IFERROR(SUMIF(data!$E:$E,科目余额表!$B265,data!I:I),0)</f>
        <v>-22854056.5</v>
      </c>
      <c r="N265" s="207">
        <f>IFERROR(SUMIF(data!$E:$E,科目余额表!$B265,data!J:J),0)</f>
        <v>-21783885.030000001</v>
      </c>
      <c r="O265" s="207">
        <f>IFERROR(SUMIF(data!$E:$E,科目余额表!$B265,data!K:K),0)</f>
        <v>-11261938</v>
      </c>
      <c r="P265" s="207">
        <f>IFERROR(SUMIF(data!$E:$E,科目余额表!$B265,data!L:L),0)</f>
        <v>-16666992.17</v>
      </c>
      <c r="Q265" s="207">
        <f>IFERROR(SUMIF(data!$E:$E,科目余额表!$B265,data!M:M),0)</f>
        <v>-20142395.809999999</v>
      </c>
      <c r="R265" s="207">
        <f>IFERROR(SUMIF(data!$E:$E,科目余额表!$B265,data!N:N),0)</f>
        <v>-23716685.16</v>
      </c>
      <c r="S265" s="207">
        <f>IFERROR(SUMIF(data!$E:$E,科目余额表!$B265,data!O:O),0)</f>
        <v>-21661575.66</v>
      </c>
      <c r="T265" s="207">
        <f>IFERROR(SUMIF(data!$E:$E,科目余额表!$B265,data!P:P),0)</f>
        <v>-24684972.580000002</v>
      </c>
      <c r="U265" s="207">
        <f>IFERROR(SUMIF(data!$E:$E,科目余额表!$B265,data!Q:Q),0)</f>
        <v>-27112698.140000001</v>
      </c>
      <c r="V265" s="207">
        <f>IFERROR(SUMIF(data!$E:$E,科目余额表!$B265,data!R:R),0)</f>
        <v>-23856895.5</v>
      </c>
      <c r="W265" s="207">
        <f>IFERROR(SUMIF(data!$E:$E,科目余额表!$B265,data!S:S),0)</f>
        <v>-23462093.460000001</v>
      </c>
      <c r="X265" s="207"/>
      <c r="Y265" s="207"/>
      <c r="Z265" s="207"/>
      <c r="AA265" s="207"/>
      <c r="AB265" s="207"/>
      <c r="AC265" s="207"/>
      <c r="AD265" s="207"/>
      <c r="AE265" s="207"/>
      <c r="AF265" s="207"/>
    </row>
    <row r="266" spans="1:32" s="214" customFormat="1" ht="11.65" customHeight="1">
      <c r="A266" s="215"/>
      <c r="B266" s="220">
        <v>20001</v>
      </c>
      <c r="C266" s="205" t="s">
        <v>520</v>
      </c>
      <c r="D266" s="221">
        <v>0</v>
      </c>
      <c r="E266" s="221">
        <v>0</v>
      </c>
      <c r="F266" s="222">
        <f t="shared" si="4"/>
        <v>0</v>
      </c>
      <c r="G266" s="205" t="s">
        <v>519</v>
      </c>
      <c r="H266" s="219" t="s">
        <v>250</v>
      </c>
      <c r="J266" s="207" t="s">
        <v>519</v>
      </c>
      <c r="K266" s="207"/>
      <c r="L266" s="207">
        <f>IFERROR(SUMIF(data!$E:$E,科目余额表!$B266,data!H:H),0)</f>
        <v>0</v>
      </c>
      <c r="M266" s="207">
        <f>IFERROR(SUMIF(data!$E:$E,科目余额表!$B266,data!I:I),0)</f>
        <v>0</v>
      </c>
      <c r="N266" s="207">
        <f>IFERROR(SUMIF(data!$E:$E,科目余额表!$B266,data!J:J),0)</f>
        <v>0</v>
      </c>
      <c r="O266" s="207">
        <f>IFERROR(SUMIF(data!$E:$E,科目余额表!$B266,data!K:K),0)</f>
        <v>0</v>
      </c>
      <c r="P266" s="207">
        <f>IFERROR(SUMIF(data!$E:$E,科目余额表!$B266,data!L:L),0)</f>
        <v>0</v>
      </c>
      <c r="Q266" s="207">
        <f>IFERROR(SUMIF(data!$E:$E,科目余额表!$B266,data!M:M),0)</f>
        <v>0</v>
      </c>
      <c r="R266" s="207">
        <f>IFERROR(SUMIF(data!$E:$E,科目余额表!$B266,data!N:N),0)</f>
        <v>0</v>
      </c>
      <c r="S266" s="207">
        <f>IFERROR(SUMIF(data!$E:$E,科目余额表!$B266,data!O:O),0)</f>
        <v>0</v>
      </c>
      <c r="T266" s="207">
        <f>IFERROR(SUMIF(data!$E:$E,科目余额表!$B266,data!P:P),0)</f>
        <v>0</v>
      </c>
      <c r="U266" s="207">
        <f>IFERROR(SUMIF(data!$E:$E,科目余额表!$B266,data!Q:Q),0)</f>
        <v>0</v>
      </c>
      <c r="V266" s="207">
        <f>IFERROR(SUMIF(data!$E:$E,科目余额表!$B266,data!R:R),0)</f>
        <v>0</v>
      </c>
      <c r="W266" s="207">
        <f>IFERROR(SUMIF(data!$E:$E,科目余额表!$B266,data!S:S),0)</f>
        <v>0</v>
      </c>
      <c r="X266" s="207"/>
      <c r="Y266" s="207"/>
      <c r="Z266" s="207"/>
      <c r="AA266" s="207"/>
      <c r="AB266" s="207"/>
      <c r="AC266" s="207"/>
      <c r="AD266" s="207"/>
      <c r="AE266" s="207"/>
      <c r="AF266" s="207"/>
    </row>
    <row r="267" spans="1:32" s="214" customFormat="1" ht="11.65" customHeight="1">
      <c r="A267" s="215"/>
      <c r="B267" s="220">
        <v>20002</v>
      </c>
      <c r="C267" s="205" t="s">
        <v>521</v>
      </c>
      <c r="D267" s="221">
        <v>0</v>
      </c>
      <c r="E267" s="221">
        <v>0</v>
      </c>
      <c r="F267" s="222">
        <f t="shared" si="4"/>
        <v>0</v>
      </c>
      <c r="G267" s="205" t="s">
        <v>519</v>
      </c>
      <c r="H267" s="219" t="s">
        <v>250</v>
      </c>
      <c r="J267" s="207" t="s">
        <v>519</v>
      </c>
      <c r="K267" s="207"/>
      <c r="L267" s="207">
        <f>IFERROR(SUMIF(data!$E:$E,科目余额表!$B267,data!H:H),0)</f>
        <v>0</v>
      </c>
      <c r="M267" s="207">
        <f>IFERROR(SUMIF(data!$E:$E,科目余额表!$B267,data!I:I),0)</f>
        <v>0</v>
      </c>
      <c r="N267" s="207">
        <f>IFERROR(SUMIF(data!$E:$E,科目余额表!$B267,data!J:J),0)</f>
        <v>0</v>
      </c>
      <c r="O267" s="207">
        <f>IFERROR(SUMIF(data!$E:$E,科目余额表!$B267,data!K:K),0)</f>
        <v>0</v>
      </c>
      <c r="P267" s="207">
        <f>IFERROR(SUMIF(data!$E:$E,科目余额表!$B267,data!L:L),0)</f>
        <v>0</v>
      </c>
      <c r="Q267" s="207">
        <f>IFERROR(SUMIF(data!$E:$E,科目余额表!$B267,data!M:M),0)</f>
        <v>0</v>
      </c>
      <c r="R267" s="207">
        <f>IFERROR(SUMIF(data!$E:$E,科目余额表!$B267,data!N:N),0)</f>
        <v>0</v>
      </c>
      <c r="S267" s="207">
        <f>IFERROR(SUMIF(data!$E:$E,科目余额表!$B267,data!O:O),0)</f>
        <v>0</v>
      </c>
      <c r="T267" s="207">
        <f>IFERROR(SUMIF(data!$E:$E,科目余额表!$B267,data!P:P),0)</f>
        <v>0</v>
      </c>
      <c r="U267" s="207">
        <f>IFERROR(SUMIF(data!$E:$E,科目余额表!$B267,data!Q:Q),0)</f>
        <v>0</v>
      </c>
      <c r="V267" s="207">
        <f>IFERROR(SUMIF(data!$E:$E,科目余额表!$B267,data!R:R),0)</f>
        <v>0</v>
      </c>
      <c r="W267" s="207">
        <f>IFERROR(SUMIF(data!$E:$E,科目余额表!$B267,data!S:S),0)</f>
        <v>0</v>
      </c>
      <c r="X267" s="207"/>
      <c r="Y267" s="207"/>
      <c r="Z267" s="207"/>
      <c r="AA267" s="207"/>
      <c r="AB267" s="207"/>
      <c r="AC267" s="207"/>
      <c r="AD267" s="207"/>
      <c r="AE267" s="207"/>
      <c r="AF267" s="207"/>
    </row>
    <row r="268" spans="1:32" s="214" customFormat="1" ht="11.65" customHeight="1">
      <c r="A268" s="215"/>
      <c r="B268" s="220">
        <v>21000</v>
      </c>
      <c r="C268" s="205" t="s">
        <v>522</v>
      </c>
      <c r="D268" s="221">
        <v>0</v>
      </c>
      <c r="E268" s="221">
        <v>0</v>
      </c>
      <c r="F268" s="222">
        <f t="shared" si="4"/>
        <v>0</v>
      </c>
      <c r="G268" s="205" t="s">
        <v>522</v>
      </c>
      <c r="H268" s="219" t="s">
        <v>250</v>
      </c>
      <c r="J268" s="207" t="s">
        <v>519</v>
      </c>
      <c r="K268" s="207"/>
      <c r="L268" s="207">
        <f>IFERROR(SUMIF(data!$E:$E,科目余额表!$B268,data!H:H),0)</f>
        <v>0</v>
      </c>
      <c r="M268" s="207">
        <f>IFERROR(SUMIF(data!$E:$E,科目余额表!$B268,data!I:I),0)</f>
        <v>0</v>
      </c>
      <c r="N268" s="207">
        <f>IFERROR(SUMIF(data!$E:$E,科目余额表!$B268,data!J:J),0)</f>
        <v>0</v>
      </c>
      <c r="O268" s="207">
        <f>IFERROR(SUMIF(data!$E:$E,科目余额表!$B268,data!K:K),0)</f>
        <v>0</v>
      </c>
      <c r="P268" s="207">
        <f>IFERROR(SUMIF(data!$E:$E,科目余额表!$B268,data!L:L),0)</f>
        <v>0</v>
      </c>
      <c r="Q268" s="207">
        <f>IFERROR(SUMIF(data!$E:$E,科目余额表!$B268,data!M:M),0)</f>
        <v>0</v>
      </c>
      <c r="R268" s="207">
        <f>IFERROR(SUMIF(data!$E:$E,科目余额表!$B268,data!N:N),0)</f>
        <v>0</v>
      </c>
      <c r="S268" s="207">
        <f>IFERROR(SUMIF(data!$E:$E,科目余额表!$B268,data!O:O),0)</f>
        <v>0</v>
      </c>
      <c r="T268" s="207">
        <f>IFERROR(SUMIF(data!$E:$E,科目余额表!$B268,data!P:P),0)</f>
        <v>0</v>
      </c>
      <c r="U268" s="207">
        <f>IFERROR(SUMIF(data!$E:$E,科目余额表!$B268,data!Q:Q),0)</f>
        <v>0</v>
      </c>
      <c r="V268" s="207">
        <f>IFERROR(SUMIF(data!$E:$E,科目余额表!$B268,data!R:R),0)</f>
        <v>0</v>
      </c>
      <c r="W268" s="207">
        <f>IFERROR(SUMIF(data!$E:$E,科目余额表!$B268,data!S:S),0)</f>
        <v>0</v>
      </c>
      <c r="X268" s="207"/>
      <c r="Y268" s="207"/>
      <c r="Z268" s="207"/>
      <c r="AA268" s="207"/>
      <c r="AB268" s="207"/>
      <c r="AC268" s="207"/>
      <c r="AD268" s="207"/>
      <c r="AE268" s="207"/>
      <c r="AF268" s="207"/>
    </row>
    <row r="269" spans="1:32" s="214" customFormat="1" ht="11.65" customHeight="1">
      <c r="A269" s="215"/>
      <c r="B269" s="220">
        <v>21100</v>
      </c>
      <c r="C269" s="205" t="s">
        <v>523</v>
      </c>
      <c r="D269" s="221">
        <v>0</v>
      </c>
      <c r="E269" s="221">
        <v>0</v>
      </c>
      <c r="F269" s="222">
        <f t="shared" si="4"/>
        <v>0</v>
      </c>
      <c r="G269" s="205" t="s">
        <v>523</v>
      </c>
      <c r="H269" s="219" t="s">
        <v>250</v>
      </c>
      <c r="J269" s="207" t="s">
        <v>523</v>
      </c>
      <c r="K269" s="207"/>
      <c r="L269" s="207">
        <f>IFERROR(SUMIF(data!$E:$E,科目余额表!$B269,data!H:H),0)</f>
        <v>0</v>
      </c>
      <c r="M269" s="207">
        <f>IFERROR(SUMIF(data!$E:$E,科目余额表!$B269,data!I:I),0)</f>
        <v>0</v>
      </c>
      <c r="N269" s="207">
        <f>IFERROR(SUMIF(data!$E:$E,科目余额表!$B269,data!J:J),0)</f>
        <v>0</v>
      </c>
      <c r="O269" s="207">
        <f>IFERROR(SUMIF(data!$E:$E,科目余额表!$B269,data!K:K),0)</f>
        <v>0</v>
      </c>
      <c r="P269" s="207">
        <f>IFERROR(SUMIF(data!$E:$E,科目余额表!$B269,data!L:L),0)</f>
        <v>0</v>
      </c>
      <c r="Q269" s="207">
        <f>IFERROR(SUMIF(data!$E:$E,科目余额表!$B269,data!M:M),0)</f>
        <v>0</v>
      </c>
      <c r="R269" s="207">
        <f>IFERROR(SUMIF(data!$E:$E,科目余额表!$B269,data!N:N),0)</f>
        <v>0</v>
      </c>
      <c r="S269" s="207">
        <f>IFERROR(SUMIF(data!$E:$E,科目余额表!$B269,data!O:O),0)</f>
        <v>0</v>
      </c>
      <c r="T269" s="207">
        <f>IFERROR(SUMIF(data!$E:$E,科目余额表!$B269,data!P:P),0)</f>
        <v>0</v>
      </c>
      <c r="U269" s="207">
        <f>IFERROR(SUMIF(data!$E:$E,科目余额表!$B269,data!Q:Q),0)</f>
        <v>0</v>
      </c>
      <c r="V269" s="207">
        <f>IFERROR(SUMIF(data!$E:$E,科目余额表!$B269,data!R:R),0)</f>
        <v>0</v>
      </c>
      <c r="W269" s="207">
        <f>IFERROR(SUMIF(data!$E:$E,科目余额表!$B269,data!S:S),0)</f>
        <v>0</v>
      </c>
      <c r="X269" s="207"/>
      <c r="Y269" s="207"/>
      <c r="Z269" s="207"/>
      <c r="AA269" s="207"/>
      <c r="AB269" s="207"/>
      <c r="AC269" s="207"/>
      <c r="AD269" s="207"/>
      <c r="AE269" s="207"/>
      <c r="AF269" s="207"/>
    </row>
    <row r="270" spans="1:32" s="214" customFormat="1" ht="11.65" customHeight="1">
      <c r="A270" s="215"/>
      <c r="B270" s="220">
        <v>22000</v>
      </c>
      <c r="C270" s="205" t="s">
        <v>524</v>
      </c>
      <c r="D270" s="221">
        <v>0</v>
      </c>
      <c r="E270" s="221">
        <v>0</v>
      </c>
      <c r="F270" s="222">
        <f t="shared" si="4"/>
        <v>0</v>
      </c>
      <c r="G270" s="205" t="s">
        <v>302</v>
      </c>
      <c r="H270" s="219" t="s">
        <v>250</v>
      </c>
      <c r="J270" s="207" t="s">
        <v>302</v>
      </c>
      <c r="K270" s="207"/>
      <c r="L270" s="207">
        <f>IFERROR(SUMIF(data!$E:$E,科目余额表!$B270,data!H:H),0)</f>
        <v>0</v>
      </c>
      <c r="M270" s="207">
        <f>IFERROR(SUMIF(data!$E:$E,科目余额表!$B270,data!I:I),0)</f>
        <v>0</v>
      </c>
      <c r="N270" s="207">
        <f>IFERROR(SUMIF(data!$E:$E,科目余额表!$B270,data!J:J),0)</f>
        <v>0</v>
      </c>
      <c r="O270" s="207">
        <f>IFERROR(SUMIF(data!$E:$E,科目余额表!$B270,data!K:K),0)</f>
        <v>0</v>
      </c>
      <c r="P270" s="207">
        <f>IFERROR(SUMIF(data!$E:$E,科目余额表!$B270,data!L:L),0)</f>
        <v>0</v>
      </c>
      <c r="Q270" s="207">
        <f>IFERROR(SUMIF(data!$E:$E,科目余额表!$B270,data!M:M),0)</f>
        <v>0</v>
      </c>
      <c r="R270" s="207">
        <f>IFERROR(SUMIF(data!$E:$E,科目余额表!$B270,data!N:N),0)</f>
        <v>0</v>
      </c>
      <c r="S270" s="207">
        <f>IFERROR(SUMIF(data!$E:$E,科目余额表!$B270,data!O:O),0)</f>
        <v>0</v>
      </c>
      <c r="T270" s="207">
        <f>IFERROR(SUMIF(data!$E:$E,科目余额表!$B270,data!P:P),0)</f>
        <v>0</v>
      </c>
      <c r="U270" s="207">
        <f>IFERROR(SUMIF(data!$E:$E,科目余额表!$B270,data!Q:Q),0)</f>
        <v>0</v>
      </c>
      <c r="V270" s="207">
        <f>IFERROR(SUMIF(data!$E:$E,科目余额表!$B270,data!R:R),0)</f>
        <v>0</v>
      </c>
      <c r="W270" s="207">
        <f>IFERROR(SUMIF(data!$E:$E,科目余额表!$B270,data!S:S),0)</f>
        <v>0</v>
      </c>
      <c r="X270" s="207"/>
      <c r="Y270" s="207"/>
      <c r="Z270" s="207"/>
      <c r="AA270" s="207"/>
      <c r="AB270" s="207"/>
      <c r="AC270" s="207"/>
      <c r="AD270" s="207"/>
      <c r="AE270" s="207"/>
      <c r="AF270" s="207"/>
    </row>
    <row r="271" spans="1:32" s="214" customFormat="1" ht="11.65" customHeight="1">
      <c r="A271" s="215"/>
      <c r="B271" s="220">
        <v>22001</v>
      </c>
      <c r="C271" s="205" t="s">
        <v>525</v>
      </c>
      <c r="D271" s="221">
        <v>-8353415.71</v>
      </c>
      <c r="E271" s="221">
        <v>698433.39999999944</v>
      </c>
      <c r="F271" s="222">
        <f t="shared" si="4"/>
        <v>-7654982.3100000005</v>
      </c>
      <c r="G271" s="205" t="s">
        <v>302</v>
      </c>
      <c r="H271" s="219" t="s">
        <v>250</v>
      </c>
      <c r="J271" s="207" t="s">
        <v>302</v>
      </c>
      <c r="K271" s="207"/>
      <c r="L271" s="207">
        <f>IFERROR(SUMIF(data!$E:$E,科目余额表!$B271,data!H:H),0)</f>
        <v>-10753248.66</v>
      </c>
      <c r="M271" s="207">
        <f>IFERROR(SUMIF(data!$E:$E,科目余额表!$B271,data!I:I),0)</f>
        <v>-10087332.43</v>
      </c>
      <c r="N271" s="207">
        <f>IFERROR(SUMIF(data!$E:$E,科目余额表!$B271,data!J:J),0)</f>
        <v>-8547736.4000000004</v>
      </c>
      <c r="O271" s="207">
        <f>IFERROR(SUMIF(data!$E:$E,科目余额表!$B271,data!K:K),0)</f>
        <v>-7001344.3899999997</v>
      </c>
      <c r="P271" s="207">
        <f>IFERROR(SUMIF(data!$E:$E,科目余额表!$B271,data!L:L),0)</f>
        <v>-5857434.2199999997</v>
      </c>
      <c r="Q271" s="207">
        <f>IFERROR(SUMIF(data!$E:$E,科目余额表!$B271,data!M:M),0)</f>
        <v>-6969255.1699999999</v>
      </c>
      <c r="R271" s="207">
        <f>IFERROR(SUMIF(data!$E:$E,科目余额表!$B271,data!N:N),0)</f>
        <v>-3843449.01</v>
      </c>
      <c r="S271" s="207">
        <f>IFERROR(SUMIF(data!$E:$E,科目余额表!$B271,data!O:O),0)</f>
        <v>-4779888.5199999996</v>
      </c>
      <c r="T271" s="207">
        <f>IFERROR(SUMIF(data!$E:$E,科目余额表!$B271,data!P:P),0)</f>
        <v>-7458840.5700000003</v>
      </c>
      <c r="U271" s="207">
        <f>IFERROR(SUMIF(data!$E:$E,科目余额表!$B271,data!Q:Q),0)</f>
        <v>-6871481.4399999995</v>
      </c>
      <c r="V271" s="207">
        <f>IFERROR(SUMIF(data!$E:$E,科目余额表!$B271,data!R:R),0)</f>
        <v>-8353415.71</v>
      </c>
      <c r="W271" s="207">
        <f>IFERROR(SUMIF(data!$E:$E,科目余额表!$B271,data!S:S),0)</f>
        <v>-7654982.3100000005</v>
      </c>
      <c r="X271" s="207"/>
      <c r="Y271" s="207"/>
      <c r="Z271" s="207"/>
      <c r="AA271" s="207"/>
      <c r="AB271" s="207"/>
      <c r="AC271" s="207"/>
      <c r="AD271" s="207"/>
      <c r="AE271" s="207"/>
      <c r="AF271" s="207"/>
    </row>
    <row r="272" spans="1:32" s="214" customFormat="1" ht="11.65" customHeight="1">
      <c r="A272" s="215"/>
      <c r="B272" s="220">
        <v>22002</v>
      </c>
      <c r="C272" s="205" t="s">
        <v>526</v>
      </c>
      <c r="D272" s="221">
        <v>-22587374.380000014</v>
      </c>
      <c r="E272" s="221">
        <v>372797.76000000909</v>
      </c>
      <c r="F272" s="222">
        <f t="shared" si="4"/>
        <v>-22214576.620000005</v>
      </c>
      <c r="G272" s="205" t="s">
        <v>302</v>
      </c>
      <c r="H272" s="219" t="s">
        <v>250</v>
      </c>
      <c r="J272" s="207" t="s">
        <v>302</v>
      </c>
      <c r="K272" s="207"/>
      <c r="L272" s="207">
        <f>IFERROR(SUMIF(data!$E:$E,科目余额表!$B272,data!H:H),0)</f>
        <v>-26706497.919999994</v>
      </c>
      <c r="M272" s="207">
        <f>IFERROR(SUMIF(data!$E:$E,科目余额表!$B272,data!I:I),0)</f>
        <v>-26894498.000000004</v>
      </c>
      <c r="N272" s="207">
        <f>IFERROR(SUMIF(data!$E:$E,科目余额表!$B272,data!J:J),0)</f>
        <v>-24304611.970000003</v>
      </c>
      <c r="O272" s="207">
        <f>IFERROR(SUMIF(data!$E:$E,科目余额表!$B272,data!K:K),0)</f>
        <v>-29330527.360000003</v>
      </c>
      <c r="P272" s="207">
        <f>IFERROR(SUMIF(data!$E:$E,科目余额表!$B272,data!L:L),0)</f>
        <v>-29833465.889999997</v>
      </c>
      <c r="Q272" s="207">
        <f>IFERROR(SUMIF(data!$E:$E,科目余额表!$B272,data!M:M),0)</f>
        <v>-27241643.279999997</v>
      </c>
      <c r="R272" s="207">
        <f>IFERROR(SUMIF(data!$E:$E,科目余额表!$B272,data!N:N),0)</f>
        <v>-26352779.050000004</v>
      </c>
      <c r="S272" s="207">
        <f>IFERROR(SUMIF(data!$E:$E,科目余额表!$B272,data!O:O),0)</f>
        <v>-24288606.82</v>
      </c>
      <c r="T272" s="207">
        <f>IFERROR(SUMIF(data!$E:$E,科目余额表!$B272,data!P:P),0)</f>
        <v>-21590336.570000004</v>
      </c>
      <c r="U272" s="207">
        <f>IFERROR(SUMIF(data!$E:$E,科目余额表!$B272,data!Q:Q),0)</f>
        <v>-22137681.859999992</v>
      </c>
      <c r="V272" s="207">
        <f>IFERROR(SUMIF(data!$E:$E,科目余额表!$B272,data!R:R),0)</f>
        <v>-22587374.380000014</v>
      </c>
      <c r="W272" s="207">
        <f>IFERROR(SUMIF(data!$E:$E,科目余额表!$B272,data!S:S),0)</f>
        <v>-22214576.620000005</v>
      </c>
      <c r="X272" s="207"/>
      <c r="Y272" s="207"/>
      <c r="Z272" s="207"/>
      <c r="AA272" s="207"/>
      <c r="AB272" s="207"/>
      <c r="AC272" s="207"/>
      <c r="AD272" s="207"/>
      <c r="AE272" s="207"/>
      <c r="AF272" s="207"/>
    </row>
    <row r="273" spans="1:32" s="214" customFormat="1" ht="11.65" customHeight="1">
      <c r="A273" s="215"/>
      <c r="B273" s="220">
        <v>22003</v>
      </c>
      <c r="C273" s="205" t="s">
        <v>527</v>
      </c>
      <c r="D273" s="221">
        <v>0</v>
      </c>
      <c r="E273" s="221">
        <v>0</v>
      </c>
      <c r="F273" s="222">
        <f t="shared" si="4"/>
        <v>0</v>
      </c>
      <c r="G273" s="205" t="s">
        <v>302</v>
      </c>
      <c r="H273" s="219" t="s">
        <v>250</v>
      </c>
      <c r="J273" s="207" t="s">
        <v>302</v>
      </c>
      <c r="K273" s="207"/>
      <c r="L273" s="207">
        <f>IFERROR(SUMIF(data!$E:$E,科目余额表!$B273,data!H:H),0)</f>
        <v>0</v>
      </c>
      <c r="M273" s="207">
        <f>IFERROR(SUMIF(data!$E:$E,科目余额表!$B273,data!I:I),0)</f>
        <v>0</v>
      </c>
      <c r="N273" s="207">
        <f>IFERROR(SUMIF(data!$E:$E,科目余额表!$B273,data!J:J),0)</f>
        <v>0</v>
      </c>
      <c r="O273" s="207">
        <f>IFERROR(SUMIF(data!$E:$E,科目余额表!$B273,data!K:K),0)</f>
        <v>0</v>
      </c>
      <c r="P273" s="207">
        <f>IFERROR(SUMIF(data!$E:$E,科目余额表!$B273,data!L:L),0)</f>
        <v>0</v>
      </c>
      <c r="Q273" s="207">
        <f>IFERROR(SUMIF(data!$E:$E,科目余额表!$B273,data!M:M),0)</f>
        <v>0</v>
      </c>
      <c r="R273" s="207">
        <f>IFERROR(SUMIF(data!$E:$E,科目余额表!$B273,data!N:N),0)</f>
        <v>0</v>
      </c>
      <c r="S273" s="207">
        <f>IFERROR(SUMIF(data!$E:$E,科目余额表!$B273,data!O:O),0)</f>
        <v>0</v>
      </c>
      <c r="T273" s="207">
        <f>IFERROR(SUMIF(data!$E:$E,科目余额表!$B273,data!P:P),0)</f>
        <v>0</v>
      </c>
      <c r="U273" s="207">
        <f>IFERROR(SUMIF(data!$E:$E,科目余额表!$B273,data!Q:Q),0)</f>
        <v>0</v>
      </c>
      <c r="V273" s="207">
        <f>IFERROR(SUMIF(data!$E:$E,科目余额表!$B273,data!R:R),0)</f>
        <v>0</v>
      </c>
      <c r="W273" s="207">
        <f>IFERROR(SUMIF(data!$E:$E,科目余额表!$B273,data!S:S),0)</f>
        <v>0</v>
      </c>
      <c r="X273" s="207"/>
      <c r="Y273" s="207"/>
      <c r="Z273" s="207"/>
      <c r="AA273" s="207"/>
      <c r="AB273" s="207"/>
      <c r="AC273" s="207"/>
      <c r="AD273" s="207"/>
      <c r="AE273" s="207"/>
      <c r="AF273" s="207"/>
    </row>
    <row r="274" spans="1:32" s="214" customFormat="1" ht="11.65" customHeight="1">
      <c r="A274" s="215"/>
      <c r="B274" s="220">
        <v>22004</v>
      </c>
      <c r="C274" s="205" t="s">
        <v>528</v>
      </c>
      <c r="D274" s="221">
        <v>0</v>
      </c>
      <c r="E274" s="221">
        <v>0</v>
      </c>
      <c r="F274" s="222">
        <f t="shared" si="4"/>
        <v>0</v>
      </c>
      <c r="G274" s="205" t="s">
        <v>302</v>
      </c>
      <c r="H274" s="219" t="s">
        <v>250</v>
      </c>
      <c r="J274" s="207" t="s">
        <v>302</v>
      </c>
      <c r="K274" s="207"/>
      <c r="L274" s="207">
        <f>IFERROR(SUMIF(data!$E:$E,科目余额表!$B274,data!H:H),0)</f>
        <v>0</v>
      </c>
      <c r="M274" s="207">
        <f>IFERROR(SUMIF(data!$E:$E,科目余额表!$B274,data!I:I),0)</f>
        <v>0</v>
      </c>
      <c r="N274" s="207">
        <f>IFERROR(SUMIF(data!$E:$E,科目余额表!$B274,data!J:J),0)</f>
        <v>0</v>
      </c>
      <c r="O274" s="207">
        <f>IFERROR(SUMIF(data!$E:$E,科目余额表!$B274,data!K:K),0)</f>
        <v>0</v>
      </c>
      <c r="P274" s="207">
        <f>IFERROR(SUMIF(data!$E:$E,科目余额表!$B274,data!L:L),0)</f>
        <v>0</v>
      </c>
      <c r="Q274" s="207">
        <f>IFERROR(SUMIF(data!$E:$E,科目余额表!$B274,data!M:M),0)</f>
        <v>0</v>
      </c>
      <c r="R274" s="207">
        <f>IFERROR(SUMIF(data!$E:$E,科目余额表!$B274,data!N:N),0)</f>
        <v>0</v>
      </c>
      <c r="S274" s="207">
        <f>IFERROR(SUMIF(data!$E:$E,科目余额表!$B274,data!O:O),0)</f>
        <v>0</v>
      </c>
      <c r="T274" s="207">
        <f>IFERROR(SUMIF(data!$E:$E,科目余额表!$B274,data!P:P),0)</f>
        <v>0</v>
      </c>
      <c r="U274" s="207">
        <f>IFERROR(SUMIF(data!$E:$E,科目余额表!$B274,data!Q:Q),0)</f>
        <v>0</v>
      </c>
      <c r="V274" s="207">
        <f>IFERROR(SUMIF(data!$E:$E,科目余额表!$B274,data!R:R),0)</f>
        <v>0</v>
      </c>
      <c r="W274" s="207">
        <f>IFERROR(SUMIF(data!$E:$E,科目余额表!$B274,data!S:S),0)</f>
        <v>0</v>
      </c>
      <c r="X274" s="207"/>
      <c r="Y274" s="207"/>
      <c r="Z274" s="207"/>
      <c r="AA274" s="207"/>
      <c r="AB274" s="207"/>
      <c r="AC274" s="207"/>
      <c r="AD274" s="207"/>
      <c r="AE274" s="207"/>
      <c r="AF274" s="207"/>
    </row>
    <row r="275" spans="1:32" s="214" customFormat="1" ht="11.65" customHeight="1">
      <c r="A275" s="215"/>
      <c r="B275" s="220">
        <v>22005</v>
      </c>
      <c r="C275" s="205" t="s">
        <v>529</v>
      </c>
      <c r="D275" s="221">
        <v>0</v>
      </c>
      <c r="E275" s="221">
        <v>0</v>
      </c>
      <c r="F275" s="222">
        <f t="shared" si="4"/>
        <v>0</v>
      </c>
      <c r="G275" s="205" t="s">
        <v>302</v>
      </c>
      <c r="H275" s="219" t="s">
        <v>250</v>
      </c>
      <c r="J275" s="207" t="s">
        <v>302</v>
      </c>
      <c r="K275" s="207"/>
      <c r="L275" s="207">
        <f>IFERROR(SUMIF(data!$E:$E,科目余额表!$B275,data!H:H),0)</f>
        <v>0</v>
      </c>
      <c r="M275" s="207">
        <f>IFERROR(SUMIF(data!$E:$E,科目余额表!$B275,data!I:I),0)</f>
        <v>0</v>
      </c>
      <c r="N275" s="207">
        <f>IFERROR(SUMIF(data!$E:$E,科目余额表!$B275,data!J:J),0)</f>
        <v>0</v>
      </c>
      <c r="O275" s="207">
        <f>IFERROR(SUMIF(data!$E:$E,科目余额表!$B275,data!K:K),0)</f>
        <v>0</v>
      </c>
      <c r="P275" s="207">
        <f>IFERROR(SUMIF(data!$E:$E,科目余额表!$B275,data!L:L),0)</f>
        <v>0</v>
      </c>
      <c r="Q275" s="207">
        <f>IFERROR(SUMIF(data!$E:$E,科目余额表!$B275,data!M:M),0)</f>
        <v>0</v>
      </c>
      <c r="R275" s="207">
        <f>IFERROR(SUMIF(data!$E:$E,科目余额表!$B275,data!N:N),0)</f>
        <v>0</v>
      </c>
      <c r="S275" s="207">
        <f>IFERROR(SUMIF(data!$E:$E,科目余额表!$B275,data!O:O),0)</f>
        <v>0</v>
      </c>
      <c r="T275" s="207">
        <f>IFERROR(SUMIF(data!$E:$E,科目余额表!$B275,data!P:P),0)</f>
        <v>0</v>
      </c>
      <c r="U275" s="207">
        <f>IFERROR(SUMIF(data!$E:$E,科目余额表!$B275,data!Q:Q),0)</f>
        <v>0</v>
      </c>
      <c r="V275" s="207">
        <f>IFERROR(SUMIF(data!$E:$E,科目余额表!$B275,data!R:R),0)</f>
        <v>0</v>
      </c>
      <c r="W275" s="207">
        <f>IFERROR(SUMIF(data!$E:$E,科目余额表!$B275,data!S:S),0)</f>
        <v>0</v>
      </c>
      <c r="X275" s="207"/>
      <c r="Y275" s="207"/>
      <c r="Z275" s="207"/>
      <c r="AA275" s="207"/>
      <c r="AB275" s="207"/>
      <c r="AC275" s="207"/>
      <c r="AD275" s="207"/>
      <c r="AE275" s="207"/>
      <c r="AF275" s="207"/>
    </row>
    <row r="276" spans="1:32" s="214" customFormat="1" ht="11.65" customHeight="1">
      <c r="A276" s="215"/>
      <c r="B276" s="220">
        <v>22100</v>
      </c>
      <c r="C276" s="205" t="s">
        <v>530</v>
      </c>
      <c r="D276" s="221">
        <v>0</v>
      </c>
      <c r="E276" s="221">
        <v>0</v>
      </c>
      <c r="F276" s="222">
        <f t="shared" si="4"/>
        <v>0</v>
      </c>
      <c r="G276" s="205" t="s">
        <v>293</v>
      </c>
      <c r="H276" s="219" t="s">
        <v>250</v>
      </c>
      <c r="J276" s="207" t="s">
        <v>531</v>
      </c>
      <c r="K276" s="207"/>
      <c r="L276" s="207">
        <f>IFERROR(SUMIF(data!$E:$E,科目余额表!$B276,data!H:H),0)</f>
        <v>0</v>
      </c>
      <c r="M276" s="207">
        <f>IFERROR(SUMIF(data!$E:$E,科目余额表!$B276,data!I:I),0)</f>
        <v>0</v>
      </c>
      <c r="N276" s="207">
        <f>IFERROR(SUMIF(data!$E:$E,科目余额表!$B276,data!J:J),0)</f>
        <v>0</v>
      </c>
      <c r="O276" s="207">
        <f>IFERROR(SUMIF(data!$E:$E,科目余额表!$B276,data!K:K),0)</f>
        <v>0</v>
      </c>
      <c r="P276" s="207">
        <f>IFERROR(SUMIF(data!$E:$E,科目余额表!$B276,data!L:L),0)</f>
        <v>0</v>
      </c>
      <c r="Q276" s="207">
        <f>IFERROR(SUMIF(data!$E:$E,科目余额表!$B276,data!M:M),0)</f>
        <v>0</v>
      </c>
      <c r="R276" s="207">
        <f>IFERROR(SUMIF(data!$E:$E,科目余额表!$B276,data!N:N),0)</f>
        <v>0</v>
      </c>
      <c r="S276" s="207">
        <f>IFERROR(SUMIF(data!$E:$E,科目余额表!$B276,data!O:O),0)</f>
        <v>0</v>
      </c>
      <c r="T276" s="207">
        <f>IFERROR(SUMIF(data!$E:$E,科目余额表!$B276,data!P:P),0)</f>
        <v>0</v>
      </c>
      <c r="U276" s="207">
        <f>IFERROR(SUMIF(data!$E:$E,科目余额表!$B276,data!Q:Q),0)</f>
        <v>0</v>
      </c>
      <c r="V276" s="207">
        <f>IFERROR(SUMIF(data!$E:$E,科目余额表!$B276,data!R:R),0)</f>
        <v>0</v>
      </c>
      <c r="W276" s="207">
        <f>IFERROR(SUMIF(data!$E:$E,科目余额表!$B276,data!S:S),0)</f>
        <v>0</v>
      </c>
      <c r="X276" s="207"/>
      <c r="Y276" s="207"/>
      <c r="Z276" s="207"/>
      <c r="AA276" s="207"/>
      <c r="AB276" s="207"/>
      <c r="AC276" s="207"/>
      <c r="AD276" s="207"/>
      <c r="AE276" s="207"/>
      <c r="AF276" s="207"/>
    </row>
    <row r="277" spans="1:32" s="214" customFormat="1" ht="11.65" customHeight="1">
      <c r="A277" s="215"/>
      <c r="B277" s="220">
        <v>23000</v>
      </c>
      <c r="C277" s="205" t="s">
        <v>532</v>
      </c>
      <c r="D277" s="221">
        <v>0</v>
      </c>
      <c r="E277" s="221">
        <v>0</v>
      </c>
      <c r="F277" s="222">
        <f t="shared" si="4"/>
        <v>0</v>
      </c>
      <c r="G277" s="205" t="s">
        <v>533</v>
      </c>
      <c r="H277" s="219" t="s">
        <v>250</v>
      </c>
      <c r="J277" s="207" t="s">
        <v>302</v>
      </c>
      <c r="K277" s="207"/>
      <c r="L277" s="207">
        <f>IFERROR(SUMIF(data!$E:$E,科目余额表!$B277,data!H:H),0)</f>
        <v>0</v>
      </c>
      <c r="M277" s="207">
        <f>IFERROR(SUMIF(data!$E:$E,科目余额表!$B277,data!I:I),0)</f>
        <v>0</v>
      </c>
      <c r="N277" s="207">
        <f>IFERROR(SUMIF(data!$E:$E,科目余额表!$B277,data!J:J),0)</f>
        <v>0</v>
      </c>
      <c r="O277" s="207">
        <f>IFERROR(SUMIF(data!$E:$E,科目余额表!$B277,data!K:K),0)</f>
        <v>0</v>
      </c>
      <c r="P277" s="207">
        <f>IFERROR(SUMIF(data!$E:$E,科目余额表!$B277,data!L:L),0)</f>
        <v>0</v>
      </c>
      <c r="Q277" s="207">
        <f>IFERROR(SUMIF(data!$E:$E,科目余额表!$B277,data!M:M),0)</f>
        <v>0</v>
      </c>
      <c r="R277" s="207">
        <f>IFERROR(SUMIF(data!$E:$E,科目余额表!$B277,data!N:N),0)</f>
        <v>0</v>
      </c>
      <c r="S277" s="207">
        <f>IFERROR(SUMIF(data!$E:$E,科目余额表!$B277,data!O:O),0)</f>
        <v>0</v>
      </c>
      <c r="T277" s="207">
        <f>IFERROR(SUMIF(data!$E:$E,科目余额表!$B277,data!P:P),0)</f>
        <v>0</v>
      </c>
      <c r="U277" s="207">
        <f>IFERROR(SUMIF(data!$E:$E,科目余额表!$B277,data!Q:Q),0)</f>
        <v>0</v>
      </c>
      <c r="V277" s="207">
        <f>IFERROR(SUMIF(data!$E:$E,科目余额表!$B277,data!R:R),0)</f>
        <v>0</v>
      </c>
      <c r="W277" s="207">
        <f>IFERROR(SUMIF(data!$E:$E,科目余额表!$B277,data!S:S),0)</f>
        <v>0</v>
      </c>
      <c r="X277" s="207"/>
      <c r="Y277" s="207"/>
      <c r="Z277" s="207"/>
      <c r="AA277" s="207"/>
      <c r="AB277" s="207"/>
      <c r="AC277" s="207"/>
      <c r="AD277" s="207"/>
      <c r="AE277" s="207"/>
      <c r="AF277" s="207"/>
    </row>
    <row r="278" spans="1:32" s="214" customFormat="1" ht="11.65" customHeight="1">
      <c r="A278" s="215"/>
      <c r="B278" s="220">
        <v>23001</v>
      </c>
      <c r="C278" s="205" t="s">
        <v>534</v>
      </c>
      <c r="D278" s="221">
        <v>0</v>
      </c>
      <c r="E278" s="221">
        <v>0</v>
      </c>
      <c r="F278" s="222">
        <f t="shared" si="4"/>
        <v>0</v>
      </c>
      <c r="G278" s="205" t="s">
        <v>533</v>
      </c>
      <c r="H278" s="219" t="s">
        <v>250</v>
      </c>
      <c r="J278" s="207" t="s">
        <v>302</v>
      </c>
      <c r="K278" s="207"/>
      <c r="L278" s="207">
        <f>IFERROR(SUMIF(data!$E:$E,科目余额表!$B278,data!H:H),0)</f>
        <v>0</v>
      </c>
      <c r="M278" s="207">
        <f>IFERROR(SUMIF(data!$E:$E,科目余额表!$B278,data!I:I),0)</f>
        <v>0</v>
      </c>
      <c r="N278" s="207">
        <f>IFERROR(SUMIF(data!$E:$E,科目余额表!$B278,data!J:J),0)</f>
        <v>0</v>
      </c>
      <c r="O278" s="207">
        <f>IFERROR(SUMIF(data!$E:$E,科目余额表!$B278,data!K:K),0)</f>
        <v>0</v>
      </c>
      <c r="P278" s="207">
        <f>IFERROR(SUMIF(data!$E:$E,科目余额表!$B278,data!L:L),0)</f>
        <v>0</v>
      </c>
      <c r="Q278" s="207">
        <f>IFERROR(SUMIF(data!$E:$E,科目余额表!$B278,data!M:M),0)</f>
        <v>0</v>
      </c>
      <c r="R278" s="207">
        <f>IFERROR(SUMIF(data!$E:$E,科目余额表!$B278,data!N:N),0)</f>
        <v>0</v>
      </c>
      <c r="S278" s="207">
        <f>IFERROR(SUMIF(data!$E:$E,科目余额表!$B278,data!O:O),0)</f>
        <v>0</v>
      </c>
      <c r="T278" s="207">
        <f>IFERROR(SUMIF(data!$E:$E,科目余额表!$B278,data!P:P),0)</f>
        <v>0</v>
      </c>
      <c r="U278" s="207">
        <f>IFERROR(SUMIF(data!$E:$E,科目余额表!$B278,data!Q:Q),0)</f>
        <v>0</v>
      </c>
      <c r="V278" s="207">
        <f>IFERROR(SUMIF(data!$E:$E,科目余额表!$B278,data!R:R),0)</f>
        <v>0</v>
      </c>
      <c r="W278" s="207">
        <f>IFERROR(SUMIF(data!$E:$E,科目余额表!$B278,data!S:S),0)</f>
        <v>0</v>
      </c>
      <c r="X278" s="207"/>
      <c r="Y278" s="207"/>
      <c r="Z278" s="207"/>
      <c r="AA278" s="207"/>
      <c r="AB278" s="207"/>
      <c r="AC278" s="207"/>
      <c r="AD278" s="207"/>
      <c r="AE278" s="207"/>
      <c r="AF278" s="207"/>
    </row>
    <row r="279" spans="1:32" s="214" customFormat="1" ht="11.65" customHeight="1">
      <c r="A279" s="215"/>
      <c r="B279" s="220">
        <v>24000</v>
      </c>
      <c r="C279" s="205" t="s">
        <v>535</v>
      </c>
      <c r="D279" s="221">
        <v>-77190994.36999999</v>
      </c>
      <c r="E279" s="221">
        <v>-142899.79999999702</v>
      </c>
      <c r="F279" s="222">
        <f t="shared" si="4"/>
        <v>-77333894.169999987</v>
      </c>
      <c r="G279" s="205" t="s">
        <v>533</v>
      </c>
      <c r="H279" s="219" t="s">
        <v>250</v>
      </c>
      <c r="J279" s="207" t="s">
        <v>302</v>
      </c>
      <c r="K279" s="207"/>
      <c r="L279" s="207">
        <f>IFERROR(SUMIF(data!$E:$E,科目余额表!$B279,data!H:H),0)</f>
        <v>-72006201.659999996</v>
      </c>
      <c r="M279" s="207">
        <f>IFERROR(SUMIF(data!$E:$E,科目余额表!$B279,data!I:I),0)</f>
        <v>-72053952.629999995</v>
      </c>
      <c r="N279" s="207">
        <f>IFERROR(SUMIF(data!$E:$E,科目余额表!$B279,data!J:J),0)</f>
        <v>-84889197.569999993</v>
      </c>
      <c r="O279" s="207">
        <f>IFERROR(SUMIF(data!$E:$E,科目余额表!$B279,data!K:K),0)</f>
        <v>-86012146.149999991</v>
      </c>
      <c r="P279" s="207">
        <f>IFERROR(SUMIF(data!$E:$E,科目余额表!$B279,data!L:L),0)</f>
        <v>-78075001.010000005</v>
      </c>
      <c r="Q279" s="207">
        <f>IFERROR(SUMIF(data!$E:$E,科目余额表!$B279,data!M:M),0)</f>
        <v>-73318681.140000001</v>
      </c>
      <c r="R279" s="207">
        <f>IFERROR(SUMIF(data!$E:$E,科目余额表!$B279,data!N:N),0)</f>
        <v>-73284401.890000001</v>
      </c>
      <c r="S279" s="207">
        <f>IFERROR(SUMIF(data!$E:$E,科目余额表!$B279,data!O:O),0)</f>
        <v>-73021954.799999997</v>
      </c>
      <c r="T279" s="207">
        <f>IFERROR(SUMIF(data!$E:$E,科目余额表!$B279,data!P:P),0)</f>
        <v>-73464534.069999993</v>
      </c>
      <c r="U279" s="207">
        <f>IFERROR(SUMIF(data!$E:$E,科目余额表!$B279,data!Q:Q),0)</f>
        <v>-73223743.5</v>
      </c>
      <c r="V279" s="207">
        <f>IFERROR(SUMIF(data!$E:$E,科目余额表!$B279,data!R:R),0)</f>
        <v>-77190994.36999999</v>
      </c>
      <c r="W279" s="207">
        <f>IFERROR(SUMIF(data!$E:$E,科目余额表!$B279,data!S:S),0)</f>
        <v>-77333894.169999987</v>
      </c>
      <c r="X279" s="207"/>
      <c r="Y279" s="207"/>
      <c r="Z279" s="207"/>
      <c r="AA279" s="207"/>
      <c r="AB279" s="207"/>
      <c r="AC279" s="207"/>
      <c r="AD279" s="207"/>
      <c r="AE279" s="207"/>
      <c r="AF279" s="207"/>
    </row>
    <row r="280" spans="1:32" s="214" customFormat="1" ht="11.65" customHeight="1">
      <c r="A280" s="215"/>
      <c r="B280" s="220">
        <v>24001</v>
      </c>
      <c r="C280" s="205" t="s">
        <v>536</v>
      </c>
      <c r="D280" s="221">
        <v>0</v>
      </c>
      <c r="E280" s="221">
        <v>0</v>
      </c>
      <c r="F280" s="222">
        <f t="shared" si="4"/>
        <v>0</v>
      </c>
      <c r="G280" s="205" t="s">
        <v>533</v>
      </c>
      <c r="H280" s="219" t="s">
        <v>250</v>
      </c>
      <c r="J280" s="207" t="s">
        <v>302</v>
      </c>
      <c r="K280" s="207"/>
      <c r="L280" s="207">
        <f>IFERROR(SUMIF(data!$E:$E,科目余额表!$B280,data!H:H),0)</f>
        <v>0</v>
      </c>
      <c r="M280" s="207">
        <f>IFERROR(SUMIF(data!$E:$E,科目余额表!$B280,data!I:I),0)</f>
        <v>0</v>
      </c>
      <c r="N280" s="207">
        <f>IFERROR(SUMIF(data!$E:$E,科目余额表!$B280,data!J:J),0)</f>
        <v>0</v>
      </c>
      <c r="O280" s="207">
        <f>IFERROR(SUMIF(data!$E:$E,科目余额表!$B280,data!K:K),0)</f>
        <v>0</v>
      </c>
      <c r="P280" s="207">
        <f>IFERROR(SUMIF(data!$E:$E,科目余额表!$B280,data!L:L),0)</f>
        <v>0</v>
      </c>
      <c r="Q280" s="207">
        <f>IFERROR(SUMIF(data!$E:$E,科目余额表!$B280,data!M:M),0)</f>
        <v>0</v>
      </c>
      <c r="R280" s="207">
        <f>IFERROR(SUMIF(data!$E:$E,科目余额表!$B280,data!N:N),0)</f>
        <v>0</v>
      </c>
      <c r="S280" s="207">
        <f>IFERROR(SUMIF(data!$E:$E,科目余额表!$B280,data!O:O),0)</f>
        <v>0</v>
      </c>
      <c r="T280" s="207">
        <f>IFERROR(SUMIF(data!$E:$E,科目余额表!$B280,data!P:P),0)</f>
        <v>0</v>
      </c>
      <c r="U280" s="207">
        <f>IFERROR(SUMIF(data!$E:$E,科目余额表!$B280,data!Q:Q),0)</f>
        <v>0</v>
      </c>
      <c r="V280" s="207">
        <f>IFERROR(SUMIF(data!$E:$E,科目余额表!$B280,data!R:R),0)</f>
        <v>0</v>
      </c>
      <c r="W280" s="207">
        <f>IFERROR(SUMIF(data!$E:$E,科目余额表!$B280,data!S:S),0)</f>
        <v>0</v>
      </c>
      <c r="X280" s="207"/>
      <c r="Y280" s="207"/>
      <c r="Z280" s="207"/>
      <c r="AA280" s="207"/>
      <c r="AB280" s="207"/>
      <c r="AC280" s="207"/>
      <c r="AD280" s="207"/>
      <c r="AE280" s="207"/>
      <c r="AF280" s="207"/>
    </row>
    <row r="281" spans="1:32" s="214" customFormat="1" ht="11.65" customHeight="1">
      <c r="A281" s="215"/>
      <c r="B281" s="220">
        <v>25000</v>
      </c>
      <c r="C281" s="205" t="s">
        <v>537</v>
      </c>
      <c r="D281" s="221">
        <v>-1813555.01</v>
      </c>
      <c r="E281" s="221">
        <v>332353.91999999993</v>
      </c>
      <c r="F281" s="222">
        <f t="shared" si="4"/>
        <v>-1481201.09</v>
      </c>
      <c r="G281" s="205" t="s">
        <v>538</v>
      </c>
      <c r="H281" s="219" t="s">
        <v>250</v>
      </c>
      <c r="J281" s="207" t="s">
        <v>538</v>
      </c>
      <c r="K281" s="207"/>
      <c r="L281" s="207">
        <f>IFERROR(SUMIF(data!$E:$E,科目余额表!$B281,data!H:H),0)</f>
        <v>-977898.09</v>
      </c>
      <c r="M281" s="207">
        <f>IFERROR(SUMIF(data!$E:$E,科目余额表!$B281,data!I:I),0)</f>
        <v>-1096308.58</v>
      </c>
      <c r="N281" s="207">
        <f>IFERROR(SUMIF(data!$E:$E,科目余额表!$B281,data!J:J),0)</f>
        <v>-1191936.95</v>
      </c>
      <c r="O281" s="207">
        <f>IFERROR(SUMIF(data!$E:$E,科目余额表!$B281,data!K:K),0)</f>
        <v>-1313097.44</v>
      </c>
      <c r="P281" s="207">
        <f>IFERROR(SUMIF(data!$E:$E,科目余额表!$B281,data!L:L),0)</f>
        <v>-1398679.48</v>
      </c>
      <c r="Q281" s="207">
        <f>IFERROR(SUMIF(data!$E:$E,科目余额表!$B281,data!M:M),0)</f>
        <v>-1492370.48</v>
      </c>
      <c r="R281" s="207">
        <f>IFERROR(SUMIF(data!$E:$E,科目余额表!$B281,data!N:N),0)</f>
        <v>-1536422.36</v>
      </c>
      <c r="S281" s="207">
        <f>IFERROR(SUMIF(data!$E:$E,科目余额表!$B281,data!O:O),0)</f>
        <v>-1579370.57</v>
      </c>
      <c r="T281" s="207">
        <f>IFERROR(SUMIF(data!$E:$E,科目余额表!$B281,data!P:P),0)</f>
        <v>-1619966.78</v>
      </c>
      <c r="U281" s="207">
        <f>IFERROR(SUMIF(data!$E:$E,科目余额表!$B281,data!Q:Q),0)</f>
        <v>-1638553.84</v>
      </c>
      <c r="V281" s="207">
        <f>IFERROR(SUMIF(data!$E:$E,科目余额表!$B281,data!R:R),0)</f>
        <v>-1813555.01</v>
      </c>
      <c r="W281" s="207">
        <f>IFERROR(SUMIF(data!$E:$E,科目余额表!$B281,data!S:S),0)</f>
        <v>-1481201.09</v>
      </c>
      <c r="X281" s="207"/>
      <c r="Y281" s="207"/>
      <c r="Z281" s="207"/>
      <c r="AA281" s="207"/>
      <c r="AB281" s="207"/>
      <c r="AC281" s="207"/>
      <c r="AD281" s="207"/>
      <c r="AE281" s="207"/>
      <c r="AF281" s="207"/>
    </row>
    <row r="282" spans="1:32" s="214" customFormat="1" ht="11.65" customHeight="1">
      <c r="A282" s="215"/>
      <c r="B282" s="220">
        <v>25100</v>
      </c>
      <c r="C282" s="205" t="s">
        <v>539</v>
      </c>
      <c r="D282" s="221">
        <v>-12425.59</v>
      </c>
      <c r="E282" s="221">
        <v>-3168.09</v>
      </c>
      <c r="F282" s="222">
        <f t="shared" si="4"/>
        <v>-15593.68</v>
      </c>
      <c r="G282" s="205" t="s">
        <v>538</v>
      </c>
      <c r="H282" s="219" t="s">
        <v>250</v>
      </c>
      <c r="J282" s="207" t="s">
        <v>538</v>
      </c>
      <c r="K282" s="207"/>
      <c r="L282" s="207">
        <f>IFERROR(SUMIF(data!$E:$E,科目余额表!$B282,data!H:H),0)</f>
        <v>0</v>
      </c>
      <c r="M282" s="207">
        <f>IFERROR(SUMIF(data!$E:$E,科目余额表!$B282,data!I:I),0)</f>
        <v>0</v>
      </c>
      <c r="N282" s="207">
        <f>IFERROR(SUMIF(data!$E:$E,科目余额表!$B282,data!J:J),0)</f>
        <v>-48572.14</v>
      </c>
      <c r="O282" s="207">
        <f>IFERROR(SUMIF(data!$E:$E,科目余额表!$B282,data!K:K),0)</f>
        <v>36608.89</v>
      </c>
      <c r="P282" s="207">
        <f>IFERROR(SUMIF(data!$E:$E,科目余额表!$B282,data!L:L),0)</f>
        <v>-31333.48</v>
      </c>
      <c r="Q282" s="207">
        <f>IFERROR(SUMIF(data!$E:$E,科目余额表!$B282,data!M:M),0)</f>
        <v>24770.41</v>
      </c>
      <c r="R282" s="207">
        <f>IFERROR(SUMIF(data!$E:$E,科目余额表!$B282,data!N:N),0)</f>
        <v>37941.9</v>
      </c>
      <c r="S282" s="207">
        <f>IFERROR(SUMIF(data!$E:$E,科目余额表!$B282,data!O:O),0)</f>
        <v>-45463.96</v>
      </c>
      <c r="T282" s="207">
        <f>IFERROR(SUMIF(data!$E:$E,科目余额表!$B282,data!P:P),0)</f>
        <v>12779.25</v>
      </c>
      <c r="U282" s="207">
        <f>IFERROR(SUMIF(data!$E:$E,科目余额表!$B282,data!Q:Q),0)</f>
        <v>-14531</v>
      </c>
      <c r="V282" s="207">
        <f>IFERROR(SUMIF(data!$E:$E,科目余额表!$B282,data!R:R),0)</f>
        <v>-12425.59</v>
      </c>
      <c r="W282" s="207">
        <f>IFERROR(SUMIF(data!$E:$E,科目余额表!$B282,data!S:S),0)</f>
        <v>-15593.68</v>
      </c>
      <c r="X282" s="207"/>
      <c r="Y282" s="207"/>
      <c r="Z282" s="207"/>
      <c r="AA282" s="207"/>
      <c r="AB282" s="207"/>
      <c r="AC282" s="207"/>
      <c r="AD282" s="207"/>
      <c r="AE282" s="207"/>
      <c r="AF282" s="207"/>
    </row>
    <row r="283" spans="1:32" s="214" customFormat="1" ht="11.65" customHeight="1">
      <c r="A283" s="215"/>
      <c r="B283" s="220">
        <v>25101</v>
      </c>
      <c r="C283" s="205" t="s">
        <v>540</v>
      </c>
      <c r="D283" s="221">
        <v>0</v>
      </c>
      <c r="E283" s="221">
        <v>0</v>
      </c>
      <c r="F283" s="222">
        <f t="shared" si="4"/>
        <v>0</v>
      </c>
      <c r="G283" s="205" t="s">
        <v>538</v>
      </c>
      <c r="H283" s="219" t="s">
        <v>250</v>
      </c>
      <c r="J283" s="207" t="s">
        <v>538</v>
      </c>
      <c r="K283" s="207"/>
      <c r="L283" s="207">
        <f>IFERROR(SUMIF(data!$E:$E,科目余额表!$B283,data!H:H),0)</f>
        <v>0</v>
      </c>
      <c r="M283" s="207">
        <f>IFERROR(SUMIF(data!$E:$E,科目余额表!$B283,data!I:I),0)</f>
        <v>0</v>
      </c>
      <c r="N283" s="207">
        <f>IFERROR(SUMIF(data!$E:$E,科目余额表!$B283,data!J:J),0)</f>
        <v>0</v>
      </c>
      <c r="O283" s="207">
        <f>IFERROR(SUMIF(data!$E:$E,科目余额表!$B283,data!K:K),0)</f>
        <v>0</v>
      </c>
      <c r="P283" s="207">
        <f>IFERROR(SUMIF(data!$E:$E,科目余额表!$B283,data!L:L),0)</f>
        <v>0</v>
      </c>
      <c r="Q283" s="207">
        <f>IFERROR(SUMIF(data!$E:$E,科目余额表!$B283,data!M:M),0)</f>
        <v>0</v>
      </c>
      <c r="R283" s="207">
        <f>IFERROR(SUMIF(data!$E:$E,科目余额表!$B283,data!N:N),0)</f>
        <v>0</v>
      </c>
      <c r="S283" s="207">
        <f>IFERROR(SUMIF(data!$E:$E,科目余额表!$B283,data!O:O),0)</f>
        <v>0</v>
      </c>
      <c r="T283" s="207">
        <f>IFERROR(SUMIF(data!$E:$E,科目余额表!$B283,data!P:P),0)</f>
        <v>0</v>
      </c>
      <c r="U283" s="207">
        <f>IFERROR(SUMIF(data!$E:$E,科目余额表!$B283,data!Q:Q),0)</f>
        <v>0</v>
      </c>
      <c r="V283" s="207">
        <f>IFERROR(SUMIF(data!$E:$E,科目余额表!$B283,data!R:R),0)</f>
        <v>0</v>
      </c>
      <c r="W283" s="207">
        <f>IFERROR(SUMIF(data!$E:$E,科目余额表!$B283,data!S:S),0)</f>
        <v>0</v>
      </c>
      <c r="X283" s="207"/>
      <c r="Y283" s="207"/>
      <c r="Z283" s="207"/>
      <c r="AA283" s="207"/>
      <c r="AB283" s="207"/>
      <c r="AC283" s="207"/>
      <c r="AD283" s="207"/>
      <c r="AE283" s="207"/>
      <c r="AF283" s="207"/>
    </row>
    <row r="284" spans="1:32" s="214" customFormat="1" ht="11.65" customHeight="1">
      <c r="A284" s="215"/>
      <c r="B284" s="220">
        <v>25102</v>
      </c>
      <c r="C284" s="205" t="s">
        <v>541</v>
      </c>
      <c r="D284" s="221">
        <v>0</v>
      </c>
      <c r="E284" s="221">
        <v>0</v>
      </c>
      <c r="F284" s="222">
        <f t="shared" si="4"/>
        <v>0</v>
      </c>
      <c r="G284" s="205" t="s">
        <v>538</v>
      </c>
      <c r="H284" s="219" t="s">
        <v>250</v>
      </c>
      <c r="J284" s="207" t="s">
        <v>538</v>
      </c>
      <c r="K284" s="207"/>
      <c r="L284" s="207">
        <f>IFERROR(SUMIF(data!$E:$E,科目余额表!$B284,data!H:H),0)</f>
        <v>0</v>
      </c>
      <c r="M284" s="207">
        <f>IFERROR(SUMIF(data!$E:$E,科目余额表!$B284,data!I:I),0)</f>
        <v>0</v>
      </c>
      <c r="N284" s="207">
        <f>IFERROR(SUMIF(data!$E:$E,科目余额表!$B284,data!J:J),0)</f>
        <v>0</v>
      </c>
      <c r="O284" s="207">
        <f>IFERROR(SUMIF(data!$E:$E,科目余额表!$B284,data!K:K),0)</f>
        <v>0</v>
      </c>
      <c r="P284" s="207">
        <f>IFERROR(SUMIF(data!$E:$E,科目余额表!$B284,data!L:L),0)</f>
        <v>0</v>
      </c>
      <c r="Q284" s="207">
        <f>IFERROR(SUMIF(data!$E:$E,科目余额表!$B284,data!M:M),0)</f>
        <v>0</v>
      </c>
      <c r="R284" s="207">
        <f>IFERROR(SUMIF(data!$E:$E,科目余额表!$B284,data!N:N),0)</f>
        <v>0</v>
      </c>
      <c r="S284" s="207">
        <f>IFERROR(SUMIF(data!$E:$E,科目余额表!$B284,data!O:O),0)</f>
        <v>0</v>
      </c>
      <c r="T284" s="207">
        <f>IFERROR(SUMIF(data!$E:$E,科目余额表!$B284,data!P:P),0)</f>
        <v>0</v>
      </c>
      <c r="U284" s="207">
        <f>IFERROR(SUMIF(data!$E:$E,科目余额表!$B284,data!Q:Q),0)</f>
        <v>0</v>
      </c>
      <c r="V284" s="207">
        <f>IFERROR(SUMIF(data!$E:$E,科目余额表!$B284,data!R:R),0)</f>
        <v>0</v>
      </c>
      <c r="W284" s="207">
        <f>IFERROR(SUMIF(data!$E:$E,科目余额表!$B284,data!S:S),0)</f>
        <v>0</v>
      </c>
      <c r="X284" s="207"/>
      <c r="Y284" s="207"/>
      <c r="Z284" s="207"/>
      <c r="AA284" s="207"/>
      <c r="AB284" s="207"/>
      <c r="AC284" s="207"/>
      <c r="AD284" s="207"/>
      <c r="AE284" s="207"/>
      <c r="AF284" s="207"/>
    </row>
    <row r="285" spans="1:32" s="214" customFormat="1" ht="11.65" customHeight="1">
      <c r="A285" s="215"/>
      <c r="B285" s="220">
        <v>25103</v>
      </c>
      <c r="C285" s="205" t="s">
        <v>542</v>
      </c>
      <c r="D285" s="221">
        <v>0</v>
      </c>
      <c r="E285" s="221">
        <v>0</v>
      </c>
      <c r="F285" s="222">
        <f t="shared" si="4"/>
        <v>0</v>
      </c>
      <c r="G285" s="205" t="s">
        <v>538</v>
      </c>
      <c r="H285" s="219" t="s">
        <v>250</v>
      </c>
      <c r="J285" s="207" t="s">
        <v>538</v>
      </c>
      <c r="K285" s="207"/>
      <c r="L285" s="207">
        <f>IFERROR(SUMIF(data!$E:$E,科目余额表!$B285,data!H:H),0)</f>
        <v>0</v>
      </c>
      <c r="M285" s="207">
        <f>IFERROR(SUMIF(data!$E:$E,科目余额表!$B285,data!I:I),0)</f>
        <v>0</v>
      </c>
      <c r="N285" s="207">
        <f>IFERROR(SUMIF(data!$E:$E,科目余额表!$B285,data!J:J),0)</f>
        <v>0</v>
      </c>
      <c r="O285" s="207">
        <f>IFERROR(SUMIF(data!$E:$E,科目余额表!$B285,data!K:K),0)</f>
        <v>0</v>
      </c>
      <c r="P285" s="207">
        <f>IFERROR(SUMIF(data!$E:$E,科目余额表!$B285,data!L:L),0)</f>
        <v>0</v>
      </c>
      <c r="Q285" s="207">
        <f>IFERROR(SUMIF(data!$E:$E,科目余额表!$B285,data!M:M),0)</f>
        <v>0</v>
      </c>
      <c r="R285" s="207">
        <f>IFERROR(SUMIF(data!$E:$E,科目余额表!$B285,data!N:N),0)</f>
        <v>0</v>
      </c>
      <c r="S285" s="207">
        <f>IFERROR(SUMIF(data!$E:$E,科目余额表!$B285,data!O:O),0)</f>
        <v>0</v>
      </c>
      <c r="T285" s="207">
        <f>IFERROR(SUMIF(data!$E:$E,科目余额表!$B285,data!P:P),0)</f>
        <v>0</v>
      </c>
      <c r="U285" s="207">
        <f>IFERROR(SUMIF(data!$E:$E,科目余额表!$B285,data!Q:Q),0)</f>
        <v>0</v>
      </c>
      <c r="V285" s="207">
        <f>IFERROR(SUMIF(data!$E:$E,科目余额表!$B285,data!R:R),0)</f>
        <v>0</v>
      </c>
      <c r="W285" s="207">
        <f>IFERROR(SUMIF(data!$E:$E,科目余额表!$B285,data!S:S),0)</f>
        <v>0</v>
      </c>
      <c r="X285" s="207"/>
      <c r="Y285" s="207"/>
      <c r="Z285" s="207"/>
      <c r="AA285" s="207"/>
      <c r="AB285" s="207"/>
      <c r="AC285" s="207"/>
      <c r="AD285" s="207"/>
      <c r="AE285" s="207"/>
      <c r="AF285" s="207"/>
    </row>
    <row r="286" spans="1:32" s="214" customFormat="1" ht="11.65" customHeight="1">
      <c r="A286" s="215"/>
      <c r="B286" s="220">
        <v>25104</v>
      </c>
      <c r="C286" s="205" t="s">
        <v>543</v>
      </c>
      <c r="D286" s="221">
        <v>0</v>
      </c>
      <c r="E286" s="221">
        <v>0</v>
      </c>
      <c r="F286" s="222">
        <f t="shared" si="4"/>
        <v>0</v>
      </c>
      <c r="G286" s="205" t="s">
        <v>538</v>
      </c>
      <c r="H286" s="219" t="s">
        <v>250</v>
      </c>
      <c r="J286" s="207" t="s">
        <v>538</v>
      </c>
      <c r="K286" s="207"/>
      <c r="L286" s="207">
        <f>IFERROR(SUMIF(data!$E:$E,科目余额表!$B286,data!H:H),0)</f>
        <v>0</v>
      </c>
      <c r="M286" s="207">
        <f>IFERROR(SUMIF(data!$E:$E,科目余额表!$B286,data!I:I),0)</f>
        <v>0</v>
      </c>
      <c r="N286" s="207">
        <f>IFERROR(SUMIF(data!$E:$E,科目余额表!$B286,data!J:J),0)</f>
        <v>0</v>
      </c>
      <c r="O286" s="207">
        <f>IFERROR(SUMIF(data!$E:$E,科目余额表!$B286,data!K:K),0)</f>
        <v>0</v>
      </c>
      <c r="P286" s="207">
        <f>IFERROR(SUMIF(data!$E:$E,科目余额表!$B286,data!L:L),0)</f>
        <v>0</v>
      </c>
      <c r="Q286" s="207">
        <f>IFERROR(SUMIF(data!$E:$E,科目余额表!$B286,data!M:M),0)</f>
        <v>0</v>
      </c>
      <c r="R286" s="207">
        <f>IFERROR(SUMIF(data!$E:$E,科目余额表!$B286,data!N:N),0)</f>
        <v>0</v>
      </c>
      <c r="S286" s="207">
        <f>IFERROR(SUMIF(data!$E:$E,科目余额表!$B286,data!O:O),0)</f>
        <v>0</v>
      </c>
      <c r="T286" s="207">
        <f>IFERROR(SUMIF(data!$E:$E,科目余额表!$B286,data!P:P),0)</f>
        <v>0</v>
      </c>
      <c r="U286" s="207">
        <f>IFERROR(SUMIF(data!$E:$E,科目余额表!$B286,data!Q:Q),0)</f>
        <v>0</v>
      </c>
      <c r="V286" s="207">
        <f>IFERROR(SUMIF(data!$E:$E,科目余额表!$B286,data!R:R),0)</f>
        <v>0</v>
      </c>
      <c r="W286" s="207">
        <f>IFERROR(SUMIF(data!$E:$E,科目余额表!$B286,data!S:S),0)</f>
        <v>0</v>
      </c>
      <c r="X286" s="207"/>
      <c r="Y286" s="207"/>
      <c r="Z286" s="207"/>
      <c r="AA286" s="207"/>
      <c r="AB286" s="207"/>
      <c r="AC286" s="207"/>
      <c r="AD286" s="207"/>
      <c r="AE286" s="207"/>
      <c r="AF286" s="207"/>
    </row>
    <row r="287" spans="1:32" s="214" customFormat="1" ht="11.65" customHeight="1">
      <c r="A287" s="215"/>
      <c r="B287" s="220">
        <v>25105</v>
      </c>
      <c r="C287" s="205" t="s">
        <v>544</v>
      </c>
      <c r="D287" s="221">
        <v>0</v>
      </c>
      <c r="E287" s="221">
        <v>0</v>
      </c>
      <c r="F287" s="222">
        <f t="shared" si="4"/>
        <v>0</v>
      </c>
      <c r="G287" s="205" t="s">
        <v>538</v>
      </c>
      <c r="H287" s="219" t="s">
        <v>250</v>
      </c>
      <c r="J287" s="207" t="s">
        <v>538</v>
      </c>
      <c r="K287" s="207"/>
      <c r="L287" s="207">
        <f>IFERROR(SUMIF(data!$E:$E,科目余额表!$B287,data!H:H),0)</f>
        <v>0</v>
      </c>
      <c r="M287" s="207">
        <f>IFERROR(SUMIF(data!$E:$E,科目余额表!$B287,data!I:I),0)</f>
        <v>0</v>
      </c>
      <c r="N287" s="207">
        <f>IFERROR(SUMIF(data!$E:$E,科目余额表!$B287,data!J:J),0)</f>
        <v>0</v>
      </c>
      <c r="O287" s="207">
        <f>IFERROR(SUMIF(data!$E:$E,科目余额表!$B287,data!K:K),0)</f>
        <v>0</v>
      </c>
      <c r="P287" s="207">
        <f>IFERROR(SUMIF(data!$E:$E,科目余额表!$B287,data!L:L),0)</f>
        <v>0</v>
      </c>
      <c r="Q287" s="207">
        <f>IFERROR(SUMIF(data!$E:$E,科目余额表!$B287,data!M:M),0)</f>
        <v>0</v>
      </c>
      <c r="R287" s="207">
        <f>IFERROR(SUMIF(data!$E:$E,科目余额表!$B287,data!N:N),0)</f>
        <v>0</v>
      </c>
      <c r="S287" s="207">
        <f>IFERROR(SUMIF(data!$E:$E,科目余额表!$B287,data!O:O),0)</f>
        <v>0</v>
      </c>
      <c r="T287" s="207">
        <f>IFERROR(SUMIF(data!$E:$E,科目余额表!$B287,data!P:P),0)</f>
        <v>0</v>
      </c>
      <c r="U287" s="207">
        <f>IFERROR(SUMIF(data!$E:$E,科目余额表!$B287,data!Q:Q),0)</f>
        <v>0</v>
      </c>
      <c r="V287" s="207">
        <f>IFERROR(SUMIF(data!$E:$E,科目余额表!$B287,data!R:R),0)</f>
        <v>0</v>
      </c>
      <c r="W287" s="207">
        <f>IFERROR(SUMIF(data!$E:$E,科目余额表!$B287,data!S:S),0)</f>
        <v>0</v>
      </c>
      <c r="X287" s="207"/>
      <c r="Y287" s="207"/>
      <c r="Z287" s="207"/>
      <c r="AA287" s="207"/>
      <c r="AB287" s="207"/>
      <c r="AC287" s="207"/>
      <c r="AD287" s="207"/>
      <c r="AE287" s="207"/>
      <c r="AF287" s="207"/>
    </row>
    <row r="288" spans="1:32" s="214" customFormat="1" ht="11.65" customHeight="1">
      <c r="A288" s="215"/>
      <c r="B288" s="220">
        <v>25106</v>
      </c>
      <c r="C288" s="205" t="s">
        <v>545</v>
      </c>
      <c r="D288" s="221">
        <v>0</v>
      </c>
      <c r="E288" s="221">
        <v>0</v>
      </c>
      <c r="F288" s="222">
        <f t="shared" si="4"/>
        <v>0</v>
      </c>
      <c r="G288" s="205" t="s">
        <v>538</v>
      </c>
      <c r="H288" s="219" t="s">
        <v>250</v>
      </c>
      <c r="J288" s="207" t="s">
        <v>538</v>
      </c>
      <c r="K288" s="207"/>
      <c r="L288" s="207">
        <f>IFERROR(SUMIF(data!$E:$E,科目余额表!$B288,data!H:H),0)</f>
        <v>0</v>
      </c>
      <c r="M288" s="207">
        <f>IFERROR(SUMIF(data!$E:$E,科目余额表!$B288,data!I:I),0)</f>
        <v>0</v>
      </c>
      <c r="N288" s="207">
        <f>IFERROR(SUMIF(data!$E:$E,科目余额表!$B288,data!J:J),0)</f>
        <v>0</v>
      </c>
      <c r="O288" s="207">
        <f>IFERROR(SUMIF(data!$E:$E,科目余额表!$B288,data!K:K),0)</f>
        <v>0</v>
      </c>
      <c r="P288" s="207">
        <f>IFERROR(SUMIF(data!$E:$E,科目余额表!$B288,data!L:L),0)</f>
        <v>0</v>
      </c>
      <c r="Q288" s="207">
        <f>IFERROR(SUMIF(data!$E:$E,科目余额表!$B288,data!M:M),0)</f>
        <v>0</v>
      </c>
      <c r="R288" s="207">
        <f>IFERROR(SUMIF(data!$E:$E,科目余额表!$B288,data!N:N),0)</f>
        <v>0</v>
      </c>
      <c r="S288" s="207">
        <f>IFERROR(SUMIF(data!$E:$E,科目余额表!$B288,data!O:O),0)</f>
        <v>0</v>
      </c>
      <c r="T288" s="207">
        <f>IFERROR(SUMIF(data!$E:$E,科目余额表!$B288,data!P:P),0)</f>
        <v>0</v>
      </c>
      <c r="U288" s="207">
        <f>IFERROR(SUMIF(data!$E:$E,科目余额表!$B288,data!Q:Q),0)</f>
        <v>0</v>
      </c>
      <c r="V288" s="207">
        <f>IFERROR(SUMIF(data!$E:$E,科目余额表!$B288,data!R:R),0)</f>
        <v>0</v>
      </c>
      <c r="W288" s="207">
        <f>IFERROR(SUMIF(data!$E:$E,科目余额表!$B288,data!S:S),0)</f>
        <v>0</v>
      </c>
      <c r="X288" s="207"/>
      <c r="Y288" s="207"/>
      <c r="Z288" s="207"/>
      <c r="AA288" s="207"/>
      <c r="AB288" s="207"/>
      <c r="AC288" s="207"/>
      <c r="AD288" s="207"/>
      <c r="AE288" s="207"/>
      <c r="AF288" s="207"/>
    </row>
    <row r="289" spans="1:32" s="214" customFormat="1" ht="11.65" customHeight="1">
      <c r="A289" s="215"/>
      <c r="B289" s="220">
        <v>25107</v>
      </c>
      <c r="C289" s="205" t="s">
        <v>546</v>
      </c>
      <c r="D289" s="221">
        <v>0</v>
      </c>
      <c r="E289" s="221">
        <v>0</v>
      </c>
      <c r="F289" s="222">
        <f t="shared" si="4"/>
        <v>0</v>
      </c>
      <c r="G289" s="205" t="s">
        <v>538</v>
      </c>
      <c r="H289" s="219" t="s">
        <v>250</v>
      </c>
      <c r="J289" s="207" t="s">
        <v>538</v>
      </c>
      <c r="K289" s="207"/>
      <c r="L289" s="207">
        <f>IFERROR(SUMIF(data!$E:$E,科目余额表!$B289,data!H:H),0)</f>
        <v>0</v>
      </c>
      <c r="M289" s="207">
        <f>IFERROR(SUMIF(data!$E:$E,科目余额表!$B289,data!I:I),0)</f>
        <v>0</v>
      </c>
      <c r="N289" s="207">
        <f>IFERROR(SUMIF(data!$E:$E,科目余额表!$B289,data!J:J),0)</f>
        <v>0</v>
      </c>
      <c r="O289" s="207">
        <f>IFERROR(SUMIF(data!$E:$E,科目余额表!$B289,data!K:K),0)</f>
        <v>0</v>
      </c>
      <c r="P289" s="207">
        <f>IFERROR(SUMIF(data!$E:$E,科目余额表!$B289,data!L:L),0)</f>
        <v>0</v>
      </c>
      <c r="Q289" s="207">
        <f>IFERROR(SUMIF(data!$E:$E,科目余额表!$B289,data!M:M),0)</f>
        <v>0</v>
      </c>
      <c r="R289" s="207">
        <f>IFERROR(SUMIF(data!$E:$E,科目余额表!$B289,data!N:N),0)</f>
        <v>0</v>
      </c>
      <c r="S289" s="207">
        <f>IFERROR(SUMIF(data!$E:$E,科目余额表!$B289,data!O:O),0)</f>
        <v>0</v>
      </c>
      <c r="T289" s="207">
        <f>IFERROR(SUMIF(data!$E:$E,科目余额表!$B289,data!P:P),0)</f>
        <v>0</v>
      </c>
      <c r="U289" s="207">
        <f>IFERROR(SUMIF(data!$E:$E,科目余额表!$B289,data!Q:Q),0)</f>
        <v>0</v>
      </c>
      <c r="V289" s="207">
        <f>IFERROR(SUMIF(data!$E:$E,科目余额表!$B289,data!R:R),0)</f>
        <v>0</v>
      </c>
      <c r="W289" s="207">
        <f>IFERROR(SUMIF(data!$E:$E,科目余额表!$B289,data!S:S),0)</f>
        <v>0</v>
      </c>
      <c r="X289" s="207"/>
      <c r="Y289" s="207"/>
      <c r="Z289" s="207"/>
      <c r="AA289" s="207"/>
      <c r="AB289" s="207"/>
      <c r="AC289" s="207"/>
      <c r="AD289" s="207"/>
      <c r="AE289" s="207"/>
      <c r="AF289" s="207"/>
    </row>
    <row r="290" spans="1:32" s="214" customFormat="1" ht="11.65" customHeight="1">
      <c r="A290" s="215"/>
      <c r="B290" s="220">
        <v>25108</v>
      </c>
      <c r="C290" s="205" t="s">
        <v>547</v>
      </c>
      <c r="D290" s="221">
        <v>0</v>
      </c>
      <c r="E290" s="221">
        <v>0</v>
      </c>
      <c r="F290" s="222">
        <f t="shared" si="4"/>
        <v>0</v>
      </c>
      <c r="G290" s="205" t="s">
        <v>538</v>
      </c>
      <c r="H290" s="219" t="s">
        <v>250</v>
      </c>
      <c r="J290" s="207" t="s">
        <v>538</v>
      </c>
      <c r="K290" s="207"/>
      <c r="L290" s="207">
        <f>IFERROR(SUMIF(data!$E:$E,科目余额表!$B290,data!H:H),0)</f>
        <v>0</v>
      </c>
      <c r="M290" s="207">
        <f>IFERROR(SUMIF(data!$E:$E,科目余额表!$B290,data!I:I),0)</f>
        <v>0</v>
      </c>
      <c r="N290" s="207">
        <f>IFERROR(SUMIF(data!$E:$E,科目余额表!$B290,data!J:J),0)</f>
        <v>0</v>
      </c>
      <c r="O290" s="207">
        <f>IFERROR(SUMIF(data!$E:$E,科目余额表!$B290,data!K:K),0)</f>
        <v>0</v>
      </c>
      <c r="P290" s="207">
        <f>IFERROR(SUMIF(data!$E:$E,科目余额表!$B290,data!L:L),0)</f>
        <v>0</v>
      </c>
      <c r="Q290" s="207">
        <f>IFERROR(SUMIF(data!$E:$E,科目余额表!$B290,data!M:M),0)</f>
        <v>0</v>
      </c>
      <c r="R290" s="207">
        <f>IFERROR(SUMIF(data!$E:$E,科目余额表!$B290,data!N:N),0)</f>
        <v>0</v>
      </c>
      <c r="S290" s="207">
        <f>IFERROR(SUMIF(data!$E:$E,科目余额表!$B290,data!O:O),0)</f>
        <v>0</v>
      </c>
      <c r="T290" s="207">
        <f>IFERROR(SUMIF(data!$E:$E,科目余额表!$B290,data!P:P),0)</f>
        <v>0</v>
      </c>
      <c r="U290" s="207">
        <f>IFERROR(SUMIF(data!$E:$E,科目余额表!$B290,data!Q:Q),0)</f>
        <v>0</v>
      </c>
      <c r="V290" s="207">
        <f>IFERROR(SUMIF(data!$E:$E,科目余额表!$B290,data!R:R),0)</f>
        <v>0</v>
      </c>
      <c r="W290" s="207">
        <f>IFERROR(SUMIF(data!$E:$E,科目余额表!$B290,data!S:S),0)</f>
        <v>0</v>
      </c>
      <c r="X290" s="207"/>
      <c r="Y290" s="207"/>
      <c r="Z290" s="207"/>
      <c r="AA290" s="207"/>
      <c r="AB290" s="207"/>
      <c r="AC290" s="207"/>
      <c r="AD290" s="207"/>
      <c r="AE290" s="207"/>
      <c r="AF290" s="207"/>
    </row>
    <row r="291" spans="1:32" s="214" customFormat="1" ht="11.65" customHeight="1">
      <c r="A291" s="215"/>
      <c r="B291" s="220">
        <v>25109</v>
      </c>
      <c r="C291" s="205" t="s">
        <v>548</v>
      </c>
      <c r="D291" s="221">
        <v>0</v>
      </c>
      <c r="E291" s="221">
        <v>0</v>
      </c>
      <c r="F291" s="222">
        <f t="shared" si="4"/>
        <v>0</v>
      </c>
      <c r="G291" s="205" t="s">
        <v>538</v>
      </c>
      <c r="H291" s="219" t="s">
        <v>250</v>
      </c>
      <c r="J291" s="207" t="s">
        <v>538</v>
      </c>
      <c r="K291" s="207"/>
      <c r="L291" s="207">
        <f>IFERROR(SUMIF(data!$E:$E,科目余额表!$B291,data!H:H),0)</f>
        <v>0</v>
      </c>
      <c r="M291" s="207">
        <f>IFERROR(SUMIF(data!$E:$E,科目余额表!$B291,data!I:I),0)</f>
        <v>0</v>
      </c>
      <c r="N291" s="207">
        <f>IFERROR(SUMIF(data!$E:$E,科目余额表!$B291,data!J:J),0)</f>
        <v>0</v>
      </c>
      <c r="O291" s="207">
        <f>IFERROR(SUMIF(data!$E:$E,科目余额表!$B291,data!K:K),0)</f>
        <v>0</v>
      </c>
      <c r="P291" s="207">
        <f>IFERROR(SUMIF(data!$E:$E,科目余额表!$B291,data!L:L),0)</f>
        <v>0</v>
      </c>
      <c r="Q291" s="207">
        <f>IFERROR(SUMIF(data!$E:$E,科目余额表!$B291,data!M:M),0)</f>
        <v>0</v>
      </c>
      <c r="R291" s="207">
        <f>IFERROR(SUMIF(data!$E:$E,科目余额表!$B291,data!N:N),0)</f>
        <v>0</v>
      </c>
      <c r="S291" s="207">
        <f>IFERROR(SUMIF(data!$E:$E,科目余额表!$B291,data!O:O),0)</f>
        <v>0</v>
      </c>
      <c r="T291" s="207">
        <f>IFERROR(SUMIF(data!$E:$E,科目余额表!$B291,data!P:P),0)</f>
        <v>0</v>
      </c>
      <c r="U291" s="207">
        <f>IFERROR(SUMIF(data!$E:$E,科目余额表!$B291,data!Q:Q),0)</f>
        <v>0</v>
      </c>
      <c r="V291" s="207">
        <f>IFERROR(SUMIF(data!$E:$E,科目余额表!$B291,data!R:R),0)</f>
        <v>0</v>
      </c>
      <c r="W291" s="207">
        <f>IFERROR(SUMIF(data!$E:$E,科目余额表!$B291,data!S:S),0)</f>
        <v>0</v>
      </c>
      <c r="X291" s="207"/>
      <c r="Y291" s="207"/>
      <c r="Z291" s="207"/>
      <c r="AA291" s="207"/>
      <c r="AB291" s="207"/>
      <c r="AC291" s="207"/>
      <c r="AD291" s="207"/>
      <c r="AE291" s="207"/>
      <c r="AF291" s="207"/>
    </row>
    <row r="292" spans="1:32" s="214" customFormat="1" ht="11.65" customHeight="1">
      <c r="A292" s="215"/>
      <c r="B292" s="220">
        <v>25110</v>
      </c>
      <c r="C292" s="205" t="s">
        <v>549</v>
      </c>
      <c r="D292" s="221">
        <v>0</v>
      </c>
      <c r="E292" s="221">
        <v>0</v>
      </c>
      <c r="F292" s="222">
        <f t="shared" si="4"/>
        <v>0</v>
      </c>
      <c r="G292" s="205" t="s">
        <v>538</v>
      </c>
      <c r="H292" s="219" t="s">
        <v>250</v>
      </c>
      <c r="J292" s="207" t="s">
        <v>538</v>
      </c>
      <c r="K292" s="207"/>
      <c r="L292" s="207">
        <f>IFERROR(SUMIF(data!$E:$E,科目余额表!$B292,data!H:H),0)</f>
        <v>0</v>
      </c>
      <c r="M292" s="207">
        <f>IFERROR(SUMIF(data!$E:$E,科目余额表!$B292,data!I:I),0)</f>
        <v>0</v>
      </c>
      <c r="N292" s="207">
        <f>IFERROR(SUMIF(data!$E:$E,科目余额表!$B292,data!J:J),0)</f>
        <v>0</v>
      </c>
      <c r="O292" s="207">
        <f>IFERROR(SUMIF(data!$E:$E,科目余额表!$B292,data!K:K),0)</f>
        <v>0</v>
      </c>
      <c r="P292" s="207">
        <f>IFERROR(SUMIF(data!$E:$E,科目余额表!$B292,data!L:L),0)</f>
        <v>0</v>
      </c>
      <c r="Q292" s="207">
        <f>IFERROR(SUMIF(data!$E:$E,科目余额表!$B292,data!M:M),0)</f>
        <v>0</v>
      </c>
      <c r="R292" s="207">
        <f>IFERROR(SUMIF(data!$E:$E,科目余额表!$B292,data!N:N),0)</f>
        <v>0</v>
      </c>
      <c r="S292" s="207">
        <f>IFERROR(SUMIF(data!$E:$E,科目余额表!$B292,data!O:O),0)</f>
        <v>0</v>
      </c>
      <c r="T292" s="207">
        <f>IFERROR(SUMIF(data!$E:$E,科目余额表!$B292,data!P:P),0)</f>
        <v>0</v>
      </c>
      <c r="U292" s="207">
        <f>IFERROR(SUMIF(data!$E:$E,科目余额表!$B292,data!Q:Q),0)</f>
        <v>0</v>
      </c>
      <c r="V292" s="207">
        <f>IFERROR(SUMIF(data!$E:$E,科目余额表!$B292,data!R:R),0)</f>
        <v>0</v>
      </c>
      <c r="W292" s="207">
        <f>IFERROR(SUMIF(data!$E:$E,科目余额表!$B292,data!S:S),0)</f>
        <v>0</v>
      </c>
      <c r="X292" s="207"/>
      <c r="Y292" s="207"/>
      <c r="Z292" s="207"/>
      <c r="AA292" s="207"/>
      <c r="AB292" s="207"/>
      <c r="AC292" s="207"/>
      <c r="AD292" s="207"/>
      <c r="AE292" s="207"/>
      <c r="AF292" s="207"/>
    </row>
    <row r="293" spans="1:32" s="214" customFormat="1" ht="11.65" customHeight="1">
      <c r="A293" s="215"/>
      <c r="B293" s="220">
        <v>25111</v>
      </c>
      <c r="C293" s="205" t="s">
        <v>550</v>
      </c>
      <c r="D293" s="221">
        <v>0</v>
      </c>
      <c r="E293" s="221">
        <v>0</v>
      </c>
      <c r="F293" s="222">
        <f t="shared" si="4"/>
        <v>0</v>
      </c>
      <c r="G293" s="205" t="s">
        <v>538</v>
      </c>
      <c r="H293" s="219" t="s">
        <v>250</v>
      </c>
      <c r="J293" s="207" t="s">
        <v>538</v>
      </c>
      <c r="K293" s="207"/>
      <c r="L293" s="207">
        <f>IFERROR(SUMIF(data!$E:$E,科目余额表!$B293,data!H:H),0)</f>
        <v>0</v>
      </c>
      <c r="M293" s="207">
        <f>IFERROR(SUMIF(data!$E:$E,科目余额表!$B293,data!I:I),0)</f>
        <v>0</v>
      </c>
      <c r="N293" s="207">
        <f>IFERROR(SUMIF(data!$E:$E,科目余额表!$B293,data!J:J),0)</f>
        <v>0</v>
      </c>
      <c r="O293" s="207">
        <f>IFERROR(SUMIF(data!$E:$E,科目余额表!$B293,data!K:K),0)</f>
        <v>0</v>
      </c>
      <c r="P293" s="207">
        <f>IFERROR(SUMIF(data!$E:$E,科目余额表!$B293,data!L:L),0)</f>
        <v>0</v>
      </c>
      <c r="Q293" s="207">
        <f>IFERROR(SUMIF(data!$E:$E,科目余额表!$B293,data!M:M),0)</f>
        <v>0</v>
      </c>
      <c r="R293" s="207">
        <f>IFERROR(SUMIF(data!$E:$E,科目余额表!$B293,data!N:N),0)</f>
        <v>0</v>
      </c>
      <c r="S293" s="207">
        <f>IFERROR(SUMIF(data!$E:$E,科目余额表!$B293,data!O:O),0)</f>
        <v>0</v>
      </c>
      <c r="T293" s="207">
        <f>IFERROR(SUMIF(data!$E:$E,科目余额表!$B293,data!P:P),0)</f>
        <v>0</v>
      </c>
      <c r="U293" s="207">
        <f>IFERROR(SUMIF(data!$E:$E,科目余额表!$B293,data!Q:Q),0)</f>
        <v>0</v>
      </c>
      <c r="V293" s="207">
        <f>IFERROR(SUMIF(data!$E:$E,科目余额表!$B293,data!R:R),0)</f>
        <v>0</v>
      </c>
      <c r="W293" s="207">
        <f>IFERROR(SUMIF(data!$E:$E,科目余额表!$B293,data!S:S),0)</f>
        <v>0</v>
      </c>
      <c r="X293" s="207"/>
      <c r="Y293" s="207"/>
      <c r="Z293" s="207"/>
      <c r="AA293" s="207"/>
      <c r="AB293" s="207"/>
      <c r="AC293" s="207"/>
      <c r="AD293" s="207"/>
      <c r="AE293" s="207"/>
      <c r="AF293" s="207"/>
    </row>
    <row r="294" spans="1:32" s="214" customFormat="1" ht="11.65" customHeight="1">
      <c r="A294" s="215"/>
      <c r="B294" s="220">
        <v>25112</v>
      </c>
      <c r="C294" s="205" t="s">
        <v>551</v>
      </c>
      <c r="D294" s="221">
        <v>0</v>
      </c>
      <c r="E294" s="221">
        <v>0</v>
      </c>
      <c r="F294" s="222">
        <f t="shared" si="4"/>
        <v>0</v>
      </c>
      <c r="G294" s="205" t="s">
        <v>538</v>
      </c>
      <c r="H294" s="219" t="s">
        <v>250</v>
      </c>
      <c r="J294" s="207" t="s">
        <v>538</v>
      </c>
      <c r="K294" s="207"/>
      <c r="L294" s="207">
        <f>IFERROR(SUMIF(data!$E:$E,科目余额表!$B294,data!H:H),0)</f>
        <v>0</v>
      </c>
      <c r="M294" s="207">
        <f>IFERROR(SUMIF(data!$E:$E,科目余额表!$B294,data!I:I),0)</f>
        <v>0</v>
      </c>
      <c r="N294" s="207">
        <f>IFERROR(SUMIF(data!$E:$E,科目余额表!$B294,data!J:J),0)</f>
        <v>0</v>
      </c>
      <c r="O294" s="207">
        <f>IFERROR(SUMIF(data!$E:$E,科目余额表!$B294,data!K:K),0)</f>
        <v>0</v>
      </c>
      <c r="P294" s="207">
        <f>IFERROR(SUMIF(data!$E:$E,科目余额表!$B294,data!L:L),0)</f>
        <v>0</v>
      </c>
      <c r="Q294" s="207">
        <f>IFERROR(SUMIF(data!$E:$E,科目余额表!$B294,data!M:M),0)</f>
        <v>0</v>
      </c>
      <c r="R294" s="207">
        <f>IFERROR(SUMIF(data!$E:$E,科目余额表!$B294,data!N:N),0)</f>
        <v>0</v>
      </c>
      <c r="S294" s="207">
        <f>IFERROR(SUMIF(data!$E:$E,科目余额表!$B294,data!O:O),0)</f>
        <v>0</v>
      </c>
      <c r="T294" s="207">
        <f>IFERROR(SUMIF(data!$E:$E,科目余额表!$B294,data!P:P),0)</f>
        <v>0</v>
      </c>
      <c r="U294" s="207">
        <f>IFERROR(SUMIF(data!$E:$E,科目余额表!$B294,data!Q:Q),0)</f>
        <v>0</v>
      </c>
      <c r="V294" s="207">
        <f>IFERROR(SUMIF(data!$E:$E,科目余额表!$B294,data!R:R),0)</f>
        <v>0</v>
      </c>
      <c r="W294" s="207">
        <f>IFERROR(SUMIF(data!$E:$E,科目余额表!$B294,data!S:S),0)</f>
        <v>0</v>
      </c>
      <c r="X294" s="207"/>
      <c r="Y294" s="207"/>
      <c r="Z294" s="207"/>
      <c r="AA294" s="207"/>
      <c r="AB294" s="207"/>
      <c r="AC294" s="207"/>
      <c r="AD294" s="207"/>
      <c r="AE294" s="207"/>
      <c r="AF294" s="207"/>
    </row>
    <row r="295" spans="1:32" s="214" customFormat="1" ht="11.65" customHeight="1">
      <c r="A295" s="215"/>
      <c r="B295" s="220">
        <v>25113</v>
      </c>
      <c r="C295" s="205" t="s">
        <v>552</v>
      </c>
      <c r="D295" s="221">
        <v>0</v>
      </c>
      <c r="E295" s="221">
        <v>0</v>
      </c>
      <c r="F295" s="222">
        <f t="shared" si="4"/>
        <v>0</v>
      </c>
      <c r="G295" s="205" t="s">
        <v>538</v>
      </c>
      <c r="H295" s="219" t="s">
        <v>250</v>
      </c>
      <c r="J295" s="207" t="s">
        <v>538</v>
      </c>
      <c r="K295" s="207"/>
      <c r="L295" s="207">
        <f>IFERROR(SUMIF(data!$E:$E,科目余额表!$B295,data!H:H),0)</f>
        <v>0</v>
      </c>
      <c r="M295" s="207">
        <f>IFERROR(SUMIF(data!$E:$E,科目余额表!$B295,data!I:I),0)</f>
        <v>0</v>
      </c>
      <c r="N295" s="207">
        <f>IFERROR(SUMIF(data!$E:$E,科目余额表!$B295,data!J:J),0)</f>
        <v>0</v>
      </c>
      <c r="O295" s="207">
        <f>IFERROR(SUMIF(data!$E:$E,科目余额表!$B295,data!K:K),0)</f>
        <v>0</v>
      </c>
      <c r="P295" s="207">
        <f>IFERROR(SUMIF(data!$E:$E,科目余额表!$B295,data!L:L),0)</f>
        <v>0</v>
      </c>
      <c r="Q295" s="207">
        <f>IFERROR(SUMIF(data!$E:$E,科目余额表!$B295,data!M:M),0)</f>
        <v>0</v>
      </c>
      <c r="R295" s="207">
        <f>IFERROR(SUMIF(data!$E:$E,科目余额表!$B295,data!N:N),0)</f>
        <v>0</v>
      </c>
      <c r="S295" s="207">
        <f>IFERROR(SUMIF(data!$E:$E,科目余额表!$B295,data!O:O),0)</f>
        <v>0</v>
      </c>
      <c r="T295" s="207">
        <f>IFERROR(SUMIF(data!$E:$E,科目余额表!$B295,data!P:P),0)</f>
        <v>0</v>
      </c>
      <c r="U295" s="207">
        <f>IFERROR(SUMIF(data!$E:$E,科目余额表!$B295,data!Q:Q),0)</f>
        <v>0</v>
      </c>
      <c r="V295" s="207">
        <f>IFERROR(SUMIF(data!$E:$E,科目余额表!$B295,data!R:R),0)</f>
        <v>0</v>
      </c>
      <c r="W295" s="207">
        <f>IFERROR(SUMIF(data!$E:$E,科目余额表!$B295,data!S:S),0)</f>
        <v>0</v>
      </c>
      <c r="X295" s="207"/>
      <c r="Y295" s="207"/>
      <c r="Z295" s="207"/>
      <c r="AA295" s="207"/>
      <c r="AB295" s="207"/>
      <c r="AC295" s="207"/>
      <c r="AD295" s="207"/>
      <c r="AE295" s="207"/>
      <c r="AF295" s="207"/>
    </row>
    <row r="296" spans="1:32" s="214" customFormat="1" ht="11.65" customHeight="1">
      <c r="A296" s="215"/>
      <c r="B296" s="220">
        <v>25114</v>
      </c>
      <c r="C296" s="205" t="s">
        <v>553</v>
      </c>
      <c r="D296" s="221">
        <v>0</v>
      </c>
      <c r="E296" s="221">
        <v>0</v>
      </c>
      <c r="F296" s="222">
        <f t="shared" si="4"/>
        <v>0</v>
      </c>
      <c r="G296" s="205" t="s">
        <v>538</v>
      </c>
      <c r="H296" s="219" t="s">
        <v>250</v>
      </c>
      <c r="J296" s="207" t="s">
        <v>538</v>
      </c>
      <c r="K296" s="207"/>
      <c r="L296" s="207">
        <f>IFERROR(SUMIF(data!$E:$E,科目余额表!$B296,data!H:H),0)</f>
        <v>0</v>
      </c>
      <c r="M296" s="207">
        <f>IFERROR(SUMIF(data!$E:$E,科目余额表!$B296,data!I:I),0)</f>
        <v>0</v>
      </c>
      <c r="N296" s="207">
        <f>IFERROR(SUMIF(data!$E:$E,科目余额表!$B296,data!J:J),0)</f>
        <v>0</v>
      </c>
      <c r="O296" s="207">
        <f>IFERROR(SUMIF(data!$E:$E,科目余额表!$B296,data!K:K),0)</f>
        <v>0</v>
      </c>
      <c r="P296" s="207">
        <f>IFERROR(SUMIF(data!$E:$E,科目余额表!$B296,data!L:L),0)</f>
        <v>0</v>
      </c>
      <c r="Q296" s="207">
        <f>IFERROR(SUMIF(data!$E:$E,科目余额表!$B296,data!M:M),0)</f>
        <v>0</v>
      </c>
      <c r="R296" s="207">
        <f>IFERROR(SUMIF(data!$E:$E,科目余额表!$B296,data!N:N),0)</f>
        <v>0</v>
      </c>
      <c r="S296" s="207">
        <f>IFERROR(SUMIF(data!$E:$E,科目余额表!$B296,data!O:O),0)</f>
        <v>0</v>
      </c>
      <c r="T296" s="207">
        <f>IFERROR(SUMIF(data!$E:$E,科目余额表!$B296,data!P:P),0)</f>
        <v>0</v>
      </c>
      <c r="U296" s="207">
        <f>IFERROR(SUMIF(data!$E:$E,科目余额表!$B296,data!Q:Q),0)</f>
        <v>0</v>
      </c>
      <c r="V296" s="207">
        <f>IFERROR(SUMIF(data!$E:$E,科目余额表!$B296,data!R:R),0)</f>
        <v>0</v>
      </c>
      <c r="W296" s="207">
        <f>IFERROR(SUMIF(data!$E:$E,科目余额表!$B296,data!S:S),0)</f>
        <v>0</v>
      </c>
      <c r="X296" s="207"/>
      <c r="Y296" s="207"/>
      <c r="Z296" s="207"/>
      <c r="AA296" s="207"/>
      <c r="AB296" s="207"/>
      <c r="AC296" s="207"/>
      <c r="AD296" s="207"/>
      <c r="AE296" s="207"/>
      <c r="AF296" s="207"/>
    </row>
    <row r="297" spans="1:32" s="214" customFormat="1" ht="11.65" customHeight="1">
      <c r="A297" s="215"/>
      <c r="B297" s="220">
        <v>25115</v>
      </c>
      <c r="C297" s="205" t="s">
        <v>554</v>
      </c>
      <c r="D297" s="221">
        <v>0</v>
      </c>
      <c r="E297" s="221">
        <v>0</v>
      </c>
      <c r="F297" s="222">
        <f t="shared" si="4"/>
        <v>0</v>
      </c>
      <c r="G297" s="205" t="s">
        <v>538</v>
      </c>
      <c r="H297" s="219" t="s">
        <v>250</v>
      </c>
      <c r="J297" s="207" t="s">
        <v>538</v>
      </c>
      <c r="K297" s="207"/>
      <c r="L297" s="207">
        <f>IFERROR(SUMIF(data!$E:$E,科目余额表!$B297,data!H:H),0)</f>
        <v>0</v>
      </c>
      <c r="M297" s="207">
        <f>IFERROR(SUMIF(data!$E:$E,科目余额表!$B297,data!I:I),0)</f>
        <v>0</v>
      </c>
      <c r="N297" s="207">
        <f>IFERROR(SUMIF(data!$E:$E,科目余额表!$B297,data!J:J),0)</f>
        <v>0</v>
      </c>
      <c r="O297" s="207">
        <f>IFERROR(SUMIF(data!$E:$E,科目余额表!$B297,data!K:K),0)</f>
        <v>0</v>
      </c>
      <c r="P297" s="207">
        <f>IFERROR(SUMIF(data!$E:$E,科目余额表!$B297,data!L:L),0)</f>
        <v>0</v>
      </c>
      <c r="Q297" s="207">
        <f>IFERROR(SUMIF(data!$E:$E,科目余额表!$B297,data!M:M),0)</f>
        <v>0</v>
      </c>
      <c r="R297" s="207">
        <f>IFERROR(SUMIF(data!$E:$E,科目余额表!$B297,data!N:N),0)</f>
        <v>0</v>
      </c>
      <c r="S297" s="207">
        <f>IFERROR(SUMIF(data!$E:$E,科目余额表!$B297,data!O:O),0)</f>
        <v>0</v>
      </c>
      <c r="T297" s="207">
        <f>IFERROR(SUMIF(data!$E:$E,科目余额表!$B297,data!P:P),0)</f>
        <v>0</v>
      </c>
      <c r="U297" s="207">
        <f>IFERROR(SUMIF(data!$E:$E,科目余额表!$B297,data!Q:Q),0)</f>
        <v>0</v>
      </c>
      <c r="V297" s="207">
        <f>IFERROR(SUMIF(data!$E:$E,科目余额表!$B297,data!R:R),0)</f>
        <v>0</v>
      </c>
      <c r="W297" s="207">
        <f>IFERROR(SUMIF(data!$E:$E,科目余额表!$B297,data!S:S),0)</f>
        <v>0</v>
      </c>
      <c r="X297" s="207"/>
      <c r="Y297" s="207"/>
      <c r="Z297" s="207"/>
      <c r="AA297" s="207"/>
      <c r="AB297" s="207"/>
      <c r="AC297" s="207"/>
      <c r="AD297" s="207"/>
      <c r="AE297" s="207"/>
      <c r="AF297" s="207"/>
    </row>
    <row r="298" spans="1:32" s="214" customFormat="1" ht="11.65" customHeight="1">
      <c r="A298" s="215"/>
      <c r="B298" s="220">
        <v>25116</v>
      </c>
      <c r="C298" s="205" t="s">
        <v>555</v>
      </c>
      <c r="D298" s="221">
        <v>0</v>
      </c>
      <c r="E298" s="221">
        <v>0</v>
      </c>
      <c r="F298" s="222">
        <f t="shared" si="4"/>
        <v>0</v>
      </c>
      <c r="G298" s="205" t="s">
        <v>538</v>
      </c>
      <c r="H298" s="219" t="s">
        <v>250</v>
      </c>
      <c r="J298" s="207" t="s">
        <v>538</v>
      </c>
      <c r="K298" s="207"/>
      <c r="L298" s="207">
        <f>IFERROR(SUMIF(data!$E:$E,科目余额表!$B298,data!H:H),0)</f>
        <v>0</v>
      </c>
      <c r="M298" s="207">
        <f>IFERROR(SUMIF(data!$E:$E,科目余额表!$B298,data!I:I),0)</f>
        <v>0</v>
      </c>
      <c r="N298" s="207">
        <f>IFERROR(SUMIF(data!$E:$E,科目余额表!$B298,data!J:J),0)</f>
        <v>0</v>
      </c>
      <c r="O298" s="207">
        <f>IFERROR(SUMIF(data!$E:$E,科目余额表!$B298,data!K:K),0)</f>
        <v>0</v>
      </c>
      <c r="P298" s="207">
        <f>IFERROR(SUMIF(data!$E:$E,科目余额表!$B298,data!L:L),0)</f>
        <v>0</v>
      </c>
      <c r="Q298" s="207">
        <f>IFERROR(SUMIF(data!$E:$E,科目余额表!$B298,data!M:M),0)</f>
        <v>0</v>
      </c>
      <c r="R298" s="207">
        <f>IFERROR(SUMIF(data!$E:$E,科目余额表!$B298,data!N:N),0)</f>
        <v>0</v>
      </c>
      <c r="S298" s="207">
        <f>IFERROR(SUMIF(data!$E:$E,科目余额表!$B298,data!O:O),0)</f>
        <v>0</v>
      </c>
      <c r="T298" s="207">
        <f>IFERROR(SUMIF(data!$E:$E,科目余额表!$B298,data!P:P),0)</f>
        <v>0</v>
      </c>
      <c r="U298" s="207">
        <f>IFERROR(SUMIF(data!$E:$E,科目余额表!$B298,data!Q:Q),0)</f>
        <v>0</v>
      </c>
      <c r="V298" s="207">
        <f>IFERROR(SUMIF(data!$E:$E,科目余额表!$B298,data!R:R),0)</f>
        <v>0</v>
      </c>
      <c r="W298" s="207">
        <f>IFERROR(SUMIF(data!$E:$E,科目余额表!$B298,data!S:S),0)</f>
        <v>0</v>
      </c>
      <c r="X298" s="207"/>
      <c r="Y298" s="207"/>
      <c r="Z298" s="207"/>
      <c r="AA298" s="207"/>
      <c r="AB298" s="207"/>
      <c r="AC298" s="207"/>
      <c r="AD298" s="207"/>
      <c r="AE298" s="207"/>
      <c r="AF298" s="207"/>
    </row>
    <row r="299" spans="1:32" s="214" customFormat="1" ht="11.65" customHeight="1">
      <c r="A299" s="215"/>
      <c r="B299" s="220">
        <v>25117</v>
      </c>
      <c r="C299" s="205" t="s">
        <v>556</v>
      </c>
      <c r="D299" s="221">
        <v>0</v>
      </c>
      <c r="E299" s="221">
        <v>0</v>
      </c>
      <c r="F299" s="222">
        <f t="shared" si="4"/>
        <v>0</v>
      </c>
      <c r="G299" s="205" t="s">
        <v>538</v>
      </c>
      <c r="H299" s="219" t="s">
        <v>250</v>
      </c>
      <c r="J299" s="207" t="s">
        <v>538</v>
      </c>
      <c r="K299" s="207"/>
      <c r="L299" s="207">
        <f>IFERROR(SUMIF(data!$E:$E,科目余额表!$B299,data!H:H),0)</f>
        <v>0</v>
      </c>
      <c r="M299" s="207">
        <f>IFERROR(SUMIF(data!$E:$E,科目余额表!$B299,data!I:I),0)</f>
        <v>0</v>
      </c>
      <c r="N299" s="207">
        <f>IFERROR(SUMIF(data!$E:$E,科目余额表!$B299,data!J:J),0)</f>
        <v>0</v>
      </c>
      <c r="O299" s="207">
        <f>IFERROR(SUMIF(data!$E:$E,科目余额表!$B299,data!K:K),0)</f>
        <v>0</v>
      </c>
      <c r="P299" s="207">
        <f>IFERROR(SUMIF(data!$E:$E,科目余额表!$B299,data!L:L),0)</f>
        <v>0</v>
      </c>
      <c r="Q299" s="207">
        <f>IFERROR(SUMIF(data!$E:$E,科目余额表!$B299,data!M:M),0)</f>
        <v>0</v>
      </c>
      <c r="R299" s="207">
        <f>IFERROR(SUMIF(data!$E:$E,科目余额表!$B299,data!N:N),0)</f>
        <v>0</v>
      </c>
      <c r="S299" s="207">
        <f>IFERROR(SUMIF(data!$E:$E,科目余额表!$B299,data!O:O),0)</f>
        <v>0</v>
      </c>
      <c r="T299" s="207">
        <f>IFERROR(SUMIF(data!$E:$E,科目余额表!$B299,data!P:P),0)</f>
        <v>0</v>
      </c>
      <c r="U299" s="207">
        <f>IFERROR(SUMIF(data!$E:$E,科目余额表!$B299,data!Q:Q),0)</f>
        <v>0</v>
      </c>
      <c r="V299" s="207">
        <f>IFERROR(SUMIF(data!$E:$E,科目余额表!$B299,data!R:R),0)</f>
        <v>0</v>
      </c>
      <c r="W299" s="207">
        <f>IFERROR(SUMIF(data!$E:$E,科目余额表!$B299,data!S:S),0)</f>
        <v>0</v>
      </c>
      <c r="X299" s="207"/>
      <c r="Y299" s="207"/>
      <c r="Z299" s="207"/>
      <c r="AA299" s="207"/>
      <c r="AB299" s="207"/>
      <c r="AC299" s="207"/>
      <c r="AD299" s="207"/>
      <c r="AE299" s="207"/>
      <c r="AF299" s="207"/>
    </row>
    <row r="300" spans="1:32" s="214" customFormat="1" ht="11.65" customHeight="1">
      <c r="A300" s="215"/>
      <c r="B300" s="220">
        <v>25118</v>
      </c>
      <c r="C300" s="205" t="s">
        <v>557</v>
      </c>
      <c r="D300" s="221">
        <v>0</v>
      </c>
      <c r="E300" s="221">
        <v>0</v>
      </c>
      <c r="F300" s="222">
        <f t="shared" si="4"/>
        <v>0</v>
      </c>
      <c r="G300" s="205" t="s">
        <v>538</v>
      </c>
      <c r="H300" s="219" t="s">
        <v>250</v>
      </c>
      <c r="J300" s="207" t="s">
        <v>538</v>
      </c>
      <c r="K300" s="207"/>
      <c r="L300" s="207">
        <f>IFERROR(SUMIF(data!$E:$E,科目余额表!$B300,data!H:H),0)</f>
        <v>0</v>
      </c>
      <c r="M300" s="207">
        <f>IFERROR(SUMIF(data!$E:$E,科目余额表!$B300,data!I:I),0)</f>
        <v>0</v>
      </c>
      <c r="N300" s="207">
        <f>IFERROR(SUMIF(data!$E:$E,科目余额表!$B300,data!J:J),0)</f>
        <v>0</v>
      </c>
      <c r="O300" s="207">
        <f>IFERROR(SUMIF(data!$E:$E,科目余额表!$B300,data!K:K),0)</f>
        <v>0</v>
      </c>
      <c r="P300" s="207">
        <f>IFERROR(SUMIF(data!$E:$E,科目余额表!$B300,data!L:L),0)</f>
        <v>0</v>
      </c>
      <c r="Q300" s="207">
        <f>IFERROR(SUMIF(data!$E:$E,科目余额表!$B300,data!M:M),0)</f>
        <v>0</v>
      </c>
      <c r="R300" s="207">
        <f>IFERROR(SUMIF(data!$E:$E,科目余额表!$B300,data!N:N),0)</f>
        <v>0</v>
      </c>
      <c r="S300" s="207">
        <f>IFERROR(SUMIF(data!$E:$E,科目余额表!$B300,data!O:O),0)</f>
        <v>0</v>
      </c>
      <c r="T300" s="207">
        <f>IFERROR(SUMIF(data!$E:$E,科目余额表!$B300,data!P:P),0)</f>
        <v>0</v>
      </c>
      <c r="U300" s="207">
        <f>IFERROR(SUMIF(data!$E:$E,科目余额表!$B300,data!Q:Q),0)</f>
        <v>0</v>
      </c>
      <c r="V300" s="207">
        <f>IFERROR(SUMIF(data!$E:$E,科目余额表!$B300,data!R:R),0)</f>
        <v>0</v>
      </c>
      <c r="W300" s="207">
        <f>IFERROR(SUMIF(data!$E:$E,科目余额表!$B300,data!S:S),0)</f>
        <v>0</v>
      </c>
      <c r="X300" s="207"/>
      <c r="Y300" s="207"/>
      <c r="Z300" s="207"/>
      <c r="AA300" s="207"/>
      <c r="AB300" s="207"/>
      <c r="AC300" s="207"/>
      <c r="AD300" s="207"/>
      <c r="AE300" s="207"/>
      <c r="AF300" s="207"/>
    </row>
    <row r="301" spans="1:32" s="214" customFormat="1" ht="11.65" customHeight="1">
      <c r="A301" s="215"/>
      <c r="B301" s="220">
        <v>25119</v>
      </c>
      <c r="C301" s="205" t="s">
        <v>558</v>
      </c>
      <c r="D301" s="221">
        <v>0</v>
      </c>
      <c r="E301" s="221">
        <v>0</v>
      </c>
      <c r="F301" s="222">
        <f t="shared" si="4"/>
        <v>0</v>
      </c>
      <c r="G301" s="205" t="s">
        <v>538</v>
      </c>
      <c r="H301" s="219" t="s">
        <v>250</v>
      </c>
      <c r="J301" s="207" t="s">
        <v>538</v>
      </c>
      <c r="K301" s="207"/>
      <c r="L301" s="207">
        <f>IFERROR(SUMIF(data!$E:$E,科目余额表!$B301,data!H:H),0)</f>
        <v>0</v>
      </c>
      <c r="M301" s="207">
        <f>IFERROR(SUMIF(data!$E:$E,科目余额表!$B301,data!I:I),0)</f>
        <v>0</v>
      </c>
      <c r="N301" s="207">
        <f>IFERROR(SUMIF(data!$E:$E,科目余额表!$B301,data!J:J),0)</f>
        <v>0</v>
      </c>
      <c r="O301" s="207">
        <f>IFERROR(SUMIF(data!$E:$E,科目余额表!$B301,data!K:K),0)</f>
        <v>0</v>
      </c>
      <c r="P301" s="207">
        <f>IFERROR(SUMIF(data!$E:$E,科目余额表!$B301,data!L:L),0)</f>
        <v>0</v>
      </c>
      <c r="Q301" s="207">
        <f>IFERROR(SUMIF(data!$E:$E,科目余额表!$B301,data!M:M),0)</f>
        <v>0</v>
      </c>
      <c r="R301" s="207">
        <f>IFERROR(SUMIF(data!$E:$E,科目余额表!$B301,data!N:N),0)</f>
        <v>0</v>
      </c>
      <c r="S301" s="207">
        <f>IFERROR(SUMIF(data!$E:$E,科目余额表!$B301,data!O:O),0)</f>
        <v>0</v>
      </c>
      <c r="T301" s="207">
        <f>IFERROR(SUMIF(data!$E:$E,科目余额表!$B301,data!P:P),0)</f>
        <v>0</v>
      </c>
      <c r="U301" s="207">
        <f>IFERROR(SUMIF(data!$E:$E,科目余额表!$B301,data!Q:Q),0)</f>
        <v>0</v>
      </c>
      <c r="V301" s="207">
        <f>IFERROR(SUMIF(data!$E:$E,科目余额表!$B301,data!R:R),0)</f>
        <v>0</v>
      </c>
      <c r="W301" s="207">
        <f>IFERROR(SUMIF(data!$E:$E,科目余额表!$B301,data!S:S),0)</f>
        <v>0</v>
      </c>
      <c r="X301" s="207"/>
      <c r="Y301" s="207"/>
      <c r="Z301" s="207"/>
      <c r="AA301" s="207"/>
      <c r="AB301" s="207"/>
      <c r="AC301" s="207"/>
      <c r="AD301" s="207"/>
      <c r="AE301" s="207"/>
      <c r="AF301" s="207"/>
    </row>
    <row r="302" spans="1:32" s="214" customFormat="1" ht="11.65" customHeight="1">
      <c r="A302" s="215"/>
      <c r="B302" s="220">
        <v>26000</v>
      </c>
      <c r="C302" s="205" t="s">
        <v>559</v>
      </c>
      <c r="D302" s="221">
        <v>0</v>
      </c>
      <c r="E302" s="221">
        <v>0</v>
      </c>
      <c r="F302" s="222">
        <f t="shared" si="4"/>
        <v>0</v>
      </c>
      <c r="G302" s="205" t="s">
        <v>538</v>
      </c>
      <c r="H302" s="219" t="s">
        <v>250</v>
      </c>
      <c r="J302" s="207" t="s">
        <v>538</v>
      </c>
      <c r="K302" s="207"/>
      <c r="L302" s="207">
        <f>IFERROR(SUMIF(data!$E:$E,科目余额表!$B302,data!H:H),0)</f>
        <v>0</v>
      </c>
      <c r="M302" s="207">
        <f>IFERROR(SUMIF(data!$E:$E,科目余额表!$B302,data!I:I),0)</f>
        <v>0</v>
      </c>
      <c r="N302" s="207">
        <f>IFERROR(SUMIF(data!$E:$E,科目余额表!$B302,data!J:J),0)</f>
        <v>0</v>
      </c>
      <c r="O302" s="207">
        <f>IFERROR(SUMIF(data!$E:$E,科目余额表!$B302,data!K:K),0)</f>
        <v>0</v>
      </c>
      <c r="P302" s="207">
        <f>IFERROR(SUMIF(data!$E:$E,科目余额表!$B302,data!L:L),0)</f>
        <v>0</v>
      </c>
      <c r="Q302" s="207">
        <f>IFERROR(SUMIF(data!$E:$E,科目余额表!$B302,data!M:M),0)</f>
        <v>0</v>
      </c>
      <c r="R302" s="207">
        <f>IFERROR(SUMIF(data!$E:$E,科目余额表!$B302,data!N:N),0)</f>
        <v>0</v>
      </c>
      <c r="S302" s="207">
        <f>IFERROR(SUMIF(data!$E:$E,科目余额表!$B302,data!O:O),0)</f>
        <v>0</v>
      </c>
      <c r="T302" s="207">
        <f>IFERROR(SUMIF(data!$E:$E,科目余额表!$B302,data!P:P),0)</f>
        <v>0</v>
      </c>
      <c r="U302" s="207">
        <f>IFERROR(SUMIF(data!$E:$E,科目余额表!$B302,data!Q:Q),0)</f>
        <v>0</v>
      </c>
      <c r="V302" s="207">
        <f>IFERROR(SUMIF(data!$E:$E,科目余额表!$B302,data!R:R),0)</f>
        <v>0</v>
      </c>
      <c r="W302" s="207">
        <f>IFERROR(SUMIF(data!$E:$E,科目余额表!$B302,data!S:S),0)</f>
        <v>0</v>
      </c>
      <c r="X302" s="207"/>
      <c r="Y302" s="207"/>
      <c r="Z302" s="207"/>
      <c r="AA302" s="207"/>
      <c r="AB302" s="207"/>
      <c r="AC302" s="207"/>
      <c r="AD302" s="207"/>
      <c r="AE302" s="207"/>
      <c r="AF302" s="207"/>
    </row>
    <row r="303" spans="1:32" s="214" customFormat="1" ht="11.65" customHeight="1">
      <c r="A303" s="215"/>
      <c r="B303" s="220">
        <v>26001</v>
      </c>
      <c r="C303" s="205" t="s">
        <v>560</v>
      </c>
      <c r="D303" s="221">
        <v>0</v>
      </c>
      <c r="E303" s="221">
        <v>0</v>
      </c>
      <c r="F303" s="222">
        <f t="shared" si="4"/>
        <v>0</v>
      </c>
      <c r="G303" s="205" t="s">
        <v>538</v>
      </c>
      <c r="H303" s="219" t="s">
        <v>250</v>
      </c>
      <c r="J303" s="207" t="s">
        <v>538</v>
      </c>
      <c r="K303" s="207"/>
      <c r="L303" s="207">
        <f>IFERROR(SUMIF(data!$E:$E,科目余额表!$B303,data!H:H),0)</f>
        <v>0</v>
      </c>
      <c r="M303" s="207">
        <f>IFERROR(SUMIF(data!$E:$E,科目余额表!$B303,data!I:I),0)</f>
        <v>0</v>
      </c>
      <c r="N303" s="207">
        <f>IFERROR(SUMIF(data!$E:$E,科目余额表!$B303,data!J:J),0)</f>
        <v>0</v>
      </c>
      <c r="O303" s="207">
        <f>IFERROR(SUMIF(data!$E:$E,科目余额表!$B303,data!K:K),0)</f>
        <v>0</v>
      </c>
      <c r="P303" s="207">
        <f>IFERROR(SUMIF(data!$E:$E,科目余额表!$B303,data!L:L),0)</f>
        <v>0</v>
      </c>
      <c r="Q303" s="207">
        <f>IFERROR(SUMIF(data!$E:$E,科目余额表!$B303,data!M:M),0)</f>
        <v>0</v>
      </c>
      <c r="R303" s="207">
        <f>IFERROR(SUMIF(data!$E:$E,科目余额表!$B303,data!N:N),0)</f>
        <v>0</v>
      </c>
      <c r="S303" s="207">
        <f>IFERROR(SUMIF(data!$E:$E,科目余额表!$B303,data!O:O),0)</f>
        <v>0</v>
      </c>
      <c r="T303" s="207">
        <f>IFERROR(SUMIF(data!$E:$E,科目余额表!$B303,data!P:P),0)</f>
        <v>0</v>
      </c>
      <c r="U303" s="207">
        <f>IFERROR(SUMIF(data!$E:$E,科目余额表!$B303,data!Q:Q),0)</f>
        <v>0</v>
      </c>
      <c r="V303" s="207">
        <f>IFERROR(SUMIF(data!$E:$E,科目余额表!$B303,data!R:R),0)</f>
        <v>0</v>
      </c>
      <c r="W303" s="207">
        <f>IFERROR(SUMIF(data!$E:$E,科目余额表!$B303,data!S:S),0)</f>
        <v>0</v>
      </c>
      <c r="X303" s="207"/>
      <c r="Y303" s="207"/>
      <c r="Z303" s="207"/>
      <c r="AA303" s="207"/>
      <c r="AB303" s="207"/>
      <c r="AC303" s="207"/>
      <c r="AD303" s="207"/>
      <c r="AE303" s="207"/>
      <c r="AF303" s="207"/>
    </row>
    <row r="304" spans="1:32" s="214" customFormat="1" ht="11.65" customHeight="1">
      <c r="A304" s="215"/>
      <c r="B304" s="220">
        <v>26002</v>
      </c>
      <c r="C304" s="205" t="s">
        <v>561</v>
      </c>
      <c r="D304" s="221">
        <v>0</v>
      </c>
      <c r="E304" s="221">
        <v>0</v>
      </c>
      <c r="F304" s="222">
        <f t="shared" si="4"/>
        <v>0</v>
      </c>
      <c r="G304" s="205" t="s">
        <v>538</v>
      </c>
      <c r="H304" s="219" t="s">
        <v>250</v>
      </c>
      <c r="J304" s="207" t="s">
        <v>538</v>
      </c>
      <c r="K304" s="207"/>
      <c r="L304" s="207">
        <f>IFERROR(SUMIF(data!$E:$E,科目余额表!$B304,data!H:H),0)</f>
        <v>0</v>
      </c>
      <c r="M304" s="207">
        <f>IFERROR(SUMIF(data!$E:$E,科目余额表!$B304,data!I:I),0)</f>
        <v>0</v>
      </c>
      <c r="N304" s="207">
        <f>IFERROR(SUMIF(data!$E:$E,科目余额表!$B304,data!J:J),0)</f>
        <v>0</v>
      </c>
      <c r="O304" s="207">
        <f>IFERROR(SUMIF(data!$E:$E,科目余额表!$B304,data!K:K),0)</f>
        <v>0</v>
      </c>
      <c r="P304" s="207">
        <f>IFERROR(SUMIF(data!$E:$E,科目余额表!$B304,data!L:L),0)</f>
        <v>0</v>
      </c>
      <c r="Q304" s="207">
        <f>IFERROR(SUMIF(data!$E:$E,科目余额表!$B304,data!M:M),0)</f>
        <v>0</v>
      </c>
      <c r="R304" s="207">
        <f>IFERROR(SUMIF(data!$E:$E,科目余额表!$B304,data!N:N),0)</f>
        <v>0</v>
      </c>
      <c r="S304" s="207">
        <f>IFERROR(SUMIF(data!$E:$E,科目余额表!$B304,data!O:O),0)</f>
        <v>0</v>
      </c>
      <c r="T304" s="207">
        <f>IFERROR(SUMIF(data!$E:$E,科目余额表!$B304,data!P:P),0)</f>
        <v>0</v>
      </c>
      <c r="U304" s="207">
        <f>IFERROR(SUMIF(data!$E:$E,科目余额表!$B304,data!Q:Q),0)</f>
        <v>0</v>
      </c>
      <c r="V304" s="207">
        <f>IFERROR(SUMIF(data!$E:$E,科目余额表!$B304,data!R:R),0)</f>
        <v>0</v>
      </c>
      <c r="W304" s="207">
        <f>IFERROR(SUMIF(data!$E:$E,科目余额表!$B304,data!S:S),0)</f>
        <v>0</v>
      </c>
      <c r="X304" s="207"/>
      <c r="Y304" s="207"/>
      <c r="Z304" s="207"/>
      <c r="AA304" s="207"/>
      <c r="AB304" s="207"/>
      <c r="AC304" s="207"/>
      <c r="AD304" s="207"/>
      <c r="AE304" s="207"/>
      <c r="AF304" s="207"/>
    </row>
    <row r="305" spans="1:32" s="214" customFormat="1" ht="11.65" customHeight="1">
      <c r="A305" s="215"/>
      <c r="B305" s="220">
        <v>26003</v>
      </c>
      <c r="C305" s="205" t="s">
        <v>562</v>
      </c>
      <c r="D305" s="221">
        <v>0</v>
      </c>
      <c r="E305" s="221">
        <v>0</v>
      </c>
      <c r="F305" s="222">
        <f t="shared" si="4"/>
        <v>0</v>
      </c>
      <c r="G305" s="205" t="s">
        <v>538</v>
      </c>
      <c r="H305" s="219" t="s">
        <v>250</v>
      </c>
      <c r="J305" s="207" t="s">
        <v>538</v>
      </c>
      <c r="K305" s="207"/>
      <c r="L305" s="207">
        <f>IFERROR(SUMIF(data!$E:$E,科目余额表!$B305,data!H:H),0)</f>
        <v>0</v>
      </c>
      <c r="M305" s="207">
        <f>IFERROR(SUMIF(data!$E:$E,科目余额表!$B305,data!I:I),0)</f>
        <v>0</v>
      </c>
      <c r="N305" s="207">
        <f>IFERROR(SUMIF(data!$E:$E,科目余额表!$B305,data!J:J),0)</f>
        <v>0</v>
      </c>
      <c r="O305" s="207">
        <f>IFERROR(SUMIF(data!$E:$E,科目余额表!$B305,data!K:K),0)</f>
        <v>0</v>
      </c>
      <c r="P305" s="207">
        <f>IFERROR(SUMIF(data!$E:$E,科目余额表!$B305,data!L:L),0)</f>
        <v>0</v>
      </c>
      <c r="Q305" s="207">
        <f>IFERROR(SUMIF(data!$E:$E,科目余额表!$B305,data!M:M),0)</f>
        <v>0</v>
      </c>
      <c r="R305" s="207">
        <f>IFERROR(SUMIF(data!$E:$E,科目余额表!$B305,data!N:N),0)</f>
        <v>0</v>
      </c>
      <c r="S305" s="207">
        <f>IFERROR(SUMIF(data!$E:$E,科目余额表!$B305,data!O:O),0)</f>
        <v>0</v>
      </c>
      <c r="T305" s="207">
        <f>IFERROR(SUMIF(data!$E:$E,科目余额表!$B305,data!P:P),0)</f>
        <v>0</v>
      </c>
      <c r="U305" s="207">
        <f>IFERROR(SUMIF(data!$E:$E,科目余额表!$B305,data!Q:Q),0)</f>
        <v>0</v>
      </c>
      <c r="V305" s="207">
        <f>IFERROR(SUMIF(data!$E:$E,科目余额表!$B305,data!R:R),0)</f>
        <v>0</v>
      </c>
      <c r="W305" s="207">
        <f>IFERROR(SUMIF(data!$E:$E,科目余额表!$B305,data!S:S),0)</f>
        <v>0</v>
      </c>
      <c r="X305" s="207"/>
      <c r="Y305" s="207"/>
      <c r="Z305" s="207"/>
      <c r="AA305" s="207"/>
      <c r="AB305" s="207"/>
      <c r="AC305" s="207"/>
      <c r="AD305" s="207"/>
      <c r="AE305" s="207"/>
      <c r="AF305" s="207"/>
    </row>
    <row r="306" spans="1:32" s="214" customFormat="1" ht="11.65" customHeight="1">
      <c r="A306" s="215"/>
      <c r="B306" s="220">
        <v>26004</v>
      </c>
      <c r="C306" s="205" t="s">
        <v>563</v>
      </c>
      <c r="D306" s="221">
        <v>0</v>
      </c>
      <c r="E306" s="221">
        <v>0</v>
      </c>
      <c r="F306" s="222">
        <f t="shared" si="4"/>
        <v>0</v>
      </c>
      <c r="G306" s="205" t="s">
        <v>538</v>
      </c>
      <c r="H306" s="219" t="s">
        <v>250</v>
      </c>
      <c r="J306" s="207" t="s">
        <v>538</v>
      </c>
      <c r="K306" s="207"/>
      <c r="L306" s="207">
        <f>IFERROR(SUMIF(data!$E:$E,科目余额表!$B306,data!H:H),0)</f>
        <v>0</v>
      </c>
      <c r="M306" s="207">
        <f>IFERROR(SUMIF(data!$E:$E,科目余额表!$B306,data!I:I),0)</f>
        <v>0</v>
      </c>
      <c r="N306" s="207">
        <f>IFERROR(SUMIF(data!$E:$E,科目余额表!$B306,data!J:J),0)</f>
        <v>0</v>
      </c>
      <c r="O306" s="207">
        <f>IFERROR(SUMIF(data!$E:$E,科目余额表!$B306,data!K:K),0)</f>
        <v>0</v>
      </c>
      <c r="P306" s="207">
        <f>IFERROR(SUMIF(data!$E:$E,科目余额表!$B306,data!L:L),0)</f>
        <v>0</v>
      </c>
      <c r="Q306" s="207">
        <f>IFERROR(SUMIF(data!$E:$E,科目余额表!$B306,data!M:M),0)</f>
        <v>0</v>
      </c>
      <c r="R306" s="207">
        <f>IFERROR(SUMIF(data!$E:$E,科目余额表!$B306,data!N:N),0)</f>
        <v>0</v>
      </c>
      <c r="S306" s="207">
        <f>IFERROR(SUMIF(data!$E:$E,科目余额表!$B306,data!O:O),0)</f>
        <v>0</v>
      </c>
      <c r="T306" s="207">
        <f>IFERROR(SUMIF(data!$E:$E,科目余额表!$B306,data!P:P),0)</f>
        <v>0</v>
      </c>
      <c r="U306" s="207">
        <f>IFERROR(SUMIF(data!$E:$E,科目余额表!$B306,data!Q:Q),0)</f>
        <v>0</v>
      </c>
      <c r="V306" s="207">
        <f>IFERROR(SUMIF(data!$E:$E,科目余额表!$B306,data!R:R),0)</f>
        <v>0</v>
      </c>
      <c r="W306" s="207">
        <f>IFERROR(SUMIF(data!$E:$E,科目余额表!$B306,data!S:S),0)</f>
        <v>0</v>
      </c>
      <c r="X306" s="207"/>
      <c r="Y306" s="207"/>
      <c r="Z306" s="207"/>
      <c r="AA306" s="207"/>
      <c r="AB306" s="207"/>
      <c r="AC306" s="207"/>
      <c r="AD306" s="207"/>
      <c r="AE306" s="207"/>
      <c r="AF306" s="207"/>
    </row>
    <row r="307" spans="1:32" s="214" customFormat="1" ht="11.65" customHeight="1">
      <c r="A307" s="215"/>
      <c r="B307" s="220">
        <v>26005</v>
      </c>
      <c r="C307" s="205" t="s">
        <v>564</v>
      </c>
      <c r="D307" s="221">
        <v>0</v>
      </c>
      <c r="E307" s="221">
        <v>0</v>
      </c>
      <c r="F307" s="222">
        <f t="shared" si="4"/>
        <v>0</v>
      </c>
      <c r="G307" s="205" t="s">
        <v>538</v>
      </c>
      <c r="H307" s="219" t="s">
        <v>250</v>
      </c>
      <c r="J307" s="207" t="s">
        <v>538</v>
      </c>
      <c r="K307" s="207"/>
      <c r="L307" s="207">
        <f>IFERROR(SUMIF(data!$E:$E,科目余额表!$B307,data!H:H),0)</f>
        <v>0</v>
      </c>
      <c r="M307" s="207">
        <f>IFERROR(SUMIF(data!$E:$E,科目余额表!$B307,data!I:I),0)</f>
        <v>0</v>
      </c>
      <c r="N307" s="207">
        <f>IFERROR(SUMIF(data!$E:$E,科目余额表!$B307,data!J:J),0)</f>
        <v>0</v>
      </c>
      <c r="O307" s="207">
        <f>IFERROR(SUMIF(data!$E:$E,科目余额表!$B307,data!K:K),0)</f>
        <v>0</v>
      </c>
      <c r="P307" s="207">
        <f>IFERROR(SUMIF(data!$E:$E,科目余额表!$B307,data!L:L),0)</f>
        <v>0</v>
      </c>
      <c r="Q307" s="207">
        <f>IFERROR(SUMIF(data!$E:$E,科目余额表!$B307,data!M:M),0)</f>
        <v>0</v>
      </c>
      <c r="R307" s="207">
        <f>IFERROR(SUMIF(data!$E:$E,科目余额表!$B307,data!N:N),0)</f>
        <v>0</v>
      </c>
      <c r="S307" s="207">
        <f>IFERROR(SUMIF(data!$E:$E,科目余额表!$B307,data!O:O),0)</f>
        <v>0</v>
      </c>
      <c r="T307" s="207">
        <f>IFERROR(SUMIF(data!$E:$E,科目余额表!$B307,data!P:P),0)</f>
        <v>0</v>
      </c>
      <c r="U307" s="207">
        <f>IFERROR(SUMIF(data!$E:$E,科目余额表!$B307,data!Q:Q),0)</f>
        <v>0</v>
      </c>
      <c r="V307" s="207">
        <f>IFERROR(SUMIF(data!$E:$E,科目余额表!$B307,data!R:R),0)</f>
        <v>0</v>
      </c>
      <c r="W307" s="207">
        <f>IFERROR(SUMIF(data!$E:$E,科目余额表!$B307,data!S:S),0)</f>
        <v>0</v>
      </c>
      <c r="X307" s="207"/>
      <c r="Y307" s="207"/>
      <c r="Z307" s="207"/>
      <c r="AA307" s="207"/>
      <c r="AB307" s="207"/>
      <c r="AC307" s="207"/>
      <c r="AD307" s="207"/>
      <c r="AE307" s="207"/>
      <c r="AF307" s="207"/>
    </row>
    <row r="308" spans="1:32" s="214" customFormat="1" ht="11.65" customHeight="1">
      <c r="A308" s="215"/>
      <c r="B308" s="220">
        <v>27000</v>
      </c>
      <c r="C308" s="205" t="s">
        <v>565</v>
      </c>
      <c r="D308" s="221">
        <v>-13842.9</v>
      </c>
      <c r="E308" s="221">
        <v>-13358.199999999999</v>
      </c>
      <c r="F308" s="222">
        <f t="shared" si="4"/>
        <v>-27201.1</v>
      </c>
      <c r="G308" s="205" t="s">
        <v>566</v>
      </c>
      <c r="H308" s="219" t="s">
        <v>250</v>
      </c>
      <c r="J308" s="207" t="s">
        <v>567</v>
      </c>
      <c r="K308" s="207"/>
      <c r="L308" s="207">
        <f>IFERROR(SUMIF(data!$E:$E,科目余额表!$B308,data!H:H),0)</f>
        <v>-4425.53</v>
      </c>
      <c r="M308" s="207">
        <f>IFERROR(SUMIF(data!$E:$E,科目余额表!$B308,data!I:I),0)</f>
        <v>-3995.57</v>
      </c>
      <c r="N308" s="207">
        <f>IFERROR(SUMIF(data!$E:$E,科目余额表!$B308,data!J:J),0)</f>
        <v>-5767.01</v>
      </c>
      <c r="O308" s="207">
        <f>IFERROR(SUMIF(data!$E:$E,科目余额表!$B308,data!K:K),0)</f>
        <v>-7169.95</v>
      </c>
      <c r="P308" s="207">
        <f>IFERROR(SUMIF(data!$E:$E,科目余额表!$B308,data!L:L),0)</f>
        <v>-9404.35</v>
      </c>
      <c r="Q308" s="207">
        <f>IFERROR(SUMIF(data!$E:$E,科目余额表!$B308,data!M:M),0)</f>
        <v>-10861.39</v>
      </c>
      <c r="R308" s="207">
        <f>IFERROR(SUMIF(data!$E:$E,科目余额表!$B308,data!N:N),0)</f>
        <v>-11532.18</v>
      </c>
      <c r="S308" s="207">
        <f>IFERROR(SUMIF(data!$E:$E,科目余额表!$B308,data!O:O),0)</f>
        <v>-11375.01</v>
      </c>
      <c r="T308" s="207">
        <f>IFERROR(SUMIF(data!$E:$E,科目余额表!$B308,data!P:P),0)</f>
        <v>-15244.72</v>
      </c>
      <c r="U308" s="207">
        <f>IFERROR(SUMIF(data!$E:$E,科目余额表!$B308,data!Q:Q),0)</f>
        <v>-13676.32</v>
      </c>
      <c r="V308" s="207">
        <f>IFERROR(SUMIF(data!$E:$E,科目余额表!$B308,data!R:R),0)</f>
        <v>-13842.9</v>
      </c>
      <c r="W308" s="207">
        <f>IFERROR(SUMIF(data!$E:$E,科目余额表!$B308,data!S:S),0)</f>
        <v>-27201.1</v>
      </c>
      <c r="X308" s="207"/>
      <c r="Y308" s="207"/>
      <c r="Z308" s="207"/>
      <c r="AA308" s="207"/>
      <c r="AB308" s="207"/>
      <c r="AC308" s="207"/>
      <c r="AD308" s="207"/>
      <c r="AE308" s="207"/>
      <c r="AF308" s="207"/>
    </row>
    <row r="309" spans="1:32" s="214" customFormat="1" ht="11.65" customHeight="1">
      <c r="A309" s="215"/>
      <c r="B309" s="220">
        <v>27100</v>
      </c>
      <c r="C309" s="205" t="s">
        <v>568</v>
      </c>
      <c r="D309" s="221">
        <v>0</v>
      </c>
      <c r="E309" s="221">
        <v>0</v>
      </c>
      <c r="F309" s="222">
        <f t="shared" si="4"/>
        <v>0</v>
      </c>
      <c r="G309" s="205" t="s">
        <v>568</v>
      </c>
      <c r="H309" s="219" t="s">
        <v>250</v>
      </c>
      <c r="J309" s="207" t="s">
        <v>567</v>
      </c>
      <c r="K309" s="207"/>
      <c r="L309" s="207">
        <f>IFERROR(SUMIF(data!$E:$E,科目余额表!$B309,data!H:H),0)</f>
        <v>0</v>
      </c>
      <c r="M309" s="207">
        <f>IFERROR(SUMIF(data!$E:$E,科目余额表!$B309,data!I:I),0)</f>
        <v>0</v>
      </c>
      <c r="N309" s="207">
        <f>IFERROR(SUMIF(data!$E:$E,科目余额表!$B309,data!J:J),0)</f>
        <v>0</v>
      </c>
      <c r="O309" s="207">
        <f>IFERROR(SUMIF(data!$E:$E,科目余额表!$B309,data!K:K),0)</f>
        <v>0</v>
      </c>
      <c r="P309" s="207">
        <f>IFERROR(SUMIF(data!$E:$E,科目余额表!$B309,data!L:L),0)</f>
        <v>0</v>
      </c>
      <c r="Q309" s="207">
        <f>IFERROR(SUMIF(data!$E:$E,科目余额表!$B309,data!M:M),0)</f>
        <v>0</v>
      </c>
      <c r="R309" s="207">
        <f>IFERROR(SUMIF(data!$E:$E,科目余额表!$B309,data!N:N),0)</f>
        <v>0</v>
      </c>
      <c r="S309" s="207">
        <f>IFERROR(SUMIF(data!$E:$E,科目余额表!$B309,data!O:O),0)</f>
        <v>0</v>
      </c>
      <c r="T309" s="207">
        <f>IFERROR(SUMIF(data!$E:$E,科目余额表!$B309,data!P:P),0)</f>
        <v>0</v>
      </c>
      <c r="U309" s="207">
        <f>IFERROR(SUMIF(data!$E:$E,科目余额表!$B309,data!Q:Q),0)</f>
        <v>0</v>
      </c>
      <c r="V309" s="207">
        <f>IFERROR(SUMIF(data!$E:$E,科目余额表!$B309,data!R:R),0)</f>
        <v>0</v>
      </c>
      <c r="W309" s="207">
        <f>IFERROR(SUMIF(data!$E:$E,科目余额表!$B309,data!S:S),0)</f>
        <v>0</v>
      </c>
      <c r="X309" s="207"/>
      <c r="Y309" s="207"/>
      <c r="Z309" s="207"/>
      <c r="AA309" s="207"/>
      <c r="AB309" s="207"/>
      <c r="AC309" s="207"/>
      <c r="AD309" s="207"/>
      <c r="AE309" s="207"/>
      <c r="AF309" s="207"/>
    </row>
    <row r="310" spans="1:32" s="214" customFormat="1" ht="11.65" customHeight="1">
      <c r="A310" s="215"/>
      <c r="B310" s="220">
        <v>27200</v>
      </c>
      <c r="C310" s="205" t="s">
        <v>569</v>
      </c>
      <c r="D310" s="221">
        <v>-31043943.579999998</v>
      </c>
      <c r="E310" s="221">
        <v>-1238058.7800000012</v>
      </c>
      <c r="F310" s="222">
        <f t="shared" si="4"/>
        <v>-32282002.359999999</v>
      </c>
      <c r="G310" s="205" t="s">
        <v>566</v>
      </c>
      <c r="H310" s="219" t="s">
        <v>250</v>
      </c>
      <c r="J310" s="207" t="s">
        <v>567</v>
      </c>
      <c r="K310" s="207"/>
      <c r="L310" s="207">
        <f>IFERROR(SUMIF(data!$E:$E,科目余额表!$B310,data!H:H),0)</f>
        <v>-24978764.48</v>
      </c>
      <c r="M310" s="207">
        <f>IFERROR(SUMIF(data!$E:$E,科目余额表!$B310,data!I:I),0)</f>
        <v>-25552010.809999999</v>
      </c>
      <c r="N310" s="207">
        <f>IFERROR(SUMIF(data!$E:$E,科目余额表!$B310,data!J:J),0)</f>
        <v>-26487755.640000001</v>
      </c>
      <c r="O310" s="207">
        <f>IFERROR(SUMIF(data!$E:$E,科目余额表!$B310,data!K:K),0)</f>
        <v>-27119930.920000002</v>
      </c>
      <c r="P310" s="207">
        <f>IFERROR(SUMIF(data!$E:$E,科目余额表!$B310,data!L:L),0)</f>
        <v>-27322055.699999999</v>
      </c>
      <c r="Q310" s="207">
        <f>IFERROR(SUMIF(data!$E:$E,科目余额表!$B310,data!M:M),0)</f>
        <v>-28169069.850000001</v>
      </c>
      <c r="R310" s="207">
        <f>IFERROR(SUMIF(data!$E:$E,科目余额表!$B310,data!N:N),0)</f>
        <v>-28735435.41</v>
      </c>
      <c r="S310" s="207">
        <f>IFERROR(SUMIF(data!$E:$E,科目余额表!$B310,data!O:O),0)</f>
        <v>-29339421.329999998</v>
      </c>
      <c r="T310" s="207">
        <f>IFERROR(SUMIF(data!$E:$E,科目余额表!$B310,data!P:P),0)</f>
        <v>-29999008.649999999</v>
      </c>
      <c r="U310" s="207">
        <f>IFERROR(SUMIF(data!$E:$E,科目余额表!$B310,data!Q:Q),0)</f>
        <v>-30907928.239999998</v>
      </c>
      <c r="V310" s="207">
        <f>IFERROR(SUMIF(data!$E:$E,科目余额表!$B310,data!R:R),0)</f>
        <v>-31043943.579999998</v>
      </c>
      <c r="W310" s="207">
        <f>IFERROR(SUMIF(data!$E:$E,科目余额表!$B310,data!S:S),0)</f>
        <v>-32282002.359999999</v>
      </c>
      <c r="X310" s="207"/>
      <c r="Y310" s="207"/>
      <c r="Z310" s="207"/>
      <c r="AA310" s="207"/>
      <c r="AB310" s="207"/>
      <c r="AC310" s="207"/>
      <c r="AD310" s="207"/>
      <c r="AE310" s="207"/>
      <c r="AF310" s="207"/>
    </row>
    <row r="311" spans="1:32" s="214" customFormat="1" ht="11.65" customHeight="1">
      <c r="A311" s="215"/>
      <c r="B311" s="220">
        <v>27201</v>
      </c>
      <c r="C311" s="205" t="s">
        <v>570</v>
      </c>
      <c r="D311" s="221">
        <v>0</v>
      </c>
      <c r="E311" s="221">
        <v>0</v>
      </c>
      <c r="F311" s="222">
        <f t="shared" si="4"/>
        <v>0</v>
      </c>
      <c r="G311" s="205" t="s">
        <v>566</v>
      </c>
      <c r="H311" s="219" t="s">
        <v>250</v>
      </c>
      <c r="J311" s="207" t="s">
        <v>567</v>
      </c>
      <c r="K311" s="207"/>
      <c r="L311" s="207">
        <f>IFERROR(SUMIF(data!$E:$E,科目余额表!$B311,data!H:H),0)</f>
        <v>0</v>
      </c>
      <c r="M311" s="207">
        <f>IFERROR(SUMIF(data!$E:$E,科目余额表!$B311,data!I:I),0)</f>
        <v>0</v>
      </c>
      <c r="N311" s="207">
        <f>IFERROR(SUMIF(data!$E:$E,科目余额表!$B311,data!J:J),0)</f>
        <v>0</v>
      </c>
      <c r="O311" s="207">
        <f>IFERROR(SUMIF(data!$E:$E,科目余额表!$B311,data!K:K),0)</f>
        <v>0</v>
      </c>
      <c r="P311" s="207">
        <f>IFERROR(SUMIF(data!$E:$E,科目余额表!$B311,data!L:L),0)</f>
        <v>0</v>
      </c>
      <c r="Q311" s="207">
        <f>IFERROR(SUMIF(data!$E:$E,科目余额表!$B311,data!M:M),0)</f>
        <v>0</v>
      </c>
      <c r="R311" s="207">
        <f>IFERROR(SUMIF(data!$E:$E,科目余额表!$B311,data!N:N),0)</f>
        <v>0</v>
      </c>
      <c r="S311" s="207">
        <f>IFERROR(SUMIF(data!$E:$E,科目余额表!$B311,data!O:O),0)</f>
        <v>0</v>
      </c>
      <c r="T311" s="207">
        <f>IFERROR(SUMIF(data!$E:$E,科目余额表!$B311,data!P:P),0)</f>
        <v>0</v>
      </c>
      <c r="U311" s="207">
        <f>IFERROR(SUMIF(data!$E:$E,科目余额表!$B311,data!Q:Q),0)</f>
        <v>0</v>
      </c>
      <c r="V311" s="207">
        <f>IFERROR(SUMIF(data!$E:$E,科目余额表!$B311,data!R:R),0)</f>
        <v>0</v>
      </c>
      <c r="W311" s="207">
        <f>IFERROR(SUMIF(data!$E:$E,科目余额表!$B311,data!S:S),0)</f>
        <v>0</v>
      </c>
      <c r="X311" s="207"/>
      <c r="Y311" s="207"/>
      <c r="Z311" s="207"/>
      <c r="AA311" s="207"/>
      <c r="AB311" s="207"/>
      <c r="AC311" s="207"/>
      <c r="AD311" s="207"/>
      <c r="AE311" s="207"/>
      <c r="AF311" s="207"/>
    </row>
    <row r="312" spans="1:32" s="214" customFormat="1" ht="11.65" customHeight="1">
      <c r="A312" s="215"/>
      <c r="B312" s="220">
        <v>27202</v>
      </c>
      <c r="C312" s="205" t="s">
        <v>571</v>
      </c>
      <c r="D312" s="221">
        <v>36913009.710000001</v>
      </c>
      <c r="E312" s="221">
        <v>956196.68999999762</v>
      </c>
      <c r="F312" s="222">
        <f t="shared" si="4"/>
        <v>37869206.399999999</v>
      </c>
      <c r="G312" s="205" t="s">
        <v>566</v>
      </c>
      <c r="H312" s="219" t="s">
        <v>250</v>
      </c>
      <c r="J312" s="207" t="s">
        <v>567</v>
      </c>
      <c r="K312" s="207"/>
      <c r="L312" s="207">
        <f>IFERROR(SUMIF(data!$E:$E,科目余额表!$B312,data!H:H),0)</f>
        <v>28811224.84</v>
      </c>
      <c r="M312" s="207">
        <f>IFERROR(SUMIF(data!$E:$E,科目余额表!$B312,data!I:I),0)</f>
        <v>29321839.710000001</v>
      </c>
      <c r="N312" s="207">
        <f>IFERROR(SUMIF(data!$E:$E,科目余额表!$B312,data!J:J),0)</f>
        <v>31303592.84</v>
      </c>
      <c r="O312" s="207">
        <f>IFERROR(SUMIF(data!$E:$E,科目余额表!$B312,data!K:K),0)</f>
        <v>32282675.379999999</v>
      </c>
      <c r="P312" s="207">
        <f>IFERROR(SUMIF(data!$E:$E,科目余额表!$B312,data!L:L),0)</f>
        <v>33240100.77</v>
      </c>
      <c r="Q312" s="207">
        <f>IFERROR(SUMIF(data!$E:$E,科目余额表!$B312,data!M:M),0)</f>
        <v>33694866.560000002</v>
      </c>
      <c r="R312" s="207">
        <f>IFERROR(SUMIF(data!$E:$E,科目余额表!$B312,data!N:N),0)</f>
        <v>34657912.060000002</v>
      </c>
      <c r="S312" s="207">
        <f>IFERROR(SUMIF(data!$E:$E,科目余额表!$B312,data!O:O),0)</f>
        <v>35077338.32</v>
      </c>
      <c r="T312" s="207">
        <f>IFERROR(SUMIF(data!$E:$E,科目余额表!$B312,data!P:P),0)</f>
        <v>35571919.560000002</v>
      </c>
      <c r="U312" s="207">
        <f>IFERROR(SUMIF(data!$E:$E,科目余额表!$B312,data!Q:Q),0)</f>
        <v>36149511.270000003</v>
      </c>
      <c r="V312" s="207">
        <f>IFERROR(SUMIF(data!$E:$E,科目余额表!$B312,data!R:R),0)</f>
        <v>36913009.710000001</v>
      </c>
      <c r="W312" s="207">
        <f>IFERROR(SUMIF(data!$E:$E,科目余额表!$B312,data!S:S),0)</f>
        <v>37869206.399999999</v>
      </c>
      <c r="X312" s="207"/>
      <c r="Y312" s="207"/>
      <c r="Z312" s="207"/>
      <c r="AA312" s="207"/>
      <c r="AB312" s="207"/>
      <c r="AC312" s="207"/>
      <c r="AD312" s="207"/>
      <c r="AE312" s="207"/>
      <c r="AF312" s="207"/>
    </row>
    <row r="313" spans="1:32" s="214" customFormat="1" ht="11.65" customHeight="1">
      <c r="A313" s="215"/>
      <c r="B313" s="220">
        <v>27204</v>
      </c>
      <c r="C313" s="205" t="s">
        <v>572</v>
      </c>
      <c r="D313" s="221">
        <v>-4334519.2</v>
      </c>
      <c r="E313" s="221">
        <v>-194568.71999999974</v>
      </c>
      <c r="F313" s="222">
        <f t="shared" si="4"/>
        <v>-4529087.92</v>
      </c>
      <c r="G313" s="205" t="s">
        <v>566</v>
      </c>
      <c r="H313" s="219" t="s">
        <v>250</v>
      </c>
      <c r="J313" s="207" t="s">
        <v>567</v>
      </c>
      <c r="K313" s="207"/>
      <c r="L313" s="207">
        <f>IFERROR(SUMIF(data!$E:$E,科目余额表!$B313,data!H:H),0)</f>
        <v>-4332257.45</v>
      </c>
      <c r="M313" s="207">
        <f>IFERROR(SUMIF(data!$E:$E,科目余额表!$B313,data!I:I),0)</f>
        <v>-4332357.5599999996</v>
      </c>
      <c r="N313" s="207">
        <f>IFERROR(SUMIF(data!$E:$E,科目余额表!$B313,data!J:J),0)</f>
        <v>-4333641.2300000004</v>
      </c>
      <c r="O313" s="207">
        <f>IFERROR(SUMIF(data!$E:$E,科目余额表!$B313,data!K:K),0)</f>
        <v>-4333641.2300000004</v>
      </c>
      <c r="P313" s="207">
        <f>IFERROR(SUMIF(data!$E:$E,科目余额表!$B313,data!L:L),0)</f>
        <v>-4334519.2</v>
      </c>
      <c r="Q313" s="207">
        <f>IFERROR(SUMIF(data!$E:$E,科目余额表!$B313,data!M:M),0)</f>
        <v>-4334519.2</v>
      </c>
      <c r="R313" s="207">
        <f>IFERROR(SUMIF(data!$E:$E,科目余额表!$B313,data!N:N),0)</f>
        <v>-4334519.2</v>
      </c>
      <c r="S313" s="207">
        <f>IFERROR(SUMIF(data!$E:$E,科目余额表!$B313,data!O:O),0)</f>
        <v>-4334519.2</v>
      </c>
      <c r="T313" s="207">
        <f>IFERROR(SUMIF(data!$E:$E,科目余额表!$B313,data!P:P),0)</f>
        <v>-4334519.2</v>
      </c>
      <c r="U313" s="207">
        <f>IFERROR(SUMIF(data!$E:$E,科目余额表!$B313,data!Q:Q),0)</f>
        <v>-4334519.2</v>
      </c>
      <c r="V313" s="207">
        <f>IFERROR(SUMIF(data!$E:$E,科目余额表!$B313,data!R:R),0)</f>
        <v>-4334519.2</v>
      </c>
      <c r="W313" s="207">
        <f>IFERROR(SUMIF(data!$E:$E,科目余额表!$B313,data!S:S),0)</f>
        <v>-4529087.92</v>
      </c>
      <c r="X313" s="207"/>
      <c r="Y313" s="207"/>
      <c r="Z313" s="207"/>
      <c r="AA313" s="207"/>
      <c r="AB313" s="207"/>
      <c r="AC313" s="207"/>
      <c r="AD313" s="207"/>
      <c r="AE313" s="207"/>
      <c r="AF313" s="207"/>
    </row>
    <row r="314" spans="1:32" s="214" customFormat="1" ht="11.65" customHeight="1">
      <c r="A314" s="215"/>
      <c r="B314" s="220">
        <v>27205</v>
      </c>
      <c r="C314" s="205" t="s">
        <v>573</v>
      </c>
      <c r="D314" s="221">
        <v>0</v>
      </c>
      <c r="E314" s="221">
        <v>0</v>
      </c>
      <c r="F314" s="222">
        <f t="shared" si="4"/>
        <v>0</v>
      </c>
      <c r="G314" s="205" t="s">
        <v>566</v>
      </c>
      <c r="H314" s="219" t="s">
        <v>250</v>
      </c>
      <c r="J314" s="207" t="s">
        <v>567</v>
      </c>
      <c r="K314" s="207"/>
      <c r="L314" s="207">
        <f>IFERROR(SUMIF(data!$E:$E,科目余额表!$B314,data!H:H),0)</f>
        <v>0</v>
      </c>
      <c r="M314" s="207">
        <f>IFERROR(SUMIF(data!$E:$E,科目余额表!$B314,data!I:I),0)</f>
        <v>0</v>
      </c>
      <c r="N314" s="207">
        <f>IFERROR(SUMIF(data!$E:$E,科目余额表!$B314,data!J:J),0)</f>
        <v>0</v>
      </c>
      <c r="O314" s="207">
        <f>IFERROR(SUMIF(data!$E:$E,科目余额表!$B314,data!K:K),0)</f>
        <v>0</v>
      </c>
      <c r="P314" s="207">
        <f>IFERROR(SUMIF(data!$E:$E,科目余额表!$B314,data!L:L),0)</f>
        <v>0</v>
      </c>
      <c r="Q314" s="207">
        <f>IFERROR(SUMIF(data!$E:$E,科目余额表!$B314,data!M:M),0)</f>
        <v>0</v>
      </c>
      <c r="R314" s="207">
        <f>IFERROR(SUMIF(data!$E:$E,科目余额表!$B314,data!N:N),0)</f>
        <v>0</v>
      </c>
      <c r="S314" s="207">
        <f>IFERROR(SUMIF(data!$E:$E,科目余额表!$B314,data!O:O),0)</f>
        <v>0</v>
      </c>
      <c r="T314" s="207">
        <f>IFERROR(SUMIF(data!$E:$E,科目余额表!$B314,data!P:P),0)</f>
        <v>0</v>
      </c>
      <c r="U314" s="207">
        <f>IFERROR(SUMIF(data!$E:$E,科目余额表!$B314,data!Q:Q),0)</f>
        <v>0</v>
      </c>
      <c r="V314" s="207">
        <f>IFERROR(SUMIF(data!$E:$E,科目余额表!$B314,data!R:R),0)</f>
        <v>0</v>
      </c>
      <c r="W314" s="207">
        <f>IFERROR(SUMIF(data!$E:$E,科目余额表!$B314,data!S:S),0)</f>
        <v>0</v>
      </c>
      <c r="X314" s="207"/>
      <c r="Y314" s="207"/>
      <c r="Z314" s="207"/>
      <c r="AA314" s="207"/>
      <c r="AB314" s="207"/>
      <c r="AC314" s="207"/>
      <c r="AD314" s="207"/>
      <c r="AE314" s="207"/>
      <c r="AF314" s="207"/>
    </row>
    <row r="315" spans="1:32" s="214" customFormat="1" ht="11.65" customHeight="1">
      <c r="A315" s="215"/>
      <c r="B315" s="220">
        <v>27206</v>
      </c>
      <c r="C315" s="205" t="s">
        <v>574</v>
      </c>
      <c r="D315" s="221">
        <v>562528.66</v>
      </c>
      <c r="E315" s="221">
        <v>0</v>
      </c>
      <c r="F315" s="222">
        <f t="shared" si="4"/>
        <v>562528.66</v>
      </c>
      <c r="G315" s="205" t="s">
        <v>566</v>
      </c>
      <c r="H315" s="219" t="s">
        <v>250</v>
      </c>
      <c r="J315" s="207" t="s">
        <v>567</v>
      </c>
      <c r="K315" s="207"/>
      <c r="L315" s="207">
        <f>IFERROR(SUMIF(data!$E:$E,科目余额表!$B315,data!H:H),0)</f>
        <v>219371.79</v>
      </c>
      <c r="M315" s="207">
        <f>IFERROR(SUMIF(data!$E:$E,科目余额表!$B315,data!I:I),0)</f>
        <v>499797.09</v>
      </c>
      <c r="N315" s="207">
        <f>IFERROR(SUMIF(data!$E:$E,科目余额表!$B315,data!J:J),0)</f>
        <v>562528.66</v>
      </c>
      <c r="O315" s="207">
        <f>IFERROR(SUMIF(data!$E:$E,科目余额表!$B315,data!K:K),0)</f>
        <v>562528.66</v>
      </c>
      <c r="P315" s="207">
        <f>IFERROR(SUMIF(data!$E:$E,科目余额表!$B315,data!L:L),0)</f>
        <v>562528.66</v>
      </c>
      <c r="Q315" s="207">
        <f>IFERROR(SUMIF(data!$E:$E,科目余额表!$B315,data!M:M),0)</f>
        <v>562528.66</v>
      </c>
      <c r="R315" s="207">
        <f>IFERROR(SUMIF(data!$E:$E,科目余额表!$B315,data!N:N),0)</f>
        <v>562528.66</v>
      </c>
      <c r="S315" s="207">
        <f>IFERROR(SUMIF(data!$E:$E,科目余额表!$B315,data!O:O),0)</f>
        <v>562528.66</v>
      </c>
      <c r="T315" s="207">
        <f>IFERROR(SUMIF(data!$E:$E,科目余额表!$B315,data!P:P),0)</f>
        <v>562528.66</v>
      </c>
      <c r="U315" s="207">
        <f>IFERROR(SUMIF(data!$E:$E,科目余额表!$B315,data!Q:Q),0)</f>
        <v>562528.66</v>
      </c>
      <c r="V315" s="207">
        <f>IFERROR(SUMIF(data!$E:$E,科目余额表!$B315,data!R:R),0)</f>
        <v>562528.66</v>
      </c>
      <c r="W315" s="207">
        <f>IFERROR(SUMIF(data!$E:$E,科目余额表!$B315,data!S:S),0)</f>
        <v>562528.66</v>
      </c>
      <c r="X315" s="207"/>
      <c r="Y315" s="207"/>
      <c r="Z315" s="207"/>
      <c r="AA315" s="207"/>
      <c r="AB315" s="207"/>
      <c r="AC315" s="207"/>
      <c r="AD315" s="207"/>
      <c r="AE315" s="207"/>
      <c r="AF315" s="207"/>
    </row>
    <row r="316" spans="1:32" s="214" customFormat="1" ht="11.65" customHeight="1">
      <c r="A316" s="215"/>
      <c r="B316" s="220">
        <v>27207</v>
      </c>
      <c r="C316" s="205" t="s">
        <v>575</v>
      </c>
      <c r="D316" s="221">
        <v>0</v>
      </c>
      <c r="E316" s="221">
        <v>0</v>
      </c>
      <c r="F316" s="222">
        <f t="shared" si="4"/>
        <v>0</v>
      </c>
      <c r="G316" s="205" t="s">
        <v>566</v>
      </c>
      <c r="H316" s="219" t="s">
        <v>250</v>
      </c>
      <c r="J316" s="207" t="s">
        <v>567</v>
      </c>
      <c r="K316" s="207"/>
      <c r="L316" s="207">
        <f>IFERROR(SUMIF(data!$E:$E,科目余额表!$B316,data!H:H),0)</f>
        <v>0</v>
      </c>
      <c r="M316" s="207">
        <f>IFERROR(SUMIF(data!$E:$E,科目余额表!$B316,data!I:I),0)</f>
        <v>0</v>
      </c>
      <c r="N316" s="207">
        <f>IFERROR(SUMIF(data!$E:$E,科目余额表!$B316,data!J:J),0)</f>
        <v>0</v>
      </c>
      <c r="O316" s="207">
        <f>IFERROR(SUMIF(data!$E:$E,科目余额表!$B316,data!K:K),0)</f>
        <v>0</v>
      </c>
      <c r="P316" s="207">
        <f>IFERROR(SUMIF(data!$E:$E,科目余额表!$B316,data!L:L),0)</f>
        <v>0</v>
      </c>
      <c r="Q316" s="207">
        <f>IFERROR(SUMIF(data!$E:$E,科目余额表!$B316,data!M:M),0)</f>
        <v>0</v>
      </c>
      <c r="R316" s="207">
        <f>IFERROR(SUMIF(data!$E:$E,科目余额表!$B316,data!N:N),0)</f>
        <v>0</v>
      </c>
      <c r="S316" s="207">
        <f>IFERROR(SUMIF(data!$E:$E,科目余额表!$B316,data!O:O),0)</f>
        <v>0</v>
      </c>
      <c r="T316" s="207">
        <f>IFERROR(SUMIF(data!$E:$E,科目余额表!$B316,data!P:P),0)</f>
        <v>0</v>
      </c>
      <c r="U316" s="207">
        <f>IFERROR(SUMIF(data!$E:$E,科目余额表!$B316,data!Q:Q),0)</f>
        <v>0</v>
      </c>
      <c r="V316" s="207">
        <f>IFERROR(SUMIF(data!$E:$E,科目余额表!$B316,data!R:R),0)</f>
        <v>0</v>
      </c>
      <c r="W316" s="207">
        <f>IFERROR(SUMIF(data!$E:$E,科目余额表!$B316,data!S:S),0)</f>
        <v>0</v>
      </c>
      <c r="X316" s="207"/>
      <c r="Y316" s="207"/>
      <c r="Z316" s="207"/>
      <c r="AA316" s="207"/>
      <c r="AB316" s="207"/>
      <c r="AC316" s="207"/>
      <c r="AD316" s="207"/>
      <c r="AE316" s="207"/>
      <c r="AF316" s="207"/>
    </row>
    <row r="317" spans="1:32" s="214" customFormat="1" ht="11.65" customHeight="1">
      <c r="A317" s="215"/>
      <c r="B317" s="220">
        <v>27208</v>
      </c>
      <c r="C317" s="205" t="s">
        <v>576</v>
      </c>
      <c r="D317" s="221">
        <v>0</v>
      </c>
      <c r="E317" s="221">
        <v>0</v>
      </c>
      <c r="F317" s="222">
        <f t="shared" si="4"/>
        <v>0</v>
      </c>
      <c r="G317" s="205" t="s">
        <v>566</v>
      </c>
      <c r="H317" s="219" t="s">
        <v>250</v>
      </c>
      <c r="J317" s="207" t="s">
        <v>567</v>
      </c>
      <c r="K317" s="207"/>
      <c r="L317" s="207">
        <f>IFERROR(SUMIF(data!$E:$E,科目余额表!$B317,data!H:H),0)</f>
        <v>0</v>
      </c>
      <c r="M317" s="207">
        <f>IFERROR(SUMIF(data!$E:$E,科目余额表!$B317,data!I:I),0)</f>
        <v>0</v>
      </c>
      <c r="N317" s="207">
        <f>IFERROR(SUMIF(data!$E:$E,科目余额表!$B317,data!J:J),0)</f>
        <v>0</v>
      </c>
      <c r="O317" s="207">
        <f>IFERROR(SUMIF(data!$E:$E,科目余额表!$B317,data!K:K),0)</f>
        <v>0</v>
      </c>
      <c r="P317" s="207">
        <f>IFERROR(SUMIF(data!$E:$E,科目余额表!$B317,data!L:L),0)</f>
        <v>0</v>
      </c>
      <c r="Q317" s="207">
        <f>IFERROR(SUMIF(data!$E:$E,科目余额表!$B317,data!M:M),0)</f>
        <v>0</v>
      </c>
      <c r="R317" s="207">
        <f>IFERROR(SUMIF(data!$E:$E,科目余额表!$B317,data!N:N),0)</f>
        <v>0</v>
      </c>
      <c r="S317" s="207">
        <f>IFERROR(SUMIF(data!$E:$E,科目余额表!$B317,data!O:O),0)</f>
        <v>0</v>
      </c>
      <c r="T317" s="207">
        <f>IFERROR(SUMIF(data!$E:$E,科目余额表!$B317,data!P:P),0)</f>
        <v>0</v>
      </c>
      <c r="U317" s="207">
        <f>IFERROR(SUMIF(data!$E:$E,科目余额表!$B317,data!Q:Q),0)</f>
        <v>0</v>
      </c>
      <c r="V317" s="207">
        <f>IFERROR(SUMIF(data!$E:$E,科目余额表!$B317,data!R:R),0)</f>
        <v>0</v>
      </c>
      <c r="W317" s="207">
        <f>IFERROR(SUMIF(data!$E:$E,科目余额表!$B317,data!S:S),0)</f>
        <v>0</v>
      </c>
      <c r="X317" s="207"/>
      <c r="Y317" s="207"/>
      <c r="Z317" s="207"/>
      <c r="AA317" s="207"/>
      <c r="AB317" s="207"/>
      <c r="AC317" s="207"/>
      <c r="AD317" s="207"/>
      <c r="AE317" s="207"/>
      <c r="AF317" s="207"/>
    </row>
    <row r="318" spans="1:32" s="214" customFormat="1" ht="11.65" customHeight="1">
      <c r="A318" s="215"/>
      <c r="B318" s="220">
        <v>27209</v>
      </c>
      <c r="C318" s="205" t="s">
        <v>577</v>
      </c>
      <c r="D318" s="221">
        <v>0</v>
      </c>
      <c r="E318" s="221">
        <v>0</v>
      </c>
      <c r="F318" s="222">
        <f t="shared" si="4"/>
        <v>0</v>
      </c>
      <c r="G318" s="205" t="s">
        <v>566</v>
      </c>
      <c r="H318" s="219" t="s">
        <v>250</v>
      </c>
      <c r="J318" s="207" t="s">
        <v>567</v>
      </c>
      <c r="K318" s="207"/>
      <c r="L318" s="207">
        <f>IFERROR(SUMIF(data!$E:$E,科目余额表!$B318,data!H:H),0)</f>
        <v>0</v>
      </c>
      <c r="M318" s="207">
        <f>IFERROR(SUMIF(data!$E:$E,科目余额表!$B318,data!I:I),0)</f>
        <v>0</v>
      </c>
      <c r="N318" s="207">
        <f>IFERROR(SUMIF(data!$E:$E,科目余额表!$B318,data!J:J),0)</f>
        <v>0</v>
      </c>
      <c r="O318" s="207">
        <f>IFERROR(SUMIF(data!$E:$E,科目余额表!$B318,data!K:K),0)</f>
        <v>0</v>
      </c>
      <c r="P318" s="207">
        <f>IFERROR(SUMIF(data!$E:$E,科目余额表!$B318,data!L:L),0)</f>
        <v>0</v>
      </c>
      <c r="Q318" s="207">
        <f>IFERROR(SUMIF(data!$E:$E,科目余额表!$B318,data!M:M),0)</f>
        <v>0</v>
      </c>
      <c r="R318" s="207">
        <f>IFERROR(SUMIF(data!$E:$E,科目余额表!$B318,data!N:N),0)</f>
        <v>0</v>
      </c>
      <c r="S318" s="207">
        <f>IFERROR(SUMIF(data!$E:$E,科目余额表!$B318,data!O:O),0)</f>
        <v>0</v>
      </c>
      <c r="T318" s="207">
        <f>IFERROR(SUMIF(data!$E:$E,科目余额表!$B318,data!P:P),0)</f>
        <v>0</v>
      </c>
      <c r="U318" s="207">
        <f>IFERROR(SUMIF(data!$E:$E,科目余额表!$B318,data!Q:Q),0)</f>
        <v>0</v>
      </c>
      <c r="V318" s="207">
        <f>IFERROR(SUMIF(data!$E:$E,科目余额表!$B318,data!R:R),0)</f>
        <v>0</v>
      </c>
      <c r="W318" s="207">
        <f>IFERROR(SUMIF(data!$E:$E,科目余额表!$B318,data!S:S),0)</f>
        <v>0</v>
      </c>
      <c r="X318" s="207"/>
      <c r="Y318" s="207"/>
      <c r="Z318" s="207"/>
      <c r="AA318" s="207"/>
      <c r="AB318" s="207"/>
      <c r="AC318" s="207"/>
      <c r="AD318" s="207"/>
      <c r="AE318" s="207"/>
      <c r="AF318" s="207"/>
    </row>
    <row r="319" spans="1:32" s="214" customFormat="1" ht="11.65" customHeight="1">
      <c r="A319" s="215"/>
      <c r="B319" s="220">
        <v>27210</v>
      </c>
      <c r="C319" s="205" t="s">
        <v>578</v>
      </c>
      <c r="D319" s="221">
        <v>0</v>
      </c>
      <c r="E319" s="221">
        <v>0</v>
      </c>
      <c r="F319" s="222">
        <f t="shared" si="4"/>
        <v>0</v>
      </c>
      <c r="G319" s="205" t="s">
        <v>566</v>
      </c>
      <c r="H319" s="219" t="s">
        <v>250</v>
      </c>
      <c r="J319" s="207" t="s">
        <v>567</v>
      </c>
      <c r="K319" s="207"/>
      <c r="L319" s="207">
        <f>IFERROR(SUMIF(data!$E:$E,科目余额表!$B319,data!H:H),0)</f>
        <v>0</v>
      </c>
      <c r="M319" s="207">
        <f>IFERROR(SUMIF(data!$E:$E,科目余额表!$B319,data!I:I),0)</f>
        <v>0</v>
      </c>
      <c r="N319" s="207">
        <f>IFERROR(SUMIF(data!$E:$E,科目余额表!$B319,data!J:J),0)</f>
        <v>0</v>
      </c>
      <c r="O319" s="207">
        <f>IFERROR(SUMIF(data!$E:$E,科目余额表!$B319,data!K:K),0)</f>
        <v>0</v>
      </c>
      <c r="P319" s="207">
        <f>IFERROR(SUMIF(data!$E:$E,科目余额表!$B319,data!L:L),0)</f>
        <v>0</v>
      </c>
      <c r="Q319" s="207">
        <f>IFERROR(SUMIF(data!$E:$E,科目余额表!$B319,data!M:M),0)</f>
        <v>0</v>
      </c>
      <c r="R319" s="207">
        <f>IFERROR(SUMIF(data!$E:$E,科目余额表!$B319,data!N:N),0)</f>
        <v>0</v>
      </c>
      <c r="S319" s="207">
        <f>IFERROR(SUMIF(data!$E:$E,科目余额表!$B319,data!O:O),0)</f>
        <v>0</v>
      </c>
      <c r="T319" s="207">
        <f>IFERROR(SUMIF(data!$E:$E,科目余额表!$B319,data!P:P),0)</f>
        <v>0</v>
      </c>
      <c r="U319" s="207">
        <f>IFERROR(SUMIF(data!$E:$E,科目余额表!$B319,data!Q:Q),0)</f>
        <v>0</v>
      </c>
      <c r="V319" s="207">
        <f>IFERROR(SUMIF(data!$E:$E,科目余额表!$B319,data!R:R),0)</f>
        <v>0</v>
      </c>
      <c r="W319" s="207">
        <f>IFERROR(SUMIF(data!$E:$E,科目余额表!$B319,data!S:S),0)</f>
        <v>0</v>
      </c>
      <c r="X319" s="207"/>
      <c r="Y319" s="207"/>
      <c r="Z319" s="207"/>
      <c r="AA319" s="207"/>
      <c r="AB319" s="207"/>
      <c r="AC319" s="207"/>
      <c r="AD319" s="207"/>
      <c r="AE319" s="207"/>
      <c r="AF319" s="207"/>
    </row>
    <row r="320" spans="1:32" s="214" customFormat="1" ht="11.65" customHeight="1">
      <c r="A320" s="215"/>
      <c r="B320" s="220">
        <v>27211</v>
      </c>
      <c r="C320" s="205" t="s">
        <v>579</v>
      </c>
      <c r="D320" s="221">
        <v>0</v>
      </c>
      <c r="E320" s="221">
        <v>0</v>
      </c>
      <c r="F320" s="222">
        <f t="shared" si="4"/>
        <v>0</v>
      </c>
      <c r="G320" s="205" t="s">
        <v>566</v>
      </c>
      <c r="H320" s="219" t="s">
        <v>250</v>
      </c>
      <c r="J320" s="207" t="s">
        <v>567</v>
      </c>
      <c r="K320" s="207"/>
      <c r="L320" s="207">
        <f>IFERROR(SUMIF(data!$E:$E,科目余额表!$B320,data!H:H),0)</f>
        <v>0</v>
      </c>
      <c r="M320" s="207">
        <f>IFERROR(SUMIF(data!$E:$E,科目余额表!$B320,data!I:I),0)</f>
        <v>0</v>
      </c>
      <c r="N320" s="207">
        <f>IFERROR(SUMIF(data!$E:$E,科目余额表!$B320,data!J:J),0)</f>
        <v>0</v>
      </c>
      <c r="O320" s="207">
        <f>IFERROR(SUMIF(data!$E:$E,科目余额表!$B320,data!K:K),0)</f>
        <v>0</v>
      </c>
      <c r="P320" s="207">
        <f>IFERROR(SUMIF(data!$E:$E,科目余额表!$B320,data!L:L),0)</f>
        <v>0</v>
      </c>
      <c r="Q320" s="207">
        <f>IFERROR(SUMIF(data!$E:$E,科目余额表!$B320,data!M:M),0)</f>
        <v>0</v>
      </c>
      <c r="R320" s="207">
        <f>IFERROR(SUMIF(data!$E:$E,科目余额表!$B320,data!N:N),0)</f>
        <v>0</v>
      </c>
      <c r="S320" s="207">
        <f>IFERROR(SUMIF(data!$E:$E,科目余额表!$B320,data!O:O),0)</f>
        <v>0</v>
      </c>
      <c r="T320" s="207">
        <f>IFERROR(SUMIF(data!$E:$E,科目余额表!$B320,data!P:P),0)</f>
        <v>0</v>
      </c>
      <c r="U320" s="207">
        <f>IFERROR(SUMIF(data!$E:$E,科目余额表!$B320,data!Q:Q),0)</f>
        <v>0</v>
      </c>
      <c r="V320" s="207">
        <f>IFERROR(SUMIF(data!$E:$E,科目余额表!$B320,data!R:R),0)</f>
        <v>0</v>
      </c>
      <c r="W320" s="207">
        <f>IFERROR(SUMIF(data!$E:$E,科目余额表!$B320,data!S:S),0)</f>
        <v>0</v>
      </c>
      <c r="X320" s="207"/>
      <c r="Y320" s="207"/>
      <c r="Z320" s="207"/>
      <c r="AA320" s="207"/>
      <c r="AB320" s="207"/>
      <c r="AC320" s="207"/>
      <c r="AD320" s="207"/>
      <c r="AE320" s="207"/>
      <c r="AF320" s="207"/>
    </row>
    <row r="321" spans="1:32" s="214" customFormat="1" ht="11.65" customHeight="1">
      <c r="A321" s="215"/>
      <c r="B321" s="220">
        <v>27212</v>
      </c>
      <c r="C321" s="205" t="s">
        <v>580</v>
      </c>
      <c r="D321" s="221">
        <v>0</v>
      </c>
      <c r="E321" s="221">
        <v>0</v>
      </c>
      <c r="F321" s="222">
        <f t="shared" si="4"/>
        <v>0</v>
      </c>
      <c r="G321" s="205" t="s">
        <v>566</v>
      </c>
      <c r="H321" s="219" t="s">
        <v>250</v>
      </c>
      <c r="J321" s="207" t="s">
        <v>567</v>
      </c>
      <c r="K321" s="207"/>
      <c r="L321" s="207">
        <f>IFERROR(SUMIF(data!$E:$E,科目余额表!$B321,data!H:H),0)</f>
        <v>0</v>
      </c>
      <c r="M321" s="207">
        <f>IFERROR(SUMIF(data!$E:$E,科目余额表!$B321,data!I:I),0)</f>
        <v>0</v>
      </c>
      <c r="N321" s="207">
        <f>IFERROR(SUMIF(data!$E:$E,科目余额表!$B321,data!J:J),0)</f>
        <v>0</v>
      </c>
      <c r="O321" s="207">
        <f>IFERROR(SUMIF(data!$E:$E,科目余额表!$B321,data!K:K),0)</f>
        <v>0</v>
      </c>
      <c r="P321" s="207">
        <f>IFERROR(SUMIF(data!$E:$E,科目余额表!$B321,data!L:L),0)</f>
        <v>0</v>
      </c>
      <c r="Q321" s="207">
        <f>IFERROR(SUMIF(data!$E:$E,科目余额表!$B321,data!M:M),0)</f>
        <v>0</v>
      </c>
      <c r="R321" s="207">
        <f>IFERROR(SUMIF(data!$E:$E,科目余额表!$B321,data!N:N),0)</f>
        <v>0</v>
      </c>
      <c r="S321" s="207">
        <f>IFERROR(SUMIF(data!$E:$E,科目余额表!$B321,data!O:O),0)</f>
        <v>0</v>
      </c>
      <c r="T321" s="207">
        <f>IFERROR(SUMIF(data!$E:$E,科目余额表!$B321,data!P:P),0)</f>
        <v>0</v>
      </c>
      <c r="U321" s="207">
        <f>IFERROR(SUMIF(data!$E:$E,科目余额表!$B321,data!Q:Q),0)</f>
        <v>0</v>
      </c>
      <c r="V321" s="207">
        <f>IFERROR(SUMIF(data!$E:$E,科目余额表!$B321,data!R:R),0)</f>
        <v>0</v>
      </c>
      <c r="W321" s="207">
        <f>IFERROR(SUMIF(data!$E:$E,科目余额表!$B321,data!S:S),0)</f>
        <v>0</v>
      </c>
      <c r="X321" s="207"/>
      <c r="Y321" s="207"/>
      <c r="Z321" s="207"/>
      <c r="AA321" s="207"/>
      <c r="AB321" s="207"/>
      <c r="AC321" s="207"/>
      <c r="AD321" s="207"/>
      <c r="AE321" s="207"/>
      <c r="AF321" s="207"/>
    </row>
    <row r="322" spans="1:32" s="214" customFormat="1" ht="11.65" customHeight="1">
      <c r="A322" s="215"/>
      <c r="B322" s="220">
        <v>27213</v>
      </c>
      <c r="C322" s="205" t="s">
        <v>581</v>
      </c>
      <c r="D322" s="221">
        <v>0</v>
      </c>
      <c r="E322" s="221">
        <v>0</v>
      </c>
      <c r="F322" s="222">
        <f t="shared" si="4"/>
        <v>0</v>
      </c>
      <c r="G322" s="205" t="s">
        <v>566</v>
      </c>
      <c r="H322" s="219" t="s">
        <v>250</v>
      </c>
      <c r="J322" s="207" t="s">
        <v>567</v>
      </c>
      <c r="K322" s="207"/>
      <c r="L322" s="207">
        <f>IFERROR(SUMIF(data!$E:$E,科目余额表!$B322,data!H:H),0)</f>
        <v>0</v>
      </c>
      <c r="M322" s="207">
        <f>IFERROR(SUMIF(data!$E:$E,科目余额表!$B322,data!I:I),0)</f>
        <v>0</v>
      </c>
      <c r="N322" s="207">
        <f>IFERROR(SUMIF(data!$E:$E,科目余额表!$B322,data!J:J),0)</f>
        <v>0</v>
      </c>
      <c r="O322" s="207">
        <f>IFERROR(SUMIF(data!$E:$E,科目余额表!$B322,data!K:K),0)</f>
        <v>0</v>
      </c>
      <c r="P322" s="207">
        <f>IFERROR(SUMIF(data!$E:$E,科目余额表!$B322,data!L:L),0)</f>
        <v>0</v>
      </c>
      <c r="Q322" s="207">
        <f>IFERROR(SUMIF(data!$E:$E,科目余额表!$B322,data!M:M),0)</f>
        <v>0</v>
      </c>
      <c r="R322" s="207">
        <f>IFERROR(SUMIF(data!$E:$E,科目余额表!$B322,data!N:N),0)</f>
        <v>0</v>
      </c>
      <c r="S322" s="207">
        <f>IFERROR(SUMIF(data!$E:$E,科目余额表!$B322,data!O:O),0)</f>
        <v>0</v>
      </c>
      <c r="T322" s="207">
        <f>IFERROR(SUMIF(data!$E:$E,科目余额表!$B322,data!P:P),0)</f>
        <v>0</v>
      </c>
      <c r="U322" s="207">
        <f>IFERROR(SUMIF(data!$E:$E,科目余额表!$B322,data!Q:Q),0)</f>
        <v>0</v>
      </c>
      <c r="V322" s="207">
        <f>IFERROR(SUMIF(data!$E:$E,科目余额表!$B322,data!R:R),0)</f>
        <v>0</v>
      </c>
      <c r="W322" s="207">
        <f>IFERROR(SUMIF(data!$E:$E,科目余额表!$B322,data!S:S),0)</f>
        <v>0</v>
      </c>
      <c r="X322" s="207"/>
      <c r="Y322" s="207"/>
      <c r="Z322" s="207"/>
      <c r="AA322" s="207"/>
      <c r="AB322" s="207"/>
      <c r="AC322" s="207"/>
      <c r="AD322" s="207"/>
      <c r="AE322" s="207"/>
      <c r="AF322" s="207"/>
    </row>
    <row r="323" spans="1:32" s="214" customFormat="1" ht="11.65" customHeight="1">
      <c r="A323" s="215"/>
      <c r="B323" s="220">
        <v>27214</v>
      </c>
      <c r="C323" s="205" t="s">
        <v>582</v>
      </c>
      <c r="D323" s="221">
        <v>0</v>
      </c>
      <c r="E323" s="221">
        <v>0</v>
      </c>
      <c r="F323" s="222">
        <f t="shared" si="4"/>
        <v>0</v>
      </c>
      <c r="G323" s="205" t="s">
        <v>566</v>
      </c>
      <c r="H323" s="219" t="s">
        <v>250</v>
      </c>
      <c r="J323" s="207" t="s">
        <v>567</v>
      </c>
      <c r="K323" s="207"/>
      <c r="L323" s="207">
        <f>IFERROR(SUMIF(data!$E:$E,科目余额表!$B323,data!H:H),0)</f>
        <v>0</v>
      </c>
      <c r="M323" s="207">
        <f>IFERROR(SUMIF(data!$E:$E,科目余额表!$B323,data!I:I),0)</f>
        <v>0</v>
      </c>
      <c r="N323" s="207">
        <f>IFERROR(SUMIF(data!$E:$E,科目余额表!$B323,data!J:J),0)</f>
        <v>0</v>
      </c>
      <c r="O323" s="207">
        <f>IFERROR(SUMIF(data!$E:$E,科目余额表!$B323,data!K:K),0)</f>
        <v>0</v>
      </c>
      <c r="P323" s="207">
        <f>IFERROR(SUMIF(data!$E:$E,科目余额表!$B323,data!L:L),0)</f>
        <v>0</v>
      </c>
      <c r="Q323" s="207">
        <f>IFERROR(SUMIF(data!$E:$E,科目余额表!$B323,data!M:M),0)</f>
        <v>0</v>
      </c>
      <c r="R323" s="207">
        <f>IFERROR(SUMIF(data!$E:$E,科目余额表!$B323,data!N:N),0)</f>
        <v>0</v>
      </c>
      <c r="S323" s="207">
        <f>IFERROR(SUMIF(data!$E:$E,科目余额表!$B323,data!O:O),0)</f>
        <v>0</v>
      </c>
      <c r="T323" s="207">
        <f>IFERROR(SUMIF(data!$E:$E,科目余额表!$B323,data!P:P),0)</f>
        <v>0</v>
      </c>
      <c r="U323" s="207">
        <f>IFERROR(SUMIF(data!$E:$E,科目余额表!$B323,data!Q:Q),0)</f>
        <v>0</v>
      </c>
      <c r="V323" s="207">
        <f>IFERROR(SUMIF(data!$E:$E,科目余额表!$B323,data!R:R),0)</f>
        <v>0</v>
      </c>
      <c r="W323" s="207">
        <f>IFERROR(SUMIF(data!$E:$E,科目余额表!$B323,data!S:S),0)</f>
        <v>0</v>
      </c>
      <c r="X323" s="207"/>
      <c r="Y323" s="207"/>
      <c r="Z323" s="207"/>
      <c r="AA323" s="207"/>
      <c r="AB323" s="207"/>
      <c r="AC323" s="207"/>
      <c r="AD323" s="207"/>
      <c r="AE323" s="207"/>
      <c r="AF323" s="207"/>
    </row>
    <row r="324" spans="1:32" s="214" customFormat="1" ht="11.65" customHeight="1">
      <c r="A324" s="215"/>
      <c r="B324" s="220">
        <v>27215</v>
      </c>
      <c r="C324" s="205" t="s">
        <v>583</v>
      </c>
      <c r="D324" s="221">
        <v>0</v>
      </c>
      <c r="E324" s="221">
        <v>0</v>
      </c>
      <c r="F324" s="222">
        <f t="shared" si="4"/>
        <v>0</v>
      </c>
      <c r="G324" s="205" t="s">
        <v>566</v>
      </c>
      <c r="H324" s="219" t="s">
        <v>250</v>
      </c>
      <c r="J324" s="207" t="s">
        <v>567</v>
      </c>
      <c r="K324" s="207"/>
      <c r="L324" s="207">
        <f>IFERROR(SUMIF(data!$E:$E,科目余额表!$B324,data!H:H),0)</f>
        <v>0</v>
      </c>
      <c r="M324" s="207">
        <f>IFERROR(SUMIF(data!$E:$E,科目余额表!$B324,data!I:I),0)</f>
        <v>0</v>
      </c>
      <c r="N324" s="207">
        <f>IFERROR(SUMIF(data!$E:$E,科目余额表!$B324,data!J:J),0)</f>
        <v>0</v>
      </c>
      <c r="O324" s="207">
        <f>IFERROR(SUMIF(data!$E:$E,科目余额表!$B324,data!K:K),0)</f>
        <v>0</v>
      </c>
      <c r="P324" s="207">
        <f>IFERROR(SUMIF(data!$E:$E,科目余额表!$B324,data!L:L),0)</f>
        <v>0</v>
      </c>
      <c r="Q324" s="207">
        <f>IFERROR(SUMIF(data!$E:$E,科目余额表!$B324,data!M:M),0)</f>
        <v>0</v>
      </c>
      <c r="R324" s="207">
        <f>IFERROR(SUMIF(data!$E:$E,科目余额表!$B324,data!N:N),0)</f>
        <v>0</v>
      </c>
      <c r="S324" s="207">
        <f>IFERROR(SUMIF(data!$E:$E,科目余额表!$B324,data!O:O),0)</f>
        <v>0</v>
      </c>
      <c r="T324" s="207">
        <f>IFERROR(SUMIF(data!$E:$E,科目余额表!$B324,data!P:P),0)</f>
        <v>0</v>
      </c>
      <c r="U324" s="207">
        <f>IFERROR(SUMIF(data!$E:$E,科目余额表!$B324,data!Q:Q),0)</f>
        <v>0</v>
      </c>
      <c r="V324" s="207">
        <f>IFERROR(SUMIF(data!$E:$E,科目余额表!$B324,data!R:R),0)</f>
        <v>0</v>
      </c>
      <c r="W324" s="207">
        <f>IFERROR(SUMIF(data!$E:$E,科目余额表!$B324,data!S:S),0)</f>
        <v>0</v>
      </c>
      <c r="X324" s="207"/>
      <c r="Y324" s="207"/>
      <c r="Z324" s="207"/>
      <c r="AA324" s="207"/>
      <c r="AB324" s="207"/>
      <c r="AC324" s="207"/>
      <c r="AD324" s="207"/>
      <c r="AE324" s="207"/>
      <c r="AF324" s="207"/>
    </row>
    <row r="325" spans="1:32" s="214" customFormat="1" ht="11.65" customHeight="1">
      <c r="A325" s="215"/>
      <c r="B325" s="220">
        <v>27216</v>
      </c>
      <c r="C325" s="205" t="s">
        <v>584</v>
      </c>
      <c r="D325" s="221">
        <v>0</v>
      </c>
      <c r="E325" s="221">
        <v>0</v>
      </c>
      <c r="F325" s="222">
        <f t="shared" si="4"/>
        <v>0</v>
      </c>
      <c r="G325" s="205" t="s">
        <v>566</v>
      </c>
      <c r="H325" s="219" t="s">
        <v>250</v>
      </c>
      <c r="J325" s="207" t="s">
        <v>567</v>
      </c>
      <c r="K325" s="207"/>
      <c r="L325" s="207">
        <f>IFERROR(SUMIF(data!$E:$E,科目余额表!$B325,data!H:H),0)</f>
        <v>0</v>
      </c>
      <c r="M325" s="207">
        <f>IFERROR(SUMIF(data!$E:$E,科目余额表!$B325,data!I:I),0)</f>
        <v>0</v>
      </c>
      <c r="N325" s="207">
        <f>IFERROR(SUMIF(data!$E:$E,科目余额表!$B325,data!J:J),0)</f>
        <v>0</v>
      </c>
      <c r="O325" s="207">
        <f>IFERROR(SUMIF(data!$E:$E,科目余额表!$B325,data!K:K),0)</f>
        <v>0</v>
      </c>
      <c r="P325" s="207">
        <f>IFERROR(SUMIF(data!$E:$E,科目余额表!$B325,data!L:L),0)</f>
        <v>0</v>
      </c>
      <c r="Q325" s="207">
        <f>IFERROR(SUMIF(data!$E:$E,科目余额表!$B325,data!M:M),0)</f>
        <v>0</v>
      </c>
      <c r="R325" s="207">
        <f>IFERROR(SUMIF(data!$E:$E,科目余额表!$B325,data!N:N),0)</f>
        <v>0</v>
      </c>
      <c r="S325" s="207">
        <f>IFERROR(SUMIF(data!$E:$E,科目余额表!$B325,data!O:O),0)</f>
        <v>0</v>
      </c>
      <c r="T325" s="207">
        <f>IFERROR(SUMIF(data!$E:$E,科目余额表!$B325,data!P:P),0)</f>
        <v>0</v>
      </c>
      <c r="U325" s="207">
        <f>IFERROR(SUMIF(data!$E:$E,科目余额表!$B325,data!Q:Q),0)</f>
        <v>0</v>
      </c>
      <c r="V325" s="207">
        <f>IFERROR(SUMIF(data!$E:$E,科目余额表!$B325,data!R:R),0)</f>
        <v>0</v>
      </c>
      <c r="W325" s="207">
        <f>IFERROR(SUMIF(data!$E:$E,科目余额表!$B325,data!S:S),0)</f>
        <v>0</v>
      </c>
      <c r="X325" s="207"/>
      <c r="Y325" s="207"/>
      <c r="Z325" s="207"/>
      <c r="AA325" s="207"/>
      <c r="AB325" s="207"/>
      <c r="AC325" s="207"/>
      <c r="AD325" s="207"/>
      <c r="AE325" s="207"/>
      <c r="AF325" s="207"/>
    </row>
    <row r="326" spans="1:32" s="214" customFormat="1" ht="11.65" customHeight="1">
      <c r="A326" s="215"/>
      <c r="B326" s="220">
        <v>27217</v>
      </c>
      <c r="C326" s="205" t="s">
        <v>585</v>
      </c>
      <c r="D326" s="221">
        <v>0</v>
      </c>
      <c r="E326" s="221">
        <v>0</v>
      </c>
      <c r="F326" s="222">
        <f t="shared" si="4"/>
        <v>0</v>
      </c>
      <c r="G326" s="205" t="s">
        <v>566</v>
      </c>
      <c r="H326" s="219" t="s">
        <v>250</v>
      </c>
      <c r="J326" s="207" t="s">
        <v>567</v>
      </c>
      <c r="K326" s="207"/>
      <c r="L326" s="207">
        <f>IFERROR(SUMIF(data!$E:$E,科目余额表!$B326,data!H:H),0)</f>
        <v>0</v>
      </c>
      <c r="M326" s="207">
        <f>IFERROR(SUMIF(data!$E:$E,科目余额表!$B326,data!I:I),0)</f>
        <v>0</v>
      </c>
      <c r="N326" s="207">
        <f>IFERROR(SUMIF(data!$E:$E,科目余额表!$B326,data!J:J),0)</f>
        <v>0</v>
      </c>
      <c r="O326" s="207">
        <f>IFERROR(SUMIF(data!$E:$E,科目余额表!$B326,data!K:K),0)</f>
        <v>0</v>
      </c>
      <c r="P326" s="207">
        <f>IFERROR(SUMIF(data!$E:$E,科目余额表!$B326,data!L:L),0)</f>
        <v>0</v>
      </c>
      <c r="Q326" s="207">
        <f>IFERROR(SUMIF(data!$E:$E,科目余额表!$B326,data!M:M),0)</f>
        <v>0</v>
      </c>
      <c r="R326" s="207">
        <f>IFERROR(SUMIF(data!$E:$E,科目余额表!$B326,data!N:N),0)</f>
        <v>0</v>
      </c>
      <c r="S326" s="207">
        <f>IFERROR(SUMIF(data!$E:$E,科目余额表!$B326,data!O:O),0)</f>
        <v>0</v>
      </c>
      <c r="T326" s="207">
        <f>IFERROR(SUMIF(data!$E:$E,科目余额表!$B326,data!P:P),0)</f>
        <v>0</v>
      </c>
      <c r="U326" s="207">
        <f>IFERROR(SUMIF(data!$E:$E,科目余额表!$B326,data!Q:Q),0)</f>
        <v>0</v>
      </c>
      <c r="V326" s="207">
        <f>IFERROR(SUMIF(data!$E:$E,科目余额表!$B326,data!R:R),0)</f>
        <v>0</v>
      </c>
      <c r="W326" s="207">
        <f>IFERROR(SUMIF(data!$E:$E,科目余额表!$B326,data!S:S),0)</f>
        <v>0</v>
      </c>
      <c r="X326" s="207"/>
      <c r="Y326" s="207"/>
      <c r="Z326" s="207"/>
      <c r="AA326" s="207"/>
      <c r="AB326" s="207"/>
      <c r="AC326" s="207"/>
      <c r="AD326" s="207"/>
      <c r="AE326" s="207"/>
      <c r="AF326" s="207"/>
    </row>
    <row r="327" spans="1:32" s="214" customFormat="1" ht="11.65" customHeight="1">
      <c r="A327" s="215"/>
      <c r="B327" s="220">
        <v>27218</v>
      </c>
      <c r="C327" s="205" t="s">
        <v>586</v>
      </c>
      <c r="D327" s="221">
        <v>0</v>
      </c>
      <c r="E327" s="221">
        <v>0</v>
      </c>
      <c r="F327" s="222">
        <f t="shared" ref="F327:F391" si="5">D327+E327</f>
        <v>0</v>
      </c>
      <c r="G327" s="205" t="s">
        <v>566</v>
      </c>
      <c r="H327" s="219" t="s">
        <v>250</v>
      </c>
      <c r="J327" s="207" t="s">
        <v>567</v>
      </c>
      <c r="K327" s="207"/>
      <c r="L327" s="207">
        <f>IFERROR(SUMIF(data!$E:$E,科目余额表!$B327,data!H:H),0)</f>
        <v>0</v>
      </c>
      <c r="M327" s="207">
        <f>IFERROR(SUMIF(data!$E:$E,科目余额表!$B327,data!I:I),0)</f>
        <v>0</v>
      </c>
      <c r="N327" s="207">
        <f>IFERROR(SUMIF(data!$E:$E,科目余额表!$B327,data!J:J),0)</f>
        <v>0</v>
      </c>
      <c r="O327" s="207">
        <f>IFERROR(SUMIF(data!$E:$E,科目余额表!$B327,data!K:K),0)</f>
        <v>0</v>
      </c>
      <c r="P327" s="207">
        <f>IFERROR(SUMIF(data!$E:$E,科目余额表!$B327,data!L:L),0)</f>
        <v>0</v>
      </c>
      <c r="Q327" s="207">
        <f>IFERROR(SUMIF(data!$E:$E,科目余额表!$B327,data!M:M),0)</f>
        <v>0</v>
      </c>
      <c r="R327" s="207">
        <f>IFERROR(SUMIF(data!$E:$E,科目余额表!$B327,data!N:N),0)</f>
        <v>0</v>
      </c>
      <c r="S327" s="207">
        <f>IFERROR(SUMIF(data!$E:$E,科目余额表!$B327,data!O:O),0)</f>
        <v>0</v>
      </c>
      <c r="T327" s="207">
        <f>IFERROR(SUMIF(data!$E:$E,科目余额表!$B327,data!P:P),0)</f>
        <v>0</v>
      </c>
      <c r="U327" s="207">
        <f>IFERROR(SUMIF(data!$E:$E,科目余额表!$B327,data!Q:Q),0)</f>
        <v>0</v>
      </c>
      <c r="V327" s="207">
        <f>IFERROR(SUMIF(data!$E:$E,科目余额表!$B327,data!R:R),0)</f>
        <v>0</v>
      </c>
      <c r="W327" s="207">
        <f>IFERROR(SUMIF(data!$E:$E,科目余额表!$B327,data!S:S),0)</f>
        <v>0</v>
      </c>
      <c r="X327" s="207"/>
      <c r="Y327" s="207"/>
      <c r="Z327" s="207"/>
      <c r="AA327" s="207"/>
      <c r="AB327" s="207"/>
      <c r="AC327" s="207"/>
      <c r="AD327" s="207"/>
      <c r="AE327" s="207"/>
      <c r="AF327" s="207"/>
    </row>
    <row r="328" spans="1:32" s="214" customFormat="1" ht="11.65" customHeight="1">
      <c r="A328" s="215"/>
      <c r="B328" s="220">
        <v>27219</v>
      </c>
      <c r="C328" s="205" t="s">
        <v>587</v>
      </c>
      <c r="D328" s="221">
        <v>0</v>
      </c>
      <c r="E328" s="221">
        <v>0</v>
      </c>
      <c r="F328" s="222">
        <f t="shared" si="5"/>
        <v>0</v>
      </c>
      <c r="G328" s="205" t="s">
        <v>566</v>
      </c>
      <c r="H328" s="219" t="s">
        <v>250</v>
      </c>
      <c r="J328" s="207" t="s">
        <v>567</v>
      </c>
      <c r="K328" s="207"/>
      <c r="L328" s="207">
        <f>IFERROR(SUMIF(data!$E:$E,科目余额表!$B328,data!H:H),0)</f>
        <v>0</v>
      </c>
      <c r="M328" s="207">
        <f>IFERROR(SUMIF(data!$E:$E,科目余额表!$B328,data!I:I),0)</f>
        <v>0</v>
      </c>
      <c r="N328" s="207">
        <f>IFERROR(SUMIF(data!$E:$E,科目余额表!$B328,data!J:J),0)</f>
        <v>0</v>
      </c>
      <c r="O328" s="207">
        <f>IFERROR(SUMIF(data!$E:$E,科目余额表!$B328,data!K:K),0)</f>
        <v>0</v>
      </c>
      <c r="P328" s="207">
        <f>IFERROR(SUMIF(data!$E:$E,科目余额表!$B328,data!L:L),0)</f>
        <v>0</v>
      </c>
      <c r="Q328" s="207">
        <f>IFERROR(SUMIF(data!$E:$E,科目余额表!$B328,data!M:M),0)</f>
        <v>0</v>
      </c>
      <c r="R328" s="207">
        <f>IFERROR(SUMIF(data!$E:$E,科目余额表!$B328,data!N:N),0)</f>
        <v>0</v>
      </c>
      <c r="S328" s="207">
        <f>IFERROR(SUMIF(data!$E:$E,科目余额表!$B328,data!O:O),0)</f>
        <v>0</v>
      </c>
      <c r="T328" s="207">
        <f>IFERROR(SUMIF(data!$E:$E,科目余额表!$B328,data!P:P),0)</f>
        <v>0</v>
      </c>
      <c r="U328" s="207">
        <f>IFERROR(SUMIF(data!$E:$E,科目余额表!$B328,data!Q:Q),0)</f>
        <v>0</v>
      </c>
      <c r="V328" s="207">
        <f>IFERROR(SUMIF(data!$E:$E,科目余额表!$B328,data!R:R),0)</f>
        <v>0</v>
      </c>
      <c r="W328" s="207">
        <f>IFERROR(SUMIF(data!$E:$E,科目余额表!$B328,data!S:S),0)</f>
        <v>0</v>
      </c>
      <c r="X328" s="207"/>
      <c r="Y328" s="207"/>
      <c r="Z328" s="207"/>
      <c r="AA328" s="207"/>
      <c r="AB328" s="207"/>
      <c r="AC328" s="207"/>
      <c r="AD328" s="207"/>
      <c r="AE328" s="207"/>
      <c r="AF328" s="207"/>
    </row>
    <row r="329" spans="1:32" s="214" customFormat="1" ht="11.65" customHeight="1">
      <c r="A329" s="215"/>
      <c r="B329" s="220">
        <v>27300</v>
      </c>
      <c r="C329" s="205" t="s">
        <v>588</v>
      </c>
      <c r="D329" s="221">
        <v>0</v>
      </c>
      <c r="E329" s="221">
        <v>0</v>
      </c>
      <c r="F329" s="222">
        <f t="shared" si="5"/>
        <v>0</v>
      </c>
      <c r="G329" s="205" t="s">
        <v>566</v>
      </c>
      <c r="H329" s="219" t="s">
        <v>250</v>
      </c>
      <c r="J329" s="207" t="s">
        <v>567</v>
      </c>
      <c r="K329" s="207"/>
      <c r="L329" s="207">
        <f>IFERROR(SUMIF(data!$E:$E,科目余额表!$B329,data!H:H),0)</f>
        <v>0</v>
      </c>
      <c r="M329" s="207">
        <f>IFERROR(SUMIF(data!$E:$E,科目余额表!$B329,data!I:I),0)</f>
        <v>0</v>
      </c>
      <c r="N329" s="207">
        <f>IFERROR(SUMIF(data!$E:$E,科目余额表!$B329,data!J:J),0)</f>
        <v>0</v>
      </c>
      <c r="O329" s="207">
        <f>IFERROR(SUMIF(data!$E:$E,科目余额表!$B329,data!K:K),0)</f>
        <v>0</v>
      </c>
      <c r="P329" s="207">
        <f>IFERROR(SUMIF(data!$E:$E,科目余额表!$B329,data!L:L),0)</f>
        <v>0</v>
      </c>
      <c r="Q329" s="207">
        <f>IFERROR(SUMIF(data!$E:$E,科目余额表!$B329,data!M:M),0)</f>
        <v>0</v>
      </c>
      <c r="R329" s="207">
        <f>IFERROR(SUMIF(data!$E:$E,科目余额表!$B329,data!N:N),0)</f>
        <v>0</v>
      </c>
      <c r="S329" s="207">
        <f>IFERROR(SUMIF(data!$E:$E,科目余额表!$B329,data!O:O),0)</f>
        <v>0</v>
      </c>
      <c r="T329" s="207">
        <f>IFERROR(SUMIF(data!$E:$E,科目余额表!$B329,data!P:P),0)</f>
        <v>0</v>
      </c>
      <c r="U329" s="207">
        <f>IFERROR(SUMIF(data!$E:$E,科目余额表!$B329,data!Q:Q),0)</f>
        <v>0</v>
      </c>
      <c r="V329" s="207">
        <f>IFERROR(SUMIF(data!$E:$E,科目余额表!$B329,data!R:R),0)</f>
        <v>0</v>
      </c>
      <c r="W329" s="207">
        <f>IFERROR(SUMIF(data!$E:$E,科目余额表!$B329,data!S:S),0)</f>
        <v>0</v>
      </c>
      <c r="X329" s="207"/>
      <c r="Y329" s="207"/>
      <c r="Z329" s="207"/>
      <c r="AA329" s="207"/>
      <c r="AB329" s="207"/>
      <c r="AC329" s="207"/>
      <c r="AD329" s="207"/>
      <c r="AE329" s="207"/>
      <c r="AF329" s="207"/>
    </row>
    <row r="330" spans="1:32" s="214" customFormat="1" ht="11.65" customHeight="1">
      <c r="A330" s="215"/>
      <c r="B330" s="220">
        <v>27301</v>
      </c>
      <c r="C330" s="205" t="s">
        <v>589</v>
      </c>
      <c r="D330" s="221">
        <v>0</v>
      </c>
      <c r="E330" s="221">
        <v>0</v>
      </c>
      <c r="F330" s="222">
        <f t="shared" si="5"/>
        <v>0</v>
      </c>
      <c r="G330" s="205" t="s">
        <v>566</v>
      </c>
      <c r="H330" s="219" t="s">
        <v>250</v>
      </c>
      <c r="J330" s="207" t="s">
        <v>567</v>
      </c>
      <c r="K330" s="207"/>
      <c r="L330" s="207">
        <f>IFERROR(SUMIF(data!$E:$E,科目余额表!$B330,data!H:H),0)</f>
        <v>0</v>
      </c>
      <c r="M330" s="207">
        <f>IFERROR(SUMIF(data!$E:$E,科目余额表!$B330,data!I:I),0)</f>
        <v>0</v>
      </c>
      <c r="N330" s="207">
        <f>IFERROR(SUMIF(data!$E:$E,科目余额表!$B330,data!J:J),0)</f>
        <v>0</v>
      </c>
      <c r="O330" s="207">
        <f>IFERROR(SUMIF(data!$E:$E,科目余额表!$B330,data!K:K),0)</f>
        <v>0</v>
      </c>
      <c r="P330" s="207">
        <f>IFERROR(SUMIF(data!$E:$E,科目余额表!$B330,data!L:L),0)</f>
        <v>0</v>
      </c>
      <c r="Q330" s="207">
        <f>IFERROR(SUMIF(data!$E:$E,科目余额表!$B330,data!M:M),0)</f>
        <v>0</v>
      </c>
      <c r="R330" s="207">
        <f>IFERROR(SUMIF(data!$E:$E,科目余额表!$B330,data!N:N),0)</f>
        <v>0</v>
      </c>
      <c r="S330" s="207">
        <f>IFERROR(SUMIF(data!$E:$E,科目余额表!$B330,data!O:O),0)</f>
        <v>0</v>
      </c>
      <c r="T330" s="207">
        <f>IFERROR(SUMIF(data!$E:$E,科目余额表!$B330,data!P:P),0)</f>
        <v>0</v>
      </c>
      <c r="U330" s="207">
        <f>IFERROR(SUMIF(data!$E:$E,科目余额表!$B330,data!Q:Q),0)</f>
        <v>0</v>
      </c>
      <c r="V330" s="207">
        <f>IFERROR(SUMIF(data!$E:$E,科目余额表!$B330,data!R:R),0)</f>
        <v>0</v>
      </c>
      <c r="W330" s="207">
        <f>IFERROR(SUMIF(data!$E:$E,科目余额表!$B330,data!S:S),0)</f>
        <v>0</v>
      </c>
      <c r="X330" s="207"/>
      <c r="Y330" s="207"/>
      <c r="Z330" s="207"/>
      <c r="AA330" s="207"/>
      <c r="AB330" s="207"/>
      <c r="AC330" s="207"/>
      <c r="AD330" s="207"/>
      <c r="AE330" s="207"/>
      <c r="AF330" s="207"/>
    </row>
    <row r="331" spans="1:32" s="214" customFormat="1" ht="11.65" customHeight="1">
      <c r="A331" s="215"/>
      <c r="B331" s="220">
        <v>27302</v>
      </c>
      <c r="C331" s="205" t="s">
        <v>590</v>
      </c>
      <c r="D331" s="221">
        <v>0</v>
      </c>
      <c r="E331" s="221">
        <v>0</v>
      </c>
      <c r="F331" s="222">
        <f t="shared" si="5"/>
        <v>0</v>
      </c>
      <c r="G331" s="205" t="s">
        <v>566</v>
      </c>
      <c r="H331" s="219" t="s">
        <v>250</v>
      </c>
      <c r="J331" s="207" t="s">
        <v>567</v>
      </c>
      <c r="K331" s="207"/>
      <c r="L331" s="207">
        <f>IFERROR(SUMIF(data!$E:$E,科目余额表!$B331,data!H:H),0)</f>
        <v>0</v>
      </c>
      <c r="M331" s="207">
        <f>IFERROR(SUMIF(data!$E:$E,科目余额表!$B331,data!I:I),0)</f>
        <v>0</v>
      </c>
      <c r="N331" s="207">
        <f>IFERROR(SUMIF(data!$E:$E,科目余额表!$B331,data!J:J),0)</f>
        <v>0</v>
      </c>
      <c r="O331" s="207">
        <f>IFERROR(SUMIF(data!$E:$E,科目余额表!$B331,data!K:K),0)</f>
        <v>0</v>
      </c>
      <c r="P331" s="207">
        <f>IFERROR(SUMIF(data!$E:$E,科目余额表!$B331,data!L:L),0)</f>
        <v>0</v>
      </c>
      <c r="Q331" s="207">
        <f>IFERROR(SUMIF(data!$E:$E,科目余额表!$B331,data!M:M),0)</f>
        <v>0</v>
      </c>
      <c r="R331" s="207">
        <f>IFERROR(SUMIF(data!$E:$E,科目余额表!$B331,data!N:N),0)</f>
        <v>0</v>
      </c>
      <c r="S331" s="207">
        <f>IFERROR(SUMIF(data!$E:$E,科目余额表!$B331,data!O:O),0)</f>
        <v>0</v>
      </c>
      <c r="T331" s="207">
        <f>IFERROR(SUMIF(data!$E:$E,科目余额表!$B331,data!P:P),0)</f>
        <v>0</v>
      </c>
      <c r="U331" s="207">
        <f>IFERROR(SUMIF(data!$E:$E,科目余额表!$B331,data!Q:Q),0)</f>
        <v>0</v>
      </c>
      <c r="V331" s="207">
        <f>IFERROR(SUMIF(data!$E:$E,科目余额表!$B331,data!R:R),0)</f>
        <v>0</v>
      </c>
      <c r="W331" s="207">
        <f>IFERROR(SUMIF(data!$E:$E,科目余额表!$B331,data!S:S),0)</f>
        <v>0</v>
      </c>
      <c r="X331" s="207"/>
      <c r="Y331" s="207"/>
      <c r="Z331" s="207"/>
      <c r="AA331" s="207"/>
      <c r="AB331" s="207"/>
      <c r="AC331" s="207"/>
      <c r="AD331" s="207"/>
      <c r="AE331" s="207"/>
      <c r="AF331" s="207"/>
    </row>
    <row r="332" spans="1:32" s="214" customFormat="1" ht="11.65" customHeight="1">
      <c r="A332" s="215"/>
      <c r="B332" s="220">
        <v>27303</v>
      </c>
      <c r="C332" s="205" t="s">
        <v>591</v>
      </c>
      <c r="D332" s="221">
        <v>0</v>
      </c>
      <c r="E332" s="221">
        <v>0</v>
      </c>
      <c r="F332" s="222">
        <f t="shared" si="5"/>
        <v>0</v>
      </c>
      <c r="G332" s="205" t="s">
        <v>566</v>
      </c>
      <c r="H332" s="219" t="s">
        <v>250</v>
      </c>
      <c r="J332" s="207" t="s">
        <v>567</v>
      </c>
      <c r="K332" s="207"/>
      <c r="L332" s="207">
        <f>IFERROR(SUMIF(data!$E:$E,科目余额表!$B332,data!H:H),0)</f>
        <v>0</v>
      </c>
      <c r="M332" s="207">
        <f>IFERROR(SUMIF(data!$E:$E,科目余额表!$B332,data!I:I),0)</f>
        <v>0</v>
      </c>
      <c r="N332" s="207">
        <f>IFERROR(SUMIF(data!$E:$E,科目余额表!$B332,data!J:J),0)</f>
        <v>0</v>
      </c>
      <c r="O332" s="207">
        <f>IFERROR(SUMIF(data!$E:$E,科目余额表!$B332,data!K:K),0)</f>
        <v>0</v>
      </c>
      <c r="P332" s="207">
        <f>IFERROR(SUMIF(data!$E:$E,科目余额表!$B332,data!L:L),0)</f>
        <v>0</v>
      </c>
      <c r="Q332" s="207">
        <f>IFERROR(SUMIF(data!$E:$E,科目余额表!$B332,data!M:M),0)</f>
        <v>0</v>
      </c>
      <c r="R332" s="207">
        <f>IFERROR(SUMIF(data!$E:$E,科目余额表!$B332,data!N:N),0)</f>
        <v>0</v>
      </c>
      <c r="S332" s="207">
        <f>IFERROR(SUMIF(data!$E:$E,科目余额表!$B332,data!O:O),0)</f>
        <v>0</v>
      </c>
      <c r="T332" s="207">
        <f>IFERROR(SUMIF(data!$E:$E,科目余额表!$B332,data!P:P),0)</f>
        <v>0</v>
      </c>
      <c r="U332" s="207">
        <f>IFERROR(SUMIF(data!$E:$E,科目余额表!$B332,data!Q:Q),0)</f>
        <v>0</v>
      </c>
      <c r="V332" s="207">
        <f>IFERROR(SUMIF(data!$E:$E,科目余额表!$B332,data!R:R),0)</f>
        <v>0</v>
      </c>
      <c r="W332" s="207">
        <f>IFERROR(SUMIF(data!$E:$E,科目余额表!$B332,data!S:S),0)</f>
        <v>0</v>
      </c>
      <c r="X332" s="207"/>
      <c r="Y332" s="207"/>
      <c r="Z332" s="207"/>
      <c r="AA332" s="207"/>
      <c r="AB332" s="207"/>
      <c r="AC332" s="207"/>
      <c r="AD332" s="207"/>
      <c r="AE332" s="207"/>
      <c r="AF332" s="207"/>
    </row>
    <row r="333" spans="1:32" s="214" customFormat="1" ht="11.65" customHeight="1">
      <c r="A333" s="215"/>
      <c r="B333" s="220">
        <v>27305</v>
      </c>
      <c r="C333" s="205" t="s">
        <v>592</v>
      </c>
      <c r="D333" s="221">
        <v>0</v>
      </c>
      <c r="E333" s="221">
        <v>0</v>
      </c>
      <c r="F333" s="222">
        <f t="shared" si="5"/>
        <v>0</v>
      </c>
      <c r="G333" s="205" t="s">
        <v>566</v>
      </c>
      <c r="H333" s="219" t="s">
        <v>250</v>
      </c>
      <c r="J333" s="207" t="s">
        <v>567</v>
      </c>
      <c r="K333" s="207"/>
      <c r="L333" s="207">
        <f>IFERROR(SUMIF(data!$E:$E,科目余额表!$B333,data!H:H),0)</f>
        <v>0</v>
      </c>
      <c r="M333" s="207">
        <f>IFERROR(SUMIF(data!$E:$E,科目余额表!$B333,data!I:I),0)</f>
        <v>0</v>
      </c>
      <c r="N333" s="207">
        <f>IFERROR(SUMIF(data!$E:$E,科目余额表!$B333,data!J:J),0)</f>
        <v>0</v>
      </c>
      <c r="O333" s="207">
        <f>IFERROR(SUMIF(data!$E:$E,科目余额表!$B333,data!K:K),0)</f>
        <v>0</v>
      </c>
      <c r="P333" s="207">
        <f>IFERROR(SUMIF(data!$E:$E,科目余额表!$B333,data!L:L),0)</f>
        <v>0</v>
      </c>
      <c r="Q333" s="207">
        <f>IFERROR(SUMIF(data!$E:$E,科目余额表!$B333,data!M:M),0)</f>
        <v>0</v>
      </c>
      <c r="R333" s="207">
        <f>IFERROR(SUMIF(data!$E:$E,科目余额表!$B333,data!N:N),0)</f>
        <v>0</v>
      </c>
      <c r="S333" s="207">
        <f>IFERROR(SUMIF(data!$E:$E,科目余额表!$B333,data!O:O),0)</f>
        <v>0</v>
      </c>
      <c r="T333" s="207">
        <f>IFERROR(SUMIF(data!$E:$E,科目余额表!$B333,data!P:P),0)</f>
        <v>0</v>
      </c>
      <c r="U333" s="207">
        <f>IFERROR(SUMIF(data!$E:$E,科目余额表!$B333,data!Q:Q),0)</f>
        <v>0</v>
      </c>
      <c r="V333" s="207">
        <f>IFERROR(SUMIF(data!$E:$E,科目余额表!$B333,data!R:R),0)</f>
        <v>0</v>
      </c>
      <c r="W333" s="207">
        <f>IFERROR(SUMIF(data!$E:$E,科目余额表!$B333,data!S:S),0)</f>
        <v>0</v>
      </c>
      <c r="X333" s="207"/>
      <c r="Y333" s="207"/>
      <c r="Z333" s="207"/>
      <c r="AA333" s="207"/>
      <c r="AB333" s="207"/>
      <c r="AC333" s="207"/>
      <c r="AD333" s="207"/>
      <c r="AE333" s="207"/>
      <c r="AF333" s="207"/>
    </row>
    <row r="334" spans="1:32" s="214" customFormat="1" ht="11.65" customHeight="1">
      <c r="A334" s="215"/>
      <c r="B334" s="220">
        <v>27306</v>
      </c>
      <c r="C334" s="205" t="s">
        <v>593</v>
      </c>
      <c r="D334" s="221">
        <v>0</v>
      </c>
      <c r="E334" s="221">
        <v>0</v>
      </c>
      <c r="F334" s="222">
        <f t="shared" si="5"/>
        <v>0</v>
      </c>
      <c r="G334" s="205" t="s">
        <v>566</v>
      </c>
      <c r="H334" s="219" t="s">
        <v>250</v>
      </c>
      <c r="J334" s="207" t="s">
        <v>567</v>
      </c>
      <c r="K334" s="207"/>
      <c r="L334" s="207">
        <f>IFERROR(SUMIF(data!$E:$E,科目余额表!$B334,data!H:H),0)</f>
        <v>0</v>
      </c>
      <c r="M334" s="207">
        <f>IFERROR(SUMIF(data!$E:$E,科目余额表!$B334,data!I:I),0)</f>
        <v>0</v>
      </c>
      <c r="N334" s="207">
        <f>IFERROR(SUMIF(data!$E:$E,科目余额表!$B334,data!J:J),0)</f>
        <v>0</v>
      </c>
      <c r="O334" s="207">
        <f>IFERROR(SUMIF(data!$E:$E,科目余额表!$B334,data!K:K),0)</f>
        <v>0</v>
      </c>
      <c r="P334" s="207">
        <f>IFERROR(SUMIF(data!$E:$E,科目余额表!$B334,data!L:L),0)</f>
        <v>0</v>
      </c>
      <c r="Q334" s="207">
        <f>IFERROR(SUMIF(data!$E:$E,科目余额表!$B334,data!M:M),0)</f>
        <v>0</v>
      </c>
      <c r="R334" s="207">
        <f>IFERROR(SUMIF(data!$E:$E,科目余额表!$B334,data!N:N),0)</f>
        <v>0</v>
      </c>
      <c r="S334" s="207">
        <f>IFERROR(SUMIF(data!$E:$E,科目余额表!$B334,data!O:O),0)</f>
        <v>0</v>
      </c>
      <c r="T334" s="207">
        <f>IFERROR(SUMIF(data!$E:$E,科目余额表!$B334,data!P:P),0)</f>
        <v>0</v>
      </c>
      <c r="U334" s="207">
        <f>IFERROR(SUMIF(data!$E:$E,科目余额表!$B334,data!Q:Q),0)</f>
        <v>0</v>
      </c>
      <c r="V334" s="207">
        <f>IFERROR(SUMIF(data!$E:$E,科目余额表!$B334,data!R:R),0)</f>
        <v>0</v>
      </c>
      <c r="W334" s="207">
        <f>IFERROR(SUMIF(data!$E:$E,科目余额表!$B334,data!S:S),0)</f>
        <v>0</v>
      </c>
      <c r="X334" s="207"/>
      <c r="Y334" s="207"/>
      <c r="Z334" s="207"/>
      <c r="AA334" s="207"/>
      <c r="AB334" s="207"/>
      <c r="AC334" s="207"/>
      <c r="AD334" s="207"/>
      <c r="AE334" s="207"/>
      <c r="AF334" s="207"/>
    </row>
    <row r="335" spans="1:32" s="214" customFormat="1" ht="11.65" customHeight="1">
      <c r="A335" s="215"/>
      <c r="B335" s="220">
        <v>27307</v>
      </c>
      <c r="C335" s="205" t="s">
        <v>594</v>
      </c>
      <c r="D335" s="221">
        <v>0</v>
      </c>
      <c r="E335" s="221">
        <v>0</v>
      </c>
      <c r="F335" s="222">
        <f t="shared" si="5"/>
        <v>0</v>
      </c>
      <c r="G335" s="205" t="s">
        <v>566</v>
      </c>
      <c r="H335" s="219" t="s">
        <v>250</v>
      </c>
      <c r="J335" s="207" t="s">
        <v>567</v>
      </c>
      <c r="K335" s="207"/>
      <c r="L335" s="207">
        <f>IFERROR(SUMIF(data!$E:$E,科目余额表!$B335,data!H:H),0)</f>
        <v>0</v>
      </c>
      <c r="M335" s="207">
        <f>IFERROR(SUMIF(data!$E:$E,科目余额表!$B335,data!I:I),0)</f>
        <v>0</v>
      </c>
      <c r="N335" s="207">
        <f>IFERROR(SUMIF(data!$E:$E,科目余额表!$B335,data!J:J),0)</f>
        <v>0</v>
      </c>
      <c r="O335" s="207">
        <f>IFERROR(SUMIF(data!$E:$E,科目余额表!$B335,data!K:K),0)</f>
        <v>0</v>
      </c>
      <c r="P335" s="207">
        <f>IFERROR(SUMIF(data!$E:$E,科目余额表!$B335,data!L:L),0)</f>
        <v>0</v>
      </c>
      <c r="Q335" s="207">
        <f>IFERROR(SUMIF(data!$E:$E,科目余额表!$B335,data!M:M),0)</f>
        <v>0</v>
      </c>
      <c r="R335" s="207">
        <f>IFERROR(SUMIF(data!$E:$E,科目余额表!$B335,data!N:N),0)</f>
        <v>0</v>
      </c>
      <c r="S335" s="207">
        <f>IFERROR(SUMIF(data!$E:$E,科目余额表!$B335,data!O:O),0)</f>
        <v>0</v>
      </c>
      <c r="T335" s="207">
        <f>IFERROR(SUMIF(data!$E:$E,科目余额表!$B335,data!P:P),0)</f>
        <v>0</v>
      </c>
      <c r="U335" s="207">
        <f>IFERROR(SUMIF(data!$E:$E,科目余额表!$B335,data!Q:Q),0)</f>
        <v>0</v>
      </c>
      <c r="V335" s="207">
        <f>IFERROR(SUMIF(data!$E:$E,科目余额表!$B335,data!R:R),0)</f>
        <v>0</v>
      </c>
      <c r="W335" s="207">
        <f>IFERROR(SUMIF(data!$E:$E,科目余额表!$B335,data!S:S),0)</f>
        <v>0</v>
      </c>
      <c r="X335" s="207"/>
      <c r="Y335" s="207"/>
      <c r="Z335" s="207"/>
      <c r="AA335" s="207"/>
      <c r="AB335" s="207"/>
      <c r="AC335" s="207"/>
      <c r="AD335" s="207"/>
      <c r="AE335" s="207"/>
      <c r="AF335" s="207"/>
    </row>
    <row r="336" spans="1:32" s="214" customFormat="1" ht="11.65" customHeight="1">
      <c r="A336" s="215"/>
      <c r="B336" s="220">
        <v>27308</v>
      </c>
      <c r="C336" s="205" t="s">
        <v>595</v>
      </c>
      <c r="D336" s="221">
        <v>0</v>
      </c>
      <c r="E336" s="221">
        <v>0</v>
      </c>
      <c r="F336" s="222">
        <f t="shared" si="5"/>
        <v>0</v>
      </c>
      <c r="G336" s="205" t="s">
        <v>566</v>
      </c>
      <c r="H336" s="219" t="s">
        <v>250</v>
      </c>
      <c r="J336" s="207" t="s">
        <v>567</v>
      </c>
      <c r="K336" s="207"/>
      <c r="L336" s="207">
        <f>IFERROR(SUMIF(data!$E:$E,科目余额表!$B336,data!H:H),0)</f>
        <v>0</v>
      </c>
      <c r="M336" s="207">
        <f>IFERROR(SUMIF(data!$E:$E,科目余额表!$B336,data!I:I),0)</f>
        <v>0</v>
      </c>
      <c r="N336" s="207">
        <f>IFERROR(SUMIF(data!$E:$E,科目余额表!$B336,data!J:J),0)</f>
        <v>0</v>
      </c>
      <c r="O336" s="207">
        <f>IFERROR(SUMIF(data!$E:$E,科目余额表!$B336,data!K:K),0)</f>
        <v>0</v>
      </c>
      <c r="P336" s="207">
        <f>IFERROR(SUMIF(data!$E:$E,科目余额表!$B336,data!L:L),0)</f>
        <v>0</v>
      </c>
      <c r="Q336" s="207">
        <f>IFERROR(SUMIF(data!$E:$E,科目余额表!$B336,data!M:M),0)</f>
        <v>0</v>
      </c>
      <c r="R336" s="207">
        <f>IFERROR(SUMIF(data!$E:$E,科目余额表!$B336,data!N:N),0)</f>
        <v>0</v>
      </c>
      <c r="S336" s="207">
        <f>IFERROR(SUMIF(data!$E:$E,科目余额表!$B336,data!O:O),0)</f>
        <v>0</v>
      </c>
      <c r="T336" s="207">
        <f>IFERROR(SUMIF(data!$E:$E,科目余额表!$B336,data!P:P),0)</f>
        <v>0</v>
      </c>
      <c r="U336" s="207">
        <f>IFERROR(SUMIF(data!$E:$E,科目余额表!$B336,data!Q:Q),0)</f>
        <v>0</v>
      </c>
      <c r="V336" s="207">
        <f>IFERROR(SUMIF(data!$E:$E,科目余额表!$B336,data!R:R),0)</f>
        <v>0</v>
      </c>
      <c r="W336" s="207">
        <f>IFERROR(SUMIF(data!$E:$E,科目余额表!$B336,data!S:S),0)</f>
        <v>0</v>
      </c>
      <c r="X336" s="207"/>
      <c r="Y336" s="207"/>
      <c r="Z336" s="207"/>
      <c r="AA336" s="207"/>
      <c r="AB336" s="207"/>
      <c r="AC336" s="207"/>
      <c r="AD336" s="207"/>
      <c r="AE336" s="207"/>
      <c r="AF336" s="207"/>
    </row>
    <row r="337" spans="1:32" s="214" customFormat="1" ht="11.65" customHeight="1">
      <c r="A337" s="215"/>
      <c r="B337" s="220">
        <v>27309</v>
      </c>
      <c r="C337" s="205" t="s">
        <v>596</v>
      </c>
      <c r="D337" s="221">
        <v>0</v>
      </c>
      <c r="E337" s="221">
        <v>0</v>
      </c>
      <c r="F337" s="222">
        <f t="shared" si="5"/>
        <v>0</v>
      </c>
      <c r="G337" s="205" t="s">
        <v>566</v>
      </c>
      <c r="H337" s="219" t="s">
        <v>250</v>
      </c>
      <c r="J337" s="207" t="s">
        <v>567</v>
      </c>
      <c r="K337" s="207"/>
      <c r="L337" s="207">
        <f>IFERROR(SUMIF(data!$E:$E,科目余额表!$B337,data!H:H),0)</f>
        <v>0</v>
      </c>
      <c r="M337" s="207">
        <f>IFERROR(SUMIF(data!$E:$E,科目余额表!$B337,data!I:I),0)</f>
        <v>0</v>
      </c>
      <c r="N337" s="207">
        <f>IFERROR(SUMIF(data!$E:$E,科目余额表!$B337,data!J:J),0)</f>
        <v>0</v>
      </c>
      <c r="O337" s="207">
        <f>IFERROR(SUMIF(data!$E:$E,科目余额表!$B337,data!K:K),0)</f>
        <v>0</v>
      </c>
      <c r="P337" s="207">
        <f>IFERROR(SUMIF(data!$E:$E,科目余额表!$B337,data!L:L),0)</f>
        <v>0</v>
      </c>
      <c r="Q337" s="207">
        <f>IFERROR(SUMIF(data!$E:$E,科目余额表!$B337,data!M:M),0)</f>
        <v>0</v>
      </c>
      <c r="R337" s="207">
        <f>IFERROR(SUMIF(data!$E:$E,科目余额表!$B337,data!N:N),0)</f>
        <v>0</v>
      </c>
      <c r="S337" s="207">
        <f>IFERROR(SUMIF(data!$E:$E,科目余额表!$B337,data!O:O),0)</f>
        <v>0</v>
      </c>
      <c r="T337" s="207">
        <f>IFERROR(SUMIF(data!$E:$E,科目余额表!$B337,data!P:P),0)</f>
        <v>0</v>
      </c>
      <c r="U337" s="207">
        <f>IFERROR(SUMIF(data!$E:$E,科目余额表!$B337,data!Q:Q),0)</f>
        <v>0</v>
      </c>
      <c r="V337" s="207">
        <f>IFERROR(SUMIF(data!$E:$E,科目余额表!$B337,data!R:R),0)</f>
        <v>0</v>
      </c>
      <c r="W337" s="207">
        <f>IFERROR(SUMIF(data!$E:$E,科目余额表!$B337,data!S:S),0)</f>
        <v>0</v>
      </c>
      <c r="X337" s="207"/>
      <c r="Y337" s="207"/>
      <c r="Z337" s="207"/>
      <c r="AA337" s="207"/>
      <c r="AB337" s="207"/>
      <c r="AC337" s="207"/>
      <c r="AD337" s="207"/>
      <c r="AE337" s="207"/>
      <c r="AF337" s="207"/>
    </row>
    <row r="338" spans="1:32" s="214" customFormat="1" ht="11.65" customHeight="1">
      <c r="A338" s="215"/>
      <c r="B338" s="220">
        <v>27310</v>
      </c>
      <c r="C338" s="205" t="s">
        <v>597</v>
      </c>
      <c r="D338" s="221">
        <v>0</v>
      </c>
      <c r="E338" s="221">
        <v>0</v>
      </c>
      <c r="F338" s="222">
        <f t="shared" si="5"/>
        <v>0</v>
      </c>
      <c r="G338" s="205" t="s">
        <v>566</v>
      </c>
      <c r="H338" s="219" t="s">
        <v>250</v>
      </c>
      <c r="J338" s="207" t="s">
        <v>567</v>
      </c>
      <c r="K338" s="207"/>
      <c r="L338" s="207">
        <f>IFERROR(SUMIF(data!$E:$E,科目余额表!$B338,data!H:H),0)</f>
        <v>0</v>
      </c>
      <c r="M338" s="207">
        <f>IFERROR(SUMIF(data!$E:$E,科目余额表!$B338,data!I:I),0)</f>
        <v>0</v>
      </c>
      <c r="N338" s="207">
        <f>IFERROR(SUMIF(data!$E:$E,科目余额表!$B338,data!J:J),0)</f>
        <v>0</v>
      </c>
      <c r="O338" s="207">
        <f>IFERROR(SUMIF(data!$E:$E,科目余额表!$B338,data!K:K),0)</f>
        <v>0</v>
      </c>
      <c r="P338" s="207">
        <f>IFERROR(SUMIF(data!$E:$E,科目余额表!$B338,data!L:L),0)</f>
        <v>0</v>
      </c>
      <c r="Q338" s="207">
        <f>IFERROR(SUMIF(data!$E:$E,科目余额表!$B338,data!M:M),0)</f>
        <v>0</v>
      </c>
      <c r="R338" s="207">
        <f>IFERROR(SUMIF(data!$E:$E,科目余额表!$B338,data!N:N),0)</f>
        <v>0</v>
      </c>
      <c r="S338" s="207">
        <f>IFERROR(SUMIF(data!$E:$E,科目余额表!$B338,data!O:O),0)</f>
        <v>0</v>
      </c>
      <c r="T338" s="207">
        <f>IFERROR(SUMIF(data!$E:$E,科目余额表!$B338,data!P:P),0)</f>
        <v>0</v>
      </c>
      <c r="U338" s="207">
        <f>IFERROR(SUMIF(data!$E:$E,科目余额表!$B338,data!Q:Q),0)</f>
        <v>0</v>
      </c>
      <c r="V338" s="207">
        <f>IFERROR(SUMIF(data!$E:$E,科目余额表!$B338,data!R:R),0)</f>
        <v>0</v>
      </c>
      <c r="W338" s="207">
        <f>IFERROR(SUMIF(data!$E:$E,科目余额表!$B338,data!S:S),0)</f>
        <v>0</v>
      </c>
      <c r="X338" s="207"/>
      <c r="Y338" s="207"/>
      <c r="Z338" s="207"/>
      <c r="AA338" s="207"/>
      <c r="AB338" s="207"/>
      <c r="AC338" s="207"/>
      <c r="AD338" s="207"/>
      <c r="AE338" s="207"/>
      <c r="AF338" s="207"/>
    </row>
    <row r="339" spans="1:32" s="214" customFormat="1" ht="11.65" customHeight="1">
      <c r="A339" s="215"/>
      <c r="B339" s="220">
        <v>27311</v>
      </c>
      <c r="C339" s="205" t="s">
        <v>598</v>
      </c>
      <c r="D339" s="221">
        <v>0</v>
      </c>
      <c r="E339" s="221">
        <v>-47600.75</v>
      </c>
      <c r="F339" s="222">
        <f t="shared" si="5"/>
        <v>-47600.75</v>
      </c>
      <c r="G339" s="205" t="s">
        <v>566</v>
      </c>
      <c r="H339" s="219" t="s">
        <v>250</v>
      </c>
      <c r="J339" s="207" t="s">
        <v>567</v>
      </c>
      <c r="K339" s="207"/>
      <c r="L339" s="207">
        <f>IFERROR(SUMIF(data!$E:$E,科目余额表!$B339,data!H:H),0)</f>
        <v>0</v>
      </c>
      <c r="M339" s="207">
        <f>IFERROR(SUMIF(data!$E:$E,科目余额表!$B339,data!I:I),0)</f>
        <v>0</v>
      </c>
      <c r="N339" s="207">
        <f>IFERROR(SUMIF(data!$E:$E,科目余额表!$B339,data!J:J),0)</f>
        <v>-9573.25</v>
      </c>
      <c r="O339" s="207">
        <f>IFERROR(SUMIF(data!$E:$E,科目余额表!$B339,data!K:K),0)</f>
        <v>0</v>
      </c>
      <c r="P339" s="207">
        <f>IFERROR(SUMIF(data!$E:$E,科目余额表!$B339,data!L:L),0)</f>
        <v>0</v>
      </c>
      <c r="Q339" s="207">
        <f>IFERROR(SUMIF(data!$E:$E,科目余额表!$B339,data!M:M),0)</f>
        <v>-9696.92</v>
      </c>
      <c r="R339" s="207">
        <f>IFERROR(SUMIF(data!$E:$E,科目余额表!$B339,data!N:N),0)</f>
        <v>0</v>
      </c>
      <c r="S339" s="207">
        <f>IFERROR(SUMIF(data!$E:$E,科目余额表!$B339,data!O:O),0)</f>
        <v>0</v>
      </c>
      <c r="T339" s="207">
        <f>IFERROR(SUMIF(data!$E:$E,科目余额表!$B339,data!P:P),0)</f>
        <v>-8254.67</v>
      </c>
      <c r="U339" s="207">
        <f>IFERROR(SUMIF(data!$E:$E,科目余额表!$B339,data!Q:Q),0)</f>
        <v>0</v>
      </c>
      <c r="V339" s="207">
        <f>IFERROR(SUMIF(data!$E:$E,科目余额表!$B339,data!R:R),0)</f>
        <v>0</v>
      </c>
      <c r="W339" s="207">
        <f>IFERROR(SUMIF(data!$E:$E,科目余额表!$B339,data!S:S),0)</f>
        <v>-47600.75</v>
      </c>
      <c r="X339" s="207"/>
      <c r="Y339" s="207"/>
      <c r="Z339" s="207"/>
      <c r="AA339" s="207"/>
      <c r="AB339" s="207"/>
      <c r="AC339" s="207"/>
      <c r="AD339" s="207"/>
      <c r="AE339" s="207"/>
      <c r="AF339" s="207"/>
    </row>
    <row r="340" spans="1:32" s="214" customFormat="1" ht="11.65" customHeight="1">
      <c r="A340" s="215"/>
      <c r="B340" s="220">
        <v>27312</v>
      </c>
      <c r="C340" s="220" t="s">
        <v>599</v>
      </c>
      <c r="D340" s="221">
        <v>-383.85</v>
      </c>
      <c r="E340" s="221">
        <v>-2078.15</v>
      </c>
      <c r="F340" s="222">
        <f t="shared" si="5"/>
        <v>-2462</v>
      </c>
      <c r="G340" s="205" t="s">
        <v>566</v>
      </c>
      <c r="H340" s="219" t="s">
        <v>250</v>
      </c>
      <c r="J340" s="207" t="s">
        <v>567</v>
      </c>
      <c r="K340" s="207"/>
      <c r="L340" s="207">
        <f>IFERROR(SUMIF(data!$E:$E,科目余额表!$B340,data!H:H),0)</f>
        <v>-3568.25</v>
      </c>
      <c r="M340" s="207">
        <f>IFERROR(SUMIF(data!$E:$E,科目余额表!$B340,data!I:I),0)</f>
        <v>-2672.35</v>
      </c>
      <c r="N340" s="207">
        <f>IFERROR(SUMIF(data!$E:$E,科目余额表!$B340,data!J:J),0)</f>
        <v>-4319.7299999999996</v>
      </c>
      <c r="O340" s="207">
        <f>IFERROR(SUMIF(data!$E:$E,科目余额表!$B340,data!K:K),0)</f>
        <v>-2917.73</v>
      </c>
      <c r="P340" s="207">
        <f>IFERROR(SUMIF(data!$E:$E,科目余额表!$B340,data!L:L),0)</f>
        <v>-3932.88</v>
      </c>
      <c r="Q340" s="207">
        <f>IFERROR(SUMIF(data!$E:$E,科目余额表!$B340,data!M:M),0)</f>
        <v>-3938.25</v>
      </c>
      <c r="R340" s="207">
        <f>IFERROR(SUMIF(data!$E:$E,科目余额表!$B340,data!N:N),0)</f>
        <v>-2751.96</v>
      </c>
      <c r="S340" s="207">
        <f>IFERROR(SUMIF(data!$E:$E,科目余额表!$B340,data!O:O),0)</f>
        <v>-1393.81</v>
      </c>
      <c r="T340" s="207">
        <f>IFERROR(SUMIF(data!$E:$E,科目余额表!$B340,data!P:P),0)</f>
        <v>-1522.12</v>
      </c>
      <c r="U340" s="207">
        <f>IFERROR(SUMIF(data!$E:$E,科目余额表!$B340,data!Q:Q),0)</f>
        <v>-1625.76</v>
      </c>
      <c r="V340" s="207">
        <f>IFERROR(SUMIF(data!$E:$E,科目余额表!$B340,data!R:R),0)</f>
        <v>-383.85</v>
      </c>
      <c r="W340" s="207">
        <f>IFERROR(SUMIF(data!$E:$E,科目余额表!$B340,data!S:S),0)</f>
        <v>-2462</v>
      </c>
      <c r="X340" s="207"/>
      <c r="Y340" s="207"/>
      <c r="Z340" s="207"/>
      <c r="AA340" s="207"/>
      <c r="AB340" s="207"/>
      <c r="AC340" s="207"/>
      <c r="AD340" s="207"/>
      <c r="AE340" s="207"/>
      <c r="AF340" s="207"/>
    </row>
    <row r="341" spans="1:32" s="214" customFormat="1" ht="11.65" customHeight="1">
      <c r="A341" s="215"/>
      <c r="B341" s="220">
        <v>27313</v>
      </c>
      <c r="C341" s="205" t="s">
        <v>600</v>
      </c>
      <c r="D341" s="221">
        <v>0</v>
      </c>
      <c r="E341" s="221">
        <v>0</v>
      </c>
      <c r="F341" s="222">
        <f t="shared" si="5"/>
        <v>0</v>
      </c>
      <c r="G341" s="205" t="s">
        <v>566</v>
      </c>
      <c r="H341" s="219" t="s">
        <v>250</v>
      </c>
      <c r="J341" s="207" t="s">
        <v>567</v>
      </c>
      <c r="K341" s="207"/>
      <c r="L341" s="207">
        <f>IFERROR(SUMIF(data!$E:$E,科目余额表!$B341,data!H:H),0)</f>
        <v>0</v>
      </c>
      <c r="M341" s="207">
        <f>IFERROR(SUMIF(data!$E:$E,科目余额表!$B341,data!I:I),0)</f>
        <v>0</v>
      </c>
      <c r="N341" s="207">
        <f>IFERROR(SUMIF(data!$E:$E,科目余额表!$B341,data!J:J),0)</f>
        <v>0</v>
      </c>
      <c r="O341" s="207">
        <f>IFERROR(SUMIF(data!$E:$E,科目余额表!$B341,data!K:K),0)</f>
        <v>0</v>
      </c>
      <c r="P341" s="207">
        <f>IFERROR(SUMIF(data!$E:$E,科目余额表!$B341,data!L:L),0)</f>
        <v>0</v>
      </c>
      <c r="Q341" s="207">
        <f>IFERROR(SUMIF(data!$E:$E,科目余额表!$B341,data!M:M),0)</f>
        <v>0</v>
      </c>
      <c r="R341" s="207">
        <f>IFERROR(SUMIF(data!$E:$E,科目余额表!$B341,data!N:N),0)</f>
        <v>0</v>
      </c>
      <c r="S341" s="207">
        <f>IFERROR(SUMIF(data!$E:$E,科目余额表!$B341,data!O:O),0)</f>
        <v>0</v>
      </c>
      <c r="T341" s="207">
        <f>IFERROR(SUMIF(data!$E:$E,科目余额表!$B341,data!P:P),0)</f>
        <v>0</v>
      </c>
      <c r="U341" s="207">
        <f>IFERROR(SUMIF(data!$E:$E,科目余额表!$B341,data!Q:Q),0)</f>
        <v>0</v>
      </c>
      <c r="V341" s="207">
        <f>IFERROR(SUMIF(data!$E:$E,科目余额表!$B341,data!R:R),0)</f>
        <v>0</v>
      </c>
      <c r="W341" s="207">
        <f>IFERROR(SUMIF(data!$E:$E,科目余额表!$B341,data!S:S),0)</f>
        <v>0</v>
      </c>
      <c r="X341" s="207"/>
      <c r="Y341" s="207"/>
      <c r="Z341" s="207"/>
      <c r="AA341" s="207"/>
      <c r="AB341" s="207"/>
      <c r="AC341" s="207"/>
      <c r="AD341" s="207"/>
      <c r="AE341" s="207"/>
      <c r="AF341" s="207"/>
    </row>
    <row r="342" spans="1:32" s="214" customFormat="1" ht="11.65" customHeight="1">
      <c r="A342" s="215"/>
      <c r="B342" s="220">
        <v>27314</v>
      </c>
      <c r="C342" s="205" t="s">
        <v>601</v>
      </c>
      <c r="D342" s="221">
        <v>0</v>
      </c>
      <c r="E342" s="221">
        <v>0</v>
      </c>
      <c r="F342" s="222">
        <f t="shared" si="5"/>
        <v>0</v>
      </c>
      <c r="G342" s="205" t="s">
        <v>566</v>
      </c>
      <c r="H342" s="219" t="s">
        <v>250</v>
      </c>
      <c r="J342" s="207" t="s">
        <v>567</v>
      </c>
      <c r="K342" s="207"/>
      <c r="L342" s="207">
        <f>IFERROR(SUMIF(data!$E:$E,科目余额表!$B342,data!H:H),0)</f>
        <v>0</v>
      </c>
      <c r="M342" s="207">
        <f>IFERROR(SUMIF(data!$E:$E,科目余额表!$B342,data!I:I),0)</f>
        <v>0</v>
      </c>
      <c r="N342" s="207">
        <f>IFERROR(SUMIF(data!$E:$E,科目余额表!$B342,data!J:J),0)</f>
        <v>0</v>
      </c>
      <c r="O342" s="207">
        <f>IFERROR(SUMIF(data!$E:$E,科目余额表!$B342,data!K:K),0)</f>
        <v>0</v>
      </c>
      <c r="P342" s="207">
        <f>IFERROR(SUMIF(data!$E:$E,科目余额表!$B342,data!L:L),0)</f>
        <v>0</v>
      </c>
      <c r="Q342" s="207">
        <f>IFERROR(SUMIF(data!$E:$E,科目余额表!$B342,data!M:M),0)</f>
        <v>0</v>
      </c>
      <c r="R342" s="207">
        <f>IFERROR(SUMIF(data!$E:$E,科目余额表!$B342,data!N:N),0)</f>
        <v>0</v>
      </c>
      <c r="S342" s="207">
        <f>IFERROR(SUMIF(data!$E:$E,科目余额表!$B342,data!O:O),0)</f>
        <v>0</v>
      </c>
      <c r="T342" s="207">
        <f>IFERROR(SUMIF(data!$E:$E,科目余额表!$B342,data!P:P),0)</f>
        <v>0</v>
      </c>
      <c r="U342" s="207">
        <f>IFERROR(SUMIF(data!$E:$E,科目余额表!$B342,data!Q:Q),0)</f>
        <v>0</v>
      </c>
      <c r="V342" s="207">
        <f>IFERROR(SUMIF(data!$E:$E,科目余额表!$B342,data!R:R),0)</f>
        <v>0</v>
      </c>
      <c r="W342" s="207">
        <f>IFERROR(SUMIF(data!$E:$E,科目余额表!$B342,data!S:S),0)</f>
        <v>0</v>
      </c>
      <c r="X342" s="207"/>
      <c r="Y342" s="207"/>
      <c r="Z342" s="207"/>
      <c r="AA342" s="207"/>
      <c r="AB342" s="207"/>
      <c r="AC342" s="207"/>
      <c r="AD342" s="207"/>
      <c r="AE342" s="207"/>
      <c r="AF342" s="207"/>
    </row>
    <row r="343" spans="1:32" s="214" customFormat="1" ht="11.65" customHeight="1">
      <c r="A343" s="215"/>
      <c r="B343" s="220">
        <v>27315</v>
      </c>
      <c r="C343" s="205" t="s">
        <v>602</v>
      </c>
      <c r="D343" s="221">
        <v>0</v>
      </c>
      <c r="E343" s="221">
        <v>0</v>
      </c>
      <c r="F343" s="222">
        <f t="shared" si="5"/>
        <v>0</v>
      </c>
      <c r="G343" s="205" t="s">
        <v>566</v>
      </c>
      <c r="H343" s="219" t="s">
        <v>250</v>
      </c>
      <c r="J343" s="207" t="s">
        <v>567</v>
      </c>
      <c r="K343" s="207"/>
      <c r="L343" s="207">
        <f>IFERROR(SUMIF(data!$E:$E,科目余额表!$B343,data!H:H),0)</f>
        <v>0</v>
      </c>
      <c r="M343" s="207">
        <f>IFERROR(SUMIF(data!$E:$E,科目余额表!$B343,data!I:I),0)</f>
        <v>0</v>
      </c>
      <c r="N343" s="207">
        <f>IFERROR(SUMIF(data!$E:$E,科目余额表!$B343,data!J:J),0)</f>
        <v>0</v>
      </c>
      <c r="O343" s="207">
        <f>IFERROR(SUMIF(data!$E:$E,科目余额表!$B343,data!K:K),0)</f>
        <v>0</v>
      </c>
      <c r="P343" s="207">
        <f>IFERROR(SUMIF(data!$E:$E,科目余额表!$B343,data!L:L),0)</f>
        <v>0</v>
      </c>
      <c r="Q343" s="207">
        <f>IFERROR(SUMIF(data!$E:$E,科目余额表!$B343,data!M:M),0)</f>
        <v>0</v>
      </c>
      <c r="R343" s="207">
        <f>IFERROR(SUMIF(data!$E:$E,科目余额表!$B343,data!N:N),0)</f>
        <v>0</v>
      </c>
      <c r="S343" s="207">
        <f>IFERROR(SUMIF(data!$E:$E,科目余额表!$B343,data!O:O),0)</f>
        <v>0</v>
      </c>
      <c r="T343" s="207">
        <f>IFERROR(SUMIF(data!$E:$E,科目余额表!$B343,data!P:P),0)</f>
        <v>0</v>
      </c>
      <c r="U343" s="207">
        <f>IFERROR(SUMIF(data!$E:$E,科目余额表!$B343,data!Q:Q),0)</f>
        <v>0</v>
      </c>
      <c r="V343" s="207">
        <f>IFERROR(SUMIF(data!$E:$E,科目余额表!$B343,data!R:R),0)</f>
        <v>0</v>
      </c>
      <c r="W343" s="207">
        <f>IFERROR(SUMIF(data!$E:$E,科目余额表!$B343,data!S:S),0)</f>
        <v>0</v>
      </c>
      <c r="X343" s="207"/>
      <c r="Y343" s="207"/>
      <c r="Z343" s="207"/>
      <c r="AA343" s="207"/>
      <c r="AB343" s="207"/>
      <c r="AC343" s="207"/>
      <c r="AD343" s="207"/>
      <c r="AE343" s="207"/>
      <c r="AF343" s="207"/>
    </row>
    <row r="344" spans="1:32" s="214" customFormat="1" ht="11.65" customHeight="1">
      <c r="A344" s="215"/>
      <c r="B344" s="220">
        <v>27399</v>
      </c>
      <c r="C344" s="205" t="s">
        <v>566</v>
      </c>
      <c r="D344" s="221">
        <v>0</v>
      </c>
      <c r="E344" s="221">
        <v>0</v>
      </c>
      <c r="F344" s="222">
        <f t="shared" si="5"/>
        <v>0</v>
      </c>
      <c r="G344" s="205" t="s">
        <v>566</v>
      </c>
      <c r="H344" s="219" t="s">
        <v>250</v>
      </c>
      <c r="J344" s="207" t="s">
        <v>567</v>
      </c>
      <c r="K344" s="207"/>
      <c r="L344" s="207">
        <f>IFERROR(SUMIF(data!$E:$E,科目余额表!$B344,data!H:H),0)</f>
        <v>0</v>
      </c>
      <c r="M344" s="207">
        <f>IFERROR(SUMIF(data!$E:$E,科目余额表!$B344,data!I:I),0)</f>
        <v>0</v>
      </c>
      <c r="N344" s="207">
        <f>IFERROR(SUMIF(data!$E:$E,科目余额表!$B344,data!J:J),0)</f>
        <v>0</v>
      </c>
      <c r="O344" s="207">
        <f>IFERROR(SUMIF(data!$E:$E,科目余额表!$B344,data!K:K),0)</f>
        <v>0</v>
      </c>
      <c r="P344" s="207">
        <f>IFERROR(SUMIF(data!$E:$E,科目余额表!$B344,data!L:L),0)</f>
        <v>0</v>
      </c>
      <c r="Q344" s="207">
        <f>IFERROR(SUMIF(data!$E:$E,科目余额表!$B344,data!M:M),0)</f>
        <v>0</v>
      </c>
      <c r="R344" s="207">
        <f>IFERROR(SUMIF(data!$E:$E,科目余额表!$B344,data!N:N),0)</f>
        <v>0</v>
      </c>
      <c r="S344" s="207">
        <f>IFERROR(SUMIF(data!$E:$E,科目余额表!$B344,data!O:O),0)</f>
        <v>0</v>
      </c>
      <c r="T344" s="207">
        <f>IFERROR(SUMIF(data!$E:$E,科目余额表!$B344,data!P:P),0)</f>
        <v>0</v>
      </c>
      <c r="U344" s="207">
        <f>IFERROR(SUMIF(data!$E:$E,科目余额表!$B344,data!Q:Q),0)</f>
        <v>0</v>
      </c>
      <c r="V344" s="207">
        <f>IFERROR(SUMIF(data!$E:$E,科目余额表!$B344,data!R:R),0)</f>
        <v>0</v>
      </c>
      <c r="W344" s="207">
        <f>IFERROR(SUMIF(data!$E:$E,科目余额表!$B344,data!S:S),0)</f>
        <v>0</v>
      </c>
      <c r="X344" s="207"/>
      <c r="Y344" s="207"/>
      <c r="Z344" s="207"/>
      <c r="AA344" s="207"/>
      <c r="AB344" s="207"/>
      <c r="AC344" s="207"/>
      <c r="AD344" s="207"/>
      <c r="AE344" s="207"/>
      <c r="AF344" s="207"/>
    </row>
    <row r="345" spans="1:32" s="214" customFormat="1" ht="11.65" customHeight="1">
      <c r="A345" s="215"/>
      <c r="B345" s="220">
        <v>28000</v>
      </c>
      <c r="C345" s="205" t="s">
        <v>603</v>
      </c>
      <c r="D345" s="221">
        <v>0</v>
      </c>
      <c r="E345" s="221">
        <v>0</v>
      </c>
      <c r="F345" s="222">
        <f t="shared" si="5"/>
        <v>0</v>
      </c>
      <c r="G345" s="205" t="s">
        <v>603</v>
      </c>
      <c r="H345" s="219" t="s">
        <v>250</v>
      </c>
      <c r="J345" s="207" t="s">
        <v>604</v>
      </c>
      <c r="K345" s="207"/>
      <c r="L345" s="207">
        <f>IFERROR(SUMIF(data!$E:$E,科目余额表!$B345,data!H:H),0)</f>
        <v>0</v>
      </c>
      <c r="M345" s="207">
        <f>IFERROR(SUMIF(data!$E:$E,科目余额表!$B345,data!I:I),0)</f>
        <v>0</v>
      </c>
      <c r="N345" s="207">
        <f>IFERROR(SUMIF(data!$E:$E,科目余额表!$B345,data!J:J),0)</f>
        <v>0</v>
      </c>
      <c r="O345" s="207">
        <f>IFERROR(SUMIF(data!$E:$E,科目余额表!$B345,data!K:K),0)</f>
        <v>0</v>
      </c>
      <c r="P345" s="207">
        <f>IFERROR(SUMIF(data!$E:$E,科目余额表!$B345,data!L:L),0)</f>
        <v>0</v>
      </c>
      <c r="Q345" s="207">
        <f>IFERROR(SUMIF(data!$E:$E,科目余额表!$B345,data!M:M),0)</f>
        <v>0</v>
      </c>
      <c r="R345" s="207">
        <f>IFERROR(SUMIF(data!$E:$E,科目余额表!$B345,data!N:N),0)</f>
        <v>0</v>
      </c>
      <c r="S345" s="207">
        <f>IFERROR(SUMIF(data!$E:$E,科目余额表!$B345,data!O:O),0)</f>
        <v>0</v>
      </c>
      <c r="T345" s="207">
        <f>IFERROR(SUMIF(data!$E:$E,科目余额表!$B345,data!P:P),0)</f>
        <v>0</v>
      </c>
      <c r="U345" s="207">
        <f>IFERROR(SUMIF(data!$E:$E,科目余额表!$B345,data!Q:Q),0)</f>
        <v>0</v>
      </c>
      <c r="V345" s="207">
        <f>IFERROR(SUMIF(data!$E:$E,科目余额表!$B345,data!R:R),0)</f>
        <v>0</v>
      </c>
      <c r="W345" s="207">
        <f>IFERROR(SUMIF(data!$E:$E,科目余额表!$B345,data!S:S),0)</f>
        <v>0</v>
      </c>
      <c r="X345" s="207"/>
      <c r="Y345" s="207"/>
      <c r="Z345" s="207"/>
      <c r="AA345" s="207"/>
      <c r="AB345" s="207"/>
      <c r="AC345" s="207"/>
      <c r="AD345" s="207"/>
      <c r="AE345" s="207"/>
      <c r="AF345" s="207"/>
    </row>
    <row r="346" spans="1:32" s="214" customFormat="1" ht="11.65" customHeight="1">
      <c r="A346" s="215"/>
      <c r="B346" s="220">
        <v>28100</v>
      </c>
      <c r="C346" s="205" t="s">
        <v>604</v>
      </c>
      <c r="D346" s="221">
        <v>-6452095.1699999999</v>
      </c>
      <c r="E346" s="221">
        <v>10833.489999999292</v>
      </c>
      <c r="F346" s="222">
        <f t="shared" si="5"/>
        <v>-6441261.6800000006</v>
      </c>
      <c r="G346" s="205" t="s">
        <v>36</v>
      </c>
      <c r="H346" s="219" t="s">
        <v>250</v>
      </c>
      <c r="J346" s="207" t="s">
        <v>604</v>
      </c>
      <c r="K346" s="207"/>
      <c r="L346" s="207">
        <f>IFERROR(SUMIF(data!$E:$E,科目余额表!$B346,data!H:H),0)</f>
        <v>-13165989.289999999</v>
      </c>
      <c r="M346" s="207">
        <f>IFERROR(SUMIF(data!$E:$E,科目余额表!$B346,data!I:I),0)</f>
        <v>-14547603.859999999</v>
      </c>
      <c r="N346" s="207">
        <f>IFERROR(SUMIF(data!$E:$E,科目余额表!$B346,data!J:J),0)</f>
        <v>-7110113.6600000001</v>
      </c>
      <c r="O346" s="207">
        <f>IFERROR(SUMIF(data!$E:$E,科目余额表!$B346,data!K:K),0)</f>
        <v>-5223574.16</v>
      </c>
      <c r="P346" s="207">
        <f>IFERROR(SUMIF(data!$E:$E,科目余额表!$B346,data!L:L),0)</f>
        <v>-4679287.7</v>
      </c>
      <c r="Q346" s="207">
        <f>IFERROR(SUMIF(data!$E:$E,科目余额表!$B346,data!M:M),0)</f>
        <v>-4669787.7</v>
      </c>
      <c r="R346" s="207">
        <f>IFERROR(SUMIF(data!$E:$E,科目余额表!$B346,data!N:N),0)</f>
        <v>-4280447.2300000004</v>
      </c>
      <c r="S346" s="207">
        <f>IFERROR(SUMIF(data!$E:$E,科目余额表!$B346,data!O:O),0)</f>
        <v>-4280447.2300000004</v>
      </c>
      <c r="T346" s="207">
        <f>IFERROR(SUMIF(data!$E:$E,科目余额表!$B346,data!P:P),0)</f>
        <v>-3946520.75</v>
      </c>
      <c r="U346" s="207">
        <f>IFERROR(SUMIF(data!$E:$E,科目余额表!$B346,data!Q:Q),0)</f>
        <v>-6452095.1699999999</v>
      </c>
      <c r="V346" s="207">
        <f>IFERROR(SUMIF(data!$E:$E,科目余额表!$B346,data!R:R),0)</f>
        <v>-6452095.1699999999</v>
      </c>
      <c r="W346" s="207">
        <f>IFERROR(SUMIF(data!$E:$E,科目余额表!$B346,data!S:S),0)</f>
        <v>-6441261.6800000006</v>
      </c>
      <c r="X346" s="207"/>
      <c r="Y346" s="207"/>
      <c r="Z346" s="207"/>
      <c r="AA346" s="207"/>
      <c r="AB346" s="207"/>
      <c r="AC346" s="207"/>
      <c r="AD346" s="207"/>
      <c r="AE346" s="207"/>
      <c r="AF346" s="207"/>
    </row>
    <row r="347" spans="1:32" s="214" customFormat="1" ht="11.65" customHeight="1">
      <c r="A347" s="215"/>
      <c r="B347" s="220">
        <v>28200</v>
      </c>
      <c r="C347" s="205" t="s">
        <v>605</v>
      </c>
      <c r="D347" s="221">
        <v>0</v>
      </c>
      <c r="E347" s="221">
        <v>0</v>
      </c>
      <c r="F347" s="222">
        <f t="shared" si="5"/>
        <v>0</v>
      </c>
      <c r="G347" s="205" t="s">
        <v>36</v>
      </c>
      <c r="H347" s="219" t="s">
        <v>250</v>
      </c>
      <c r="J347" s="207" t="s">
        <v>604</v>
      </c>
      <c r="K347" s="207"/>
      <c r="L347" s="207">
        <f>IFERROR(SUMIF(data!$E:$E,科目余额表!$B347,data!H:H),0)</f>
        <v>0</v>
      </c>
      <c r="M347" s="207">
        <f>IFERROR(SUMIF(data!$E:$E,科目余额表!$B347,data!I:I),0)</f>
        <v>0</v>
      </c>
      <c r="N347" s="207">
        <f>IFERROR(SUMIF(data!$E:$E,科目余额表!$B347,data!J:J),0)</f>
        <v>0</v>
      </c>
      <c r="O347" s="207">
        <f>IFERROR(SUMIF(data!$E:$E,科目余额表!$B347,data!K:K),0)</f>
        <v>0</v>
      </c>
      <c r="P347" s="207">
        <f>IFERROR(SUMIF(data!$E:$E,科目余额表!$B347,data!L:L),0)</f>
        <v>0</v>
      </c>
      <c r="Q347" s="207">
        <f>IFERROR(SUMIF(data!$E:$E,科目余额表!$B347,data!M:M),0)</f>
        <v>0</v>
      </c>
      <c r="R347" s="207">
        <f>IFERROR(SUMIF(data!$E:$E,科目余额表!$B347,data!N:N),0)</f>
        <v>0</v>
      </c>
      <c r="S347" s="207">
        <f>IFERROR(SUMIF(data!$E:$E,科目余额表!$B347,data!O:O),0)</f>
        <v>0</v>
      </c>
      <c r="T347" s="207">
        <f>IFERROR(SUMIF(data!$E:$E,科目余额表!$B347,data!P:P),0)</f>
        <v>0</v>
      </c>
      <c r="U347" s="207">
        <f>IFERROR(SUMIF(data!$E:$E,科目余额表!$B347,data!Q:Q),0)</f>
        <v>0</v>
      </c>
      <c r="V347" s="207">
        <f>IFERROR(SUMIF(data!$E:$E,科目余额表!$B347,data!R:R),0)</f>
        <v>0</v>
      </c>
      <c r="W347" s="207">
        <f>IFERROR(SUMIF(data!$E:$E,科目余额表!$B347,data!S:S),0)</f>
        <v>0</v>
      </c>
      <c r="X347" s="207"/>
      <c r="Y347" s="207"/>
      <c r="Z347" s="207"/>
      <c r="AA347" s="207"/>
      <c r="AB347" s="207"/>
      <c r="AC347" s="207"/>
      <c r="AD347" s="207"/>
      <c r="AE347" s="207"/>
      <c r="AF347" s="207"/>
    </row>
    <row r="348" spans="1:32" s="214" customFormat="1" ht="11.65" customHeight="1">
      <c r="A348" s="215"/>
      <c r="B348" s="220">
        <v>28201</v>
      </c>
      <c r="C348" s="205" t="s">
        <v>606</v>
      </c>
      <c r="D348" s="221">
        <v>0</v>
      </c>
      <c r="E348" s="221">
        <v>0</v>
      </c>
      <c r="F348" s="222">
        <f t="shared" si="5"/>
        <v>0</v>
      </c>
      <c r="G348" s="205" t="s">
        <v>36</v>
      </c>
      <c r="H348" s="219" t="s">
        <v>250</v>
      </c>
      <c r="J348" s="207" t="s">
        <v>604</v>
      </c>
      <c r="K348" s="207"/>
      <c r="L348" s="207">
        <f>IFERROR(SUMIF(data!$E:$E,科目余额表!$B348,data!H:H),0)</f>
        <v>0</v>
      </c>
      <c r="M348" s="207">
        <f>IFERROR(SUMIF(data!$E:$E,科目余额表!$B348,data!I:I),0)</f>
        <v>0</v>
      </c>
      <c r="N348" s="207">
        <f>IFERROR(SUMIF(data!$E:$E,科目余额表!$B348,data!J:J),0)</f>
        <v>0</v>
      </c>
      <c r="O348" s="207">
        <f>IFERROR(SUMIF(data!$E:$E,科目余额表!$B348,data!K:K),0)</f>
        <v>0</v>
      </c>
      <c r="P348" s="207">
        <f>IFERROR(SUMIF(data!$E:$E,科目余额表!$B348,data!L:L),0)</f>
        <v>0</v>
      </c>
      <c r="Q348" s="207">
        <f>IFERROR(SUMIF(data!$E:$E,科目余额表!$B348,data!M:M),0)</f>
        <v>0</v>
      </c>
      <c r="R348" s="207">
        <f>IFERROR(SUMIF(data!$E:$E,科目余额表!$B348,data!N:N),0)</f>
        <v>0</v>
      </c>
      <c r="S348" s="207">
        <f>IFERROR(SUMIF(data!$E:$E,科目余额表!$B348,data!O:O),0)</f>
        <v>0</v>
      </c>
      <c r="T348" s="207">
        <f>IFERROR(SUMIF(data!$E:$E,科目余额表!$B348,data!P:P),0)</f>
        <v>0</v>
      </c>
      <c r="U348" s="207">
        <f>IFERROR(SUMIF(data!$E:$E,科目余额表!$B348,data!Q:Q),0)</f>
        <v>0</v>
      </c>
      <c r="V348" s="207">
        <f>IFERROR(SUMIF(data!$E:$E,科目余额表!$B348,data!R:R),0)</f>
        <v>0</v>
      </c>
      <c r="W348" s="207">
        <f>IFERROR(SUMIF(data!$E:$E,科目余额表!$B348,data!S:S),0)</f>
        <v>0</v>
      </c>
      <c r="X348" s="207"/>
      <c r="Y348" s="207"/>
      <c r="Z348" s="207"/>
      <c r="AA348" s="207"/>
      <c r="AB348" s="207"/>
      <c r="AC348" s="207"/>
      <c r="AD348" s="207"/>
      <c r="AE348" s="207"/>
      <c r="AF348" s="207"/>
    </row>
    <row r="349" spans="1:32" s="214" customFormat="1" ht="11.65" customHeight="1">
      <c r="A349" s="215"/>
      <c r="B349" s="220">
        <v>28202</v>
      </c>
      <c r="C349" s="205" t="s">
        <v>607</v>
      </c>
      <c r="D349" s="221">
        <v>0</v>
      </c>
      <c r="E349" s="221">
        <v>0</v>
      </c>
      <c r="F349" s="222">
        <f t="shared" si="5"/>
        <v>0</v>
      </c>
      <c r="G349" s="205" t="s">
        <v>36</v>
      </c>
      <c r="H349" s="219" t="s">
        <v>250</v>
      </c>
      <c r="J349" s="207" t="s">
        <v>604</v>
      </c>
      <c r="K349" s="207"/>
      <c r="L349" s="207">
        <f>IFERROR(SUMIF(data!$E:$E,科目余额表!$B349,data!H:H),0)</f>
        <v>0</v>
      </c>
      <c r="M349" s="207">
        <f>IFERROR(SUMIF(data!$E:$E,科目余额表!$B349,data!I:I),0)</f>
        <v>0</v>
      </c>
      <c r="N349" s="207">
        <f>IFERROR(SUMIF(data!$E:$E,科目余额表!$B349,data!J:J),0)</f>
        <v>0</v>
      </c>
      <c r="O349" s="207">
        <f>IFERROR(SUMIF(data!$E:$E,科目余额表!$B349,data!K:K),0)</f>
        <v>0</v>
      </c>
      <c r="P349" s="207">
        <f>IFERROR(SUMIF(data!$E:$E,科目余额表!$B349,data!L:L),0)</f>
        <v>0</v>
      </c>
      <c r="Q349" s="207">
        <f>IFERROR(SUMIF(data!$E:$E,科目余额表!$B349,data!M:M),0)</f>
        <v>0</v>
      </c>
      <c r="R349" s="207">
        <f>IFERROR(SUMIF(data!$E:$E,科目余额表!$B349,data!N:N),0)</f>
        <v>0</v>
      </c>
      <c r="S349" s="207">
        <f>IFERROR(SUMIF(data!$E:$E,科目余额表!$B349,data!O:O),0)</f>
        <v>0</v>
      </c>
      <c r="T349" s="207">
        <f>IFERROR(SUMIF(data!$E:$E,科目余额表!$B349,data!P:P),0)</f>
        <v>0</v>
      </c>
      <c r="U349" s="207">
        <f>IFERROR(SUMIF(data!$E:$E,科目余额表!$B349,data!Q:Q),0)</f>
        <v>0</v>
      </c>
      <c r="V349" s="207">
        <f>IFERROR(SUMIF(data!$E:$E,科目余额表!$B349,data!R:R),0)</f>
        <v>0</v>
      </c>
      <c r="W349" s="207">
        <f>IFERROR(SUMIF(data!$E:$E,科目余额表!$B349,data!S:S),0)</f>
        <v>0</v>
      </c>
      <c r="X349" s="207"/>
      <c r="Y349" s="207"/>
      <c r="Z349" s="207"/>
      <c r="AA349" s="207"/>
      <c r="AB349" s="207"/>
      <c r="AC349" s="207"/>
      <c r="AD349" s="207"/>
      <c r="AE349" s="207"/>
      <c r="AF349" s="207"/>
    </row>
    <row r="350" spans="1:32" s="214" customFormat="1" ht="11.65" customHeight="1">
      <c r="A350" s="215"/>
      <c r="B350" s="220">
        <v>28203</v>
      </c>
      <c r="C350" s="205" t="s">
        <v>608</v>
      </c>
      <c r="D350" s="221">
        <v>0</v>
      </c>
      <c r="E350" s="221">
        <v>0</v>
      </c>
      <c r="F350" s="222">
        <f t="shared" si="5"/>
        <v>0</v>
      </c>
      <c r="G350" s="205" t="s">
        <v>36</v>
      </c>
      <c r="H350" s="219" t="s">
        <v>250</v>
      </c>
      <c r="J350" s="207" t="s">
        <v>604</v>
      </c>
      <c r="K350" s="207"/>
      <c r="L350" s="207">
        <f>IFERROR(SUMIF(data!$E:$E,科目余额表!$B350,data!H:H),0)</f>
        <v>0</v>
      </c>
      <c r="M350" s="207">
        <f>IFERROR(SUMIF(data!$E:$E,科目余额表!$B350,data!I:I),0)</f>
        <v>0</v>
      </c>
      <c r="N350" s="207">
        <f>IFERROR(SUMIF(data!$E:$E,科目余额表!$B350,data!J:J),0)</f>
        <v>0</v>
      </c>
      <c r="O350" s="207">
        <f>IFERROR(SUMIF(data!$E:$E,科目余额表!$B350,data!K:K),0)</f>
        <v>0</v>
      </c>
      <c r="P350" s="207">
        <f>IFERROR(SUMIF(data!$E:$E,科目余额表!$B350,data!L:L),0)</f>
        <v>0</v>
      </c>
      <c r="Q350" s="207">
        <f>IFERROR(SUMIF(data!$E:$E,科目余额表!$B350,data!M:M),0)</f>
        <v>0</v>
      </c>
      <c r="R350" s="207">
        <f>IFERROR(SUMIF(data!$E:$E,科目余额表!$B350,data!N:N),0)</f>
        <v>0</v>
      </c>
      <c r="S350" s="207">
        <f>IFERROR(SUMIF(data!$E:$E,科目余额表!$B350,data!O:O),0)</f>
        <v>0</v>
      </c>
      <c r="T350" s="207">
        <f>IFERROR(SUMIF(data!$E:$E,科目余额表!$B350,data!P:P),0)</f>
        <v>0</v>
      </c>
      <c r="U350" s="207">
        <f>IFERROR(SUMIF(data!$E:$E,科目余额表!$B350,data!Q:Q),0)</f>
        <v>0</v>
      </c>
      <c r="V350" s="207">
        <f>IFERROR(SUMIF(data!$E:$E,科目余额表!$B350,data!R:R),0)</f>
        <v>0</v>
      </c>
      <c r="W350" s="207">
        <f>IFERROR(SUMIF(data!$E:$E,科目余额表!$B350,data!S:S),0)</f>
        <v>0</v>
      </c>
      <c r="X350" s="207"/>
      <c r="Y350" s="207"/>
      <c r="Z350" s="207"/>
      <c r="AA350" s="207"/>
      <c r="AB350" s="207"/>
      <c r="AC350" s="207"/>
      <c r="AD350" s="207"/>
      <c r="AE350" s="207"/>
      <c r="AF350" s="207"/>
    </row>
    <row r="351" spans="1:32" s="214" customFormat="1" ht="11.65" customHeight="1">
      <c r="A351" s="215"/>
      <c r="B351" s="220">
        <v>28204</v>
      </c>
      <c r="C351" s="205" t="s">
        <v>609</v>
      </c>
      <c r="D351" s="221">
        <v>0</v>
      </c>
      <c r="E351" s="221">
        <v>0</v>
      </c>
      <c r="F351" s="222">
        <f t="shared" si="5"/>
        <v>0</v>
      </c>
      <c r="G351" s="205" t="s">
        <v>36</v>
      </c>
      <c r="H351" s="219" t="s">
        <v>250</v>
      </c>
      <c r="J351" s="207" t="s">
        <v>604</v>
      </c>
      <c r="K351" s="207"/>
      <c r="L351" s="207">
        <f>IFERROR(SUMIF(data!$E:$E,科目余额表!$B351,data!H:H),0)</f>
        <v>0</v>
      </c>
      <c r="M351" s="207">
        <f>IFERROR(SUMIF(data!$E:$E,科目余额表!$B351,data!I:I),0)</f>
        <v>0</v>
      </c>
      <c r="N351" s="207">
        <f>IFERROR(SUMIF(data!$E:$E,科目余额表!$B351,data!J:J),0)</f>
        <v>0</v>
      </c>
      <c r="O351" s="207">
        <f>IFERROR(SUMIF(data!$E:$E,科目余额表!$B351,data!K:K),0)</f>
        <v>0</v>
      </c>
      <c r="P351" s="207">
        <f>IFERROR(SUMIF(data!$E:$E,科目余额表!$B351,data!L:L),0)</f>
        <v>0</v>
      </c>
      <c r="Q351" s="207">
        <f>IFERROR(SUMIF(data!$E:$E,科目余额表!$B351,data!M:M),0)</f>
        <v>0</v>
      </c>
      <c r="R351" s="207">
        <f>IFERROR(SUMIF(data!$E:$E,科目余额表!$B351,data!N:N),0)</f>
        <v>0</v>
      </c>
      <c r="S351" s="207">
        <f>IFERROR(SUMIF(data!$E:$E,科目余额表!$B351,data!O:O),0)</f>
        <v>0</v>
      </c>
      <c r="T351" s="207">
        <f>IFERROR(SUMIF(data!$E:$E,科目余额表!$B351,data!P:P),0)</f>
        <v>0</v>
      </c>
      <c r="U351" s="207">
        <f>IFERROR(SUMIF(data!$E:$E,科目余额表!$B351,data!Q:Q),0)</f>
        <v>0</v>
      </c>
      <c r="V351" s="207">
        <f>IFERROR(SUMIF(data!$E:$E,科目余额表!$B351,data!R:R),0)</f>
        <v>0</v>
      </c>
      <c r="W351" s="207">
        <f>IFERROR(SUMIF(data!$E:$E,科目余额表!$B351,data!S:S),0)</f>
        <v>0</v>
      </c>
      <c r="X351" s="207"/>
      <c r="Y351" s="207"/>
      <c r="Z351" s="207"/>
      <c r="AA351" s="207"/>
      <c r="AB351" s="207"/>
      <c r="AC351" s="207"/>
      <c r="AD351" s="207"/>
      <c r="AE351" s="207"/>
      <c r="AF351" s="207"/>
    </row>
    <row r="352" spans="1:32" s="214" customFormat="1" ht="11.65" customHeight="1">
      <c r="A352" s="215"/>
      <c r="B352" s="220">
        <v>28205</v>
      </c>
      <c r="C352" s="205" t="s">
        <v>610</v>
      </c>
      <c r="D352" s="221">
        <v>-358839.6</v>
      </c>
      <c r="E352" s="221">
        <v>-85131.330000000016</v>
      </c>
      <c r="F352" s="222">
        <f t="shared" si="5"/>
        <v>-443970.93</v>
      </c>
      <c r="G352" s="205" t="s">
        <v>36</v>
      </c>
      <c r="H352" s="219" t="s">
        <v>250</v>
      </c>
      <c r="J352" s="207" t="s">
        <v>604</v>
      </c>
      <c r="K352" s="207"/>
      <c r="L352" s="207">
        <f>IFERROR(SUMIF(data!$E:$E,科目余额表!$B352,data!H:H),0)</f>
        <v>-81851.640000000014</v>
      </c>
      <c r="M352" s="207">
        <f>IFERROR(SUMIF(data!$E:$E,科目余额表!$B352,data!I:I),0)</f>
        <v>-67918.899999999994</v>
      </c>
      <c r="N352" s="207">
        <f>IFERROR(SUMIF(data!$E:$E,科目余额表!$B352,data!J:J),0)</f>
        <v>-91378.24000000002</v>
      </c>
      <c r="O352" s="207">
        <f>IFERROR(SUMIF(data!$E:$E,科目余额表!$B352,data!K:K),0)</f>
        <v>-83335.31</v>
      </c>
      <c r="P352" s="207">
        <f>IFERROR(SUMIF(data!$E:$E,科目余额表!$B352,data!L:L),0)</f>
        <v>-72231.129999999946</v>
      </c>
      <c r="Q352" s="207">
        <f>IFERROR(SUMIF(data!$E:$E,科目余额表!$B352,data!M:M),0)</f>
        <v>-72915.299999999988</v>
      </c>
      <c r="R352" s="207">
        <f>IFERROR(SUMIF(data!$E:$E,科目余额表!$B352,data!N:N),0)</f>
        <v>-89134.700000000012</v>
      </c>
      <c r="S352" s="207">
        <f>IFERROR(SUMIF(data!$E:$E,科目余额表!$B352,data!O:O),0)</f>
        <v>-105941.88999999996</v>
      </c>
      <c r="T352" s="207">
        <f>IFERROR(SUMIF(data!$E:$E,科目余额表!$B352,data!P:P),0)</f>
        <v>-177765.61</v>
      </c>
      <c r="U352" s="207">
        <f>IFERROR(SUMIF(data!$E:$E,科目余额表!$B352,data!Q:Q),0)</f>
        <v>-236854.33000000007</v>
      </c>
      <c r="V352" s="207">
        <f>IFERROR(SUMIF(data!$E:$E,科目余额表!$B352,data!R:R),0)</f>
        <v>-358839.6</v>
      </c>
      <c r="W352" s="207">
        <f>IFERROR(SUMIF(data!$E:$E,科目余额表!$B352,data!S:S),0)</f>
        <v>-443970.93</v>
      </c>
      <c r="X352" s="207"/>
      <c r="Y352" s="207"/>
      <c r="Z352" s="207"/>
      <c r="AA352" s="207"/>
      <c r="AB352" s="207"/>
      <c r="AC352" s="207"/>
      <c r="AD352" s="207"/>
      <c r="AE352" s="207"/>
      <c r="AF352" s="207"/>
    </row>
    <row r="353" spans="1:32" s="214" customFormat="1" ht="11.65" customHeight="1">
      <c r="A353" s="215"/>
      <c r="B353" s="220">
        <v>28206</v>
      </c>
      <c r="C353" s="205" t="s">
        <v>611</v>
      </c>
      <c r="D353" s="221">
        <v>0</v>
      </c>
      <c r="E353" s="221">
        <v>0</v>
      </c>
      <c r="F353" s="222">
        <f t="shared" si="5"/>
        <v>0</v>
      </c>
      <c r="G353" s="205" t="s">
        <v>36</v>
      </c>
      <c r="H353" s="219" t="s">
        <v>250</v>
      </c>
      <c r="J353" s="207" t="s">
        <v>604</v>
      </c>
      <c r="K353" s="207"/>
      <c r="L353" s="207">
        <f>IFERROR(SUMIF(data!$E:$E,科目余额表!$B353,data!H:H),0)</f>
        <v>0</v>
      </c>
      <c r="M353" s="207">
        <f>IFERROR(SUMIF(data!$E:$E,科目余额表!$B353,data!I:I),0)</f>
        <v>0</v>
      </c>
      <c r="N353" s="207">
        <f>IFERROR(SUMIF(data!$E:$E,科目余额表!$B353,data!J:J),0)</f>
        <v>0</v>
      </c>
      <c r="O353" s="207">
        <f>IFERROR(SUMIF(data!$E:$E,科目余额表!$B353,data!K:K),0)</f>
        <v>0</v>
      </c>
      <c r="P353" s="207">
        <f>IFERROR(SUMIF(data!$E:$E,科目余额表!$B353,data!L:L),0)</f>
        <v>0</v>
      </c>
      <c r="Q353" s="207">
        <f>IFERROR(SUMIF(data!$E:$E,科目余额表!$B353,data!M:M),0)</f>
        <v>0</v>
      </c>
      <c r="R353" s="207">
        <f>IFERROR(SUMIF(data!$E:$E,科目余额表!$B353,data!N:N),0)</f>
        <v>0</v>
      </c>
      <c r="S353" s="207">
        <f>IFERROR(SUMIF(data!$E:$E,科目余额表!$B353,data!O:O),0)</f>
        <v>0</v>
      </c>
      <c r="T353" s="207">
        <f>IFERROR(SUMIF(data!$E:$E,科目余额表!$B353,data!P:P),0)</f>
        <v>0</v>
      </c>
      <c r="U353" s="207">
        <f>IFERROR(SUMIF(data!$E:$E,科目余额表!$B353,data!Q:Q),0)</f>
        <v>0</v>
      </c>
      <c r="V353" s="207">
        <f>IFERROR(SUMIF(data!$E:$E,科目余额表!$B353,data!R:R),0)</f>
        <v>0</v>
      </c>
      <c r="W353" s="207">
        <f>IFERROR(SUMIF(data!$E:$E,科目余额表!$B353,data!S:S),0)</f>
        <v>0</v>
      </c>
      <c r="X353" s="207"/>
      <c r="Y353" s="207"/>
      <c r="Z353" s="207"/>
      <c r="AA353" s="207"/>
      <c r="AB353" s="207"/>
      <c r="AC353" s="207"/>
      <c r="AD353" s="207"/>
      <c r="AE353" s="207"/>
      <c r="AF353" s="207"/>
    </row>
    <row r="354" spans="1:32" s="214" customFormat="1" ht="11.65" customHeight="1">
      <c r="A354" s="215"/>
      <c r="B354" s="220">
        <v>28207</v>
      </c>
      <c r="C354" s="205" t="s">
        <v>612</v>
      </c>
      <c r="D354" s="221">
        <v>-7132650.7699999996</v>
      </c>
      <c r="E354" s="221">
        <v>159564.34999999963</v>
      </c>
      <c r="F354" s="222">
        <f t="shared" si="5"/>
        <v>-6973086.4199999999</v>
      </c>
      <c r="G354" s="205" t="s">
        <v>36</v>
      </c>
      <c r="H354" s="219" t="s">
        <v>250</v>
      </c>
      <c r="J354" s="207" t="s">
        <v>604</v>
      </c>
      <c r="K354" s="207"/>
      <c r="L354" s="207">
        <f>IFERROR(SUMIF(data!$E:$E,科目余额表!$B354,data!H:H),0)</f>
        <v>-16184202</v>
      </c>
      <c r="M354" s="207">
        <f>IFERROR(SUMIF(data!$E:$E,科目余额表!$B354,data!I:I),0)</f>
        <v>-16222301.9</v>
      </c>
      <c r="N354" s="207">
        <f>IFERROR(SUMIF(data!$E:$E,科目余额表!$B354,data!J:J),0)</f>
        <v>-16266291.34</v>
      </c>
      <c r="O354" s="207">
        <f>IFERROR(SUMIF(data!$E:$E,科目余额表!$B354,data!K:K),0)</f>
        <v>-15999743.119999999</v>
      </c>
      <c r="P354" s="207">
        <f>IFERROR(SUMIF(data!$E:$E,科目余额表!$B354,data!L:L),0)</f>
        <v>-11485004.74</v>
      </c>
      <c r="Q354" s="207">
        <f>IFERROR(SUMIF(data!$E:$E,科目余额表!$B354,data!M:M),0)</f>
        <v>-11550378.18</v>
      </c>
      <c r="R354" s="207">
        <f>IFERROR(SUMIF(data!$E:$E,科目余额表!$B354,data!N:N),0)</f>
        <v>-11245116.370000001</v>
      </c>
      <c r="S354" s="207">
        <f>IFERROR(SUMIF(data!$E:$E,科目余额表!$B354,data!O:O),0)</f>
        <v>-11977001.550000001</v>
      </c>
      <c r="T354" s="207">
        <f>IFERROR(SUMIF(data!$E:$E,科目余额表!$B354,data!P:P),0)</f>
        <v>-11977058.620000001</v>
      </c>
      <c r="U354" s="207">
        <f>IFERROR(SUMIF(data!$E:$E,科目余额表!$B354,data!Q:Q),0)</f>
        <v>-11904361.970000001</v>
      </c>
      <c r="V354" s="207">
        <f>IFERROR(SUMIF(data!$E:$E,科目余额表!$B354,data!R:R),0)</f>
        <v>-7132650.7699999996</v>
      </c>
      <c r="W354" s="207">
        <f>IFERROR(SUMIF(data!$E:$E,科目余额表!$B354,data!S:S),0)</f>
        <v>-6973086.4199999999</v>
      </c>
      <c r="X354" s="207"/>
      <c r="Y354" s="207"/>
      <c r="Z354" s="207"/>
      <c r="AA354" s="207"/>
      <c r="AB354" s="207"/>
      <c r="AC354" s="207"/>
      <c r="AD354" s="207"/>
      <c r="AE354" s="207"/>
      <c r="AF354" s="207"/>
    </row>
    <row r="355" spans="1:32" s="214" customFormat="1" ht="11.65" customHeight="1">
      <c r="A355" s="215"/>
      <c r="B355" s="220">
        <v>28208</v>
      </c>
      <c r="C355" s="204" t="s">
        <v>613</v>
      </c>
      <c r="D355" s="221">
        <v>0</v>
      </c>
      <c r="E355" s="221">
        <v>0</v>
      </c>
      <c r="F355" s="222">
        <f t="shared" si="5"/>
        <v>0</v>
      </c>
      <c r="G355" s="205" t="s">
        <v>36</v>
      </c>
      <c r="H355" s="219" t="s">
        <v>250</v>
      </c>
      <c r="J355" s="207" t="s">
        <v>604</v>
      </c>
      <c r="K355" s="207"/>
      <c r="L355" s="207">
        <f>IFERROR(SUMIF(data!$E:$E,科目余额表!$B355,data!H:H),0)</f>
        <v>0</v>
      </c>
      <c r="M355" s="207">
        <f>IFERROR(SUMIF(data!$E:$E,科目余额表!$B355,data!I:I),0)</f>
        <v>0</v>
      </c>
      <c r="N355" s="207">
        <f>IFERROR(SUMIF(data!$E:$E,科目余额表!$B355,data!J:J),0)</f>
        <v>0</v>
      </c>
      <c r="O355" s="207">
        <f>IFERROR(SUMIF(data!$E:$E,科目余额表!$B355,data!K:K),0)</f>
        <v>0</v>
      </c>
      <c r="P355" s="207">
        <f>IFERROR(SUMIF(data!$E:$E,科目余额表!$B355,data!L:L),0)</f>
        <v>0</v>
      </c>
      <c r="Q355" s="207">
        <f>IFERROR(SUMIF(data!$E:$E,科目余额表!$B355,data!M:M),0)</f>
        <v>0</v>
      </c>
      <c r="R355" s="207">
        <f>IFERROR(SUMIF(data!$E:$E,科目余额表!$B355,data!N:N),0)</f>
        <v>0</v>
      </c>
      <c r="S355" s="207">
        <f>IFERROR(SUMIF(data!$E:$E,科目余额表!$B355,data!O:O),0)</f>
        <v>0</v>
      </c>
      <c r="T355" s="207">
        <f>IFERROR(SUMIF(data!$E:$E,科目余额表!$B355,data!P:P),0)</f>
        <v>0</v>
      </c>
      <c r="U355" s="207">
        <f>IFERROR(SUMIF(data!$E:$E,科目余额表!$B355,data!Q:Q),0)</f>
        <v>0</v>
      </c>
      <c r="V355" s="207">
        <f>IFERROR(SUMIF(data!$E:$E,科目余额表!$B355,data!R:R),0)</f>
        <v>0</v>
      </c>
      <c r="W355" s="207">
        <f>IFERROR(SUMIF(data!$E:$E,科目余额表!$B355,data!S:S),0)</f>
        <v>0</v>
      </c>
      <c r="X355" s="207"/>
      <c r="Y355" s="207"/>
      <c r="Z355" s="207"/>
      <c r="AA355" s="207"/>
      <c r="AB355" s="207"/>
      <c r="AC355" s="207"/>
      <c r="AD355" s="207"/>
      <c r="AE355" s="207"/>
      <c r="AF355" s="207"/>
    </row>
    <row r="356" spans="1:32" ht="11.65" customHeight="1">
      <c r="B356" s="220">
        <v>28209</v>
      </c>
      <c r="C356" s="220" t="s">
        <v>614</v>
      </c>
      <c r="D356" s="221">
        <v>0</v>
      </c>
      <c r="E356" s="221">
        <v>0</v>
      </c>
      <c r="F356" s="222">
        <f t="shared" si="5"/>
        <v>0</v>
      </c>
      <c r="G356" s="220" t="s">
        <v>36</v>
      </c>
      <c r="H356" s="219" t="s">
        <v>250</v>
      </c>
      <c r="I356" s="214"/>
      <c r="J356" s="208" t="s">
        <v>604</v>
      </c>
      <c r="L356" s="208">
        <f>IFERROR(SUMIF(data!$E:$E,科目余额表!$B356,data!H:H),0)</f>
        <v>0</v>
      </c>
      <c r="M356" s="207">
        <f>IFERROR(SUMIF(data!$E:$E,科目余额表!$B356,data!I:I),0)</f>
        <v>0</v>
      </c>
      <c r="N356" s="208">
        <f>IFERROR(SUMIF(data!$E:$E,科目余额表!$B356,data!J:J),0)</f>
        <v>0</v>
      </c>
      <c r="O356" s="208">
        <f>IFERROR(SUMIF(data!$E:$E,科目余额表!$B356,data!K:K),0)</f>
        <v>0</v>
      </c>
      <c r="P356" s="208">
        <f>IFERROR(SUMIF(data!$E:$E,科目余额表!$B356,data!L:L),0)</f>
        <v>0</v>
      </c>
      <c r="Q356" s="208">
        <f>IFERROR(SUMIF(data!$E:$E,科目余额表!$B356,data!M:M),0)</f>
        <v>0</v>
      </c>
      <c r="R356" s="208">
        <f>IFERROR(SUMIF(data!$E:$E,科目余额表!$B356,data!N:N),0)</f>
        <v>0</v>
      </c>
      <c r="S356" s="208">
        <f>IFERROR(SUMIF(data!$E:$E,科目余额表!$B356,data!O:O),0)</f>
        <v>0</v>
      </c>
      <c r="T356" s="208">
        <f>IFERROR(SUMIF(data!$E:$E,科目余额表!$B356,data!P:P),0)</f>
        <v>0</v>
      </c>
      <c r="U356" s="208">
        <f>IFERROR(SUMIF(data!$E:$E,科目余额表!$B356,data!Q:Q),0)</f>
        <v>0</v>
      </c>
      <c r="V356" s="208">
        <f>IFERROR(SUMIF(data!$E:$E,科目余额表!$B356,data!R:R),0)</f>
        <v>0</v>
      </c>
      <c r="W356" s="208">
        <f>IFERROR(SUMIF(data!$E:$E,科目余额表!$B356,data!S:S),0)</f>
        <v>0</v>
      </c>
    </row>
    <row r="357" spans="1:32" ht="11.65" customHeight="1">
      <c r="B357" s="220">
        <v>28210</v>
      </c>
      <c r="C357" s="220" t="s">
        <v>615</v>
      </c>
      <c r="D357" s="221">
        <v>0</v>
      </c>
      <c r="E357" s="221">
        <v>0</v>
      </c>
      <c r="F357" s="222">
        <f t="shared" si="5"/>
        <v>0</v>
      </c>
      <c r="G357" s="220" t="s">
        <v>36</v>
      </c>
      <c r="H357" s="219" t="s">
        <v>250</v>
      </c>
      <c r="I357" s="214"/>
      <c r="J357" s="208" t="s">
        <v>604</v>
      </c>
      <c r="L357" s="208">
        <f>IFERROR(SUMIF(data!$E:$E,科目余额表!$B357,data!H:H),0)</f>
        <v>0</v>
      </c>
      <c r="M357" s="207">
        <f>IFERROR(SUMIF(data!$E:$E,科目余额表!$B357,data!I:I),0)</f>
        <v>0</v>
      </c>
      <c r="N357" s="208">
        <f>IFERROR(SUMIF(data!$E:$E,科目余额表!$B357,data!J:J),0)</f>
        <v>0</v>
      </c>
      <c r="O357" s="208">
        <f>IFERROR(SUMIF(data!$E:$E,科目余额表!$B357,data!K:K),0)</f>
        <v>0</v>
      </c>
      <c r="P357" s="208">
        <f>IFERROR(SUMIF(data!$E:$E,科目余额表!$B357,data!L:L),0)</f>
        <v>0</v>
      </c>
      <c r="Q357" s="208">
        <f>IFERROR(SUMIF(data!$E:$E,科目余额表!$B357,data!M:M),0)</f>
        <v>0</v>
      </c>
      <c r="R357" s="208">
        <f>IFERROR(SUMIF(data!$E:$E,科目余额表!$B357,data!N:N),0)</f>
        <v>0</v>
      </c>
      <c r="S357" s="208">
        <f>IFERROR(SUMIF(data!$E:$E,科目余额表!$B357,data!O:O),0)</f>
        <v>0</v>
      </c>
      <c r="T357" s="208">
        <f>IFERROR(SUMIF(data!$E:$E,科目余额表!$B357,data!P:P),0)</f>
        <v>0</v>
      </c>
      <c r="U357" s="208">
        <f>IFERROR(SUMIF(data!$E:$E,科目余额表!$B357,data!Q:Q),0)</f>
        <v>0</v>
      </c>
      <c r="V357" s="208">
        <f>IFERROR(SUMIF(data!$E:$E,科目余额表!$B357,data!R:R),0)</f>
        <v>0</v>
      </c>
      <c r="W357" s="208">
        <f>IFERROR(SUMIF(data!$E:$E,科目余额表!$B357,data!S:S),0)</f>
        <v>0</v>
      </c>
    </row>
    <row r="358" spans="1:32" ht="11.65" customHeight="1">
      <c r="B358" s="220">
        <v>28211</v>
      </c>
      <c r="C358" s="220" t="s">
        <v>616</v>
      </c>
      <c r="D358" s="221">
        <v>0</v>
      </c>
      <c r="E358" s="221">
        <v>0</v>
      </c>
      <c r="F358" s="222">
        <f t="shared" si="5"/>
        <v>0</v>
      </c>
      <c r="G358" s="220" t="s">
        <v>36</v>
      </c>
      <c r="H358" s="219" t="s">
        <v>250</v>
      </c>
      <c r="I358" s="214"/>
      <c r="J358" s="208" t="s">
        <v>604</v>
      </c>
      <c r="L358" s="208">
        <f>IFERROR(SUMIF(data!$E:$E,科目余额表!$B358,data!H:H),0)</f>
        <v>0</v>
      </c>
      <c r="M358" s="207">
        <f>IFERROR(SUMIF(data!$E:$E,科目余额表!$B358,data!I:I),0)</f>
        <v>0</v>
      </c>
      <c r="N358" s="208">
        <f>IFERROR(SUMIF(data!$E:$E,科目余额表!$B358,data!J:J),0)</f>
        <v>0</v>
      </c>
      <c r="O358" s="208">
        <f>IFERROR(SUMIF(data!$E:$E,科目余额表!$B358,data!K:K),0)</f>
        <v>0</v>
      </c>
      <c r="P358" s="208">
        <f>IFERROR(SUMIF(data!$E:$E,科目余额表!$B358,data!L:L),0)</f>
        <v>0</v>
      </c>
      <c r="Q358" s="208">
        <f>IFERROR(SUMIF(data!$E:$E,科目余额表!$B358,data!M:M),0)</f>
        <v>0</v>
      </c>
      <c r="R358" s="208">
        <f>IFERROR(SUMIF(data!$E:$E,科目余额表!$B358,data!N:N),0)</f>
        <v>0</v>
      </c>
      <c r="S358" s="208">
        <f>IFERROR(SUMIF(data!$E:$E,科目余额表!$B358,data!O:O),0)</f>
        <v>0</v>
      </c>
      <c r="T358" s="208">
        <f>IFERROR(SUMIF(data!$E:$E,科目余额表!$B358,data!P:P),0)</f>
        <v>0</v>
      </c>
      <c r="U358" s="208">
        <f>IFERROR(SUMIF(data!$E:$E,科目余额表!$B358,data!Q:Q),0)</f>
        <v>0</v>
      </c>
      <c r="V358" s="208">
        <f>IFERROR(SUMIF(data!$E:$E,科目余额表!$B358,data!R:R),0)</f>
        <v>0</v>
      </c>
      <c r="W358" s="208">
        <f>IFERROR(SUMIF(data!$E:$E,科目余额表!$B358,data!S:S),0)</f>
        <v>0</v>
      </c>
    </row>
    <row r="359" spans="1:32" ht="11.65" customHeight="1">
      <c r="B359" s="220">
        <v>28212</v>
      </c>
      <c r="C359" s="220" t="s">
        <v>617</v>
      </c>
      <c r="D359" s="221">
        <v>0</v>
      </c>
      <c r="E359" s="221">
        <v>0</v>
      </c>
      <c r="F359" s="222">
        <f t="shared" si="5"/>
        <v>0</v>
      </c>
      <c r="G359" s="220" t="s">
        <v>36</v>
      </c>
      <c r="H359" s="219" t="s">
        <v>250</v>
      </c>
      <c r="I359" s="214"/>
      <c r="J359" s="208" t="s">
        <v>604</v>
      </c>
      <c r="L359" s="208">
        <f>IFERROR(SUMIF(data!$E:$E,科目余额表!$B359,data!H:H),0)</f>
        <v>0</v>
      </c>
      <c r="M359" s="207">
        <f>IFERROR(SUMIF(data!$E:$E,科目余额表!$B359,data!I:I),0)</f>
        <v>0</v>
      </c>
      <c r="N359" s="208">
        <f>IFERROR(SUMIF(data!$E:$E,科目余额表!$B359,data!J:J),0)</f>
        <v>0</v>
      </c>
      <c r="O359" s="208">
        <f>IFERROR(SUMIF(data!$E:$E,科目余额表!$B359,data!K:K),0)</f>
        <v>0</v>
      </c>
      <c r="P359" s="208">
        <f>IFERROR(SUMIF(data!$E:$E,科目余额表!$B359,data!L:L),0)</f>
        <v>0</v>
      </c>
      <c r="Q359" s="208">
        <f>IFERROR(SUMIF(data!$E:$E,科目余额表!$B359,data!M:M),0)</f>
        <v>0</v>
      </c>
      <c r="R359" s="208">
        <f>IFERROR(SUMIF(data!$E:$E,科目余额表!$B359,data!N:N),0)</f>
        <v>0</v>
      </c>
      <c r="S359" s="208">
        <f>IFERROR(SUMIF(data!$E:$E,科目余额表!$B359,data!O:O),0)</f>
        <v>0</v>
      </c>
      <c r="T359" s="208">
        <f>IFERROR(SUMIF(data!$E:$E,科目余额表!$B359,data!P:P),0)</f>
        <v>0</v>
      </c>
      <c r="U359" s="208">
        <f>IFERROR(SUMIF(data!$E:$E,科目余额表!$B359,data!Q:Q),0)</f>
        <v>0</v>
      </c>
      <c r="V359" s="208">
        <f>IFERROR(SUMIF(data!$E:$E,科目余额表!$B359,data!R:R),0)</f>
        <v>0</v>
      </c>
      <c r="W359" s="208">
        <f>IFERROR(SUMIF(data!$E:$E,科目余额表!$B359,data!S:S),0)</f>
        <v>0</v>
      </c>
    </row>
    <row r="360" spans="1:32" ht="11.65" customHeight="1">
      <c r="B360" s="220">
        <v>28213</v>
      </c>
      <c r="C360" s="220" t="s">
        <v>618</v>
      </c>
      <c r="D360" s="221">
        <v>0</v>
      </c>
      <c r="E360" s="221">
        <v>0</v>
      </c>
      <c r="F360" s="222">
        <f t="shared" si="5"/>
        <v>0</v>
      </c>
      <c r="G360" s="220" t="s">
        <v>36</v>
      </c>
      <c r="H360" s="219" t="s">
        <v>250</v>
      </c>
      <c r="I360" s="214"/>
      <c r="J360" s="208" t="s">
        <v>604</v>
      </c>
      <c r="L360" s="208">
        <f>IFERROR(SUMIF(data!$E:$E,科目余额表!$B360,data!H:H),0)</f>
        <v>0</v>
      </c>
      <c r="M360" s="207">
        <f>IFERROR(SUMIF(data!$E:$E,科目余额表!$B360,data!I:I),0)</f>
        <v>0</v>
      </c>
      <c r="N360" s="208">
        <f>IFERROR(SUMIF(data!$E:$E,科目余额表!$B360,data!J:J),0)</f>
        <v>0</v>
      </c>
      <c r="O360" s="208">
        <f>IFERROR(SUMIF(data!$E:$E,科目余额表!$B360,data!K:K),0)</f>
        <v>0</v>
      </c>
      <c r="P360" s="208">
        <f>IFERROR(SUMIF(data!$E:$E,科目余额表!$B360,data!L:L),0)</f>
        <v>0</v>
      </c>
      <c r="Q360" s="208">
        <f>IFERROR(SUMIF(data!$E:$E,科目余额表!$B360,data!M:M),0)</f>
        <v>0</v>
      </c>
      <c r="R360" s="208">
        <f>IFERROR(SUMIF(data!$E:$E,科目余额表!$B360,data!N:N),0)</f>
        <v>0</v>
      </c>
      <c r="S360" s="208">
        <f>IFERROR(SUMIF(data!$E:$E,科目余额表!$B360,data!O:O),0)</f>
        <v>0</v>
      </c>
      <c r="T360" s="208">
        <f>IFERROR(SUMIF(data!$E:$E,科目余额表!$B360,data!P:P),0)</f>
        <v>0</v>
      </c>
      <c r="U360" s="208">
        <f>IFERROR(SUMIF(data!$E:$E,科目余额表!$B360,data!Q:Q),0)</f>
        <v>0</v>
      </c>
      <c r="V360" s="208">
        <f>IFERROR(SUMIF(data!$E:$E,科目余额表!$B360,data!R:R),0)</f>
        <v>0</v>
      </c>
      <c r="W360" s="208">
        <f>IFERROR(SUMIF(data!$E:$E,科目余额表!$B360,data!S:S),0)</f>
        <v>0</v>
      </c>
    </row>
    <row r="361" spans="1:32" ht="11.65" customHeight="1">
      <c r="B361" s="220">
        <v>28214</v>
      </c>
      <c r="C361" s="220" t="s">
        <v>619</v>
      </c>
      <c r="D361" s="221">
        <v>0</v>
      </c>
      <c r="E361" s="221">
        <v>0</v>
      </c>
      <c r="F361" s="222">
        <f t="shared" si="5"/>
        <v>0</v>
      </c>
      <c r="G361" s="220" t="s">
        <v>36</v>
      </c>
      <c r="H361" s="219" t="s">
        <v>250</v>
      </c>
      <c r="I361" s="214"/>
      <c r="J361" s="208" t="s">
        <v>604</v>
      </c>
      <c r="L361" s="208">
        <f>IFERROR(SUMIF(data!$E:$E,科目余额表!$B361,data!H:H),0)</f>
        <v>0</v>
      </c>
      <c r="M361" s="207">
        <f>IFERROR(SUMIF(data!$E:$E,科目余额表!$B361,data!I:I),0)</f>
        <v>0</v>
      </c>
      <c r="N361" s="208">
        <f>IFERROR(SUMIF(data!$E:$E,科目余额表!$B361,data!J:J),0)</f>
        <v>0</v>
      </c>
      <c r="O361" s="208">
        <f>IFERROR(SUMIF(data!$E:$E,科目余额表!$B361,data!K:K),0)</f>
        <v>0</v>
      </c>
      <c r="P361" s="208">
        <f>IFERROR(SUMIF(data!$E:$E,科目余额表!$B361,data!L:L),0)</f>
        <v>0</v>
      </c>
      <c r="Q361" s="208">
        <f>IFERROR(SUMIF(data!$E:$E,科目余额表!$B361,data!M:M),0)</f>
        <v>0</v>
      </c>
      <c r="R361" s="208">
        <f>IFERROR(SUMIF(data!$E:$E,科目余额表!$B361,data!N:N),0)</f>
        <v>0</v>
      </c>
      <c r="S361" s="208">
        <f>IFERROR(SUMIF(data!$E:$E,科目余额表!$B361,data!O:O),0)</f>
        <v>0</v>
      </c>
      <c r="T361" s="208">
        <f>IFERROR(SUMIF(data!$E:$E,科目余额表!$B361,data!P:P),0)</f>
        <v>0</v>
      </c>
      <c r="U361" s="208">
        <f>IFERROR(SUMIF(data!$E:$E,科目余额表!$B361,data!Q:Q),0)</f>
        <v>0</v>
      </c>
      <c r="V361" s="208">
        <f>IFERROR(SUMIF(data!$E:$E,科目余额表!$B361,data!R:R),0)</f>
        <v>0</v>
      </c>
      <c r="W361" s="208">
        <f>IFERROR(SUMIF(data!$E:$E,科目余额表!$B361,data!S:S),0)</f>
        <v>0</v>
      </c>
    </row>
    <row r="362" spans="1:32" ht="11.65" customHeight="1">
      <c r="B362" s="220">
        <v>28215</v>
      </c>
      <c r="C362" s="220" t="s">
        <v>620</v>
      </c>
      <c r="D362" s="221">
        <v>0</v>
      </c>
      <c r="E362" s="221">
        <v>0</v>
      </c>
      <c r="F362" s="222">
        <f t="shared" si="5"/>
        <v>0</v>
      </c>
      <c r="G362" s="220" t="s">
        <v>36</v>
      </c>
      <c r="H362" s="219" t="s">
        <v>250</v>
      </c>
      <c r="I362" s="214"/>
      <c r="J362" s="208" t="s">
        <v>604</v>
      </c>
      <c r="L362" s="208">
        <f>IFERROR(SUMIF(data!$E:$E,科目余额表!$B362,data!H:H),0)</f>
        <v>0</v>
      </c>
      <c r="M362" s="207">
        <f>IFERROR(SUMIF(data!$E:$E,科目余额表!$B362,data!I:I),0)</f>
        <v>0</v>
      </c>
      <c r="N362" s="208">
        <f>IFERROR(SUMIF(data!$E:$E,科目余额表!$B362,data!J:J),0)</f>
        <v>0</v>
      </c>
      <c r="O362" s="208">
        <f>IFERROR(SUMIF(data!$E:$E,科目余额表!$B362,data!K:K),0)</f>
        <v>0</v>
      </c>
      <c r="P362" s="208">
        <f>IFERROR(SUMIF(data!$E:$E,科目余额表!$B362,data!L:L),0)</f>
        <v>0</v>
      </c>
      <c r="Q362" s="208">
        <f>IFERROR(SUMIF(data!$E:$E,科目余额表!$B362,data!M:M),0)</f>
        <v>0</v>
      </c>
      <c r="R362" s="208">
        <f>IFERROR(SUMIF(data!$E:$E,科目余额表!$B362,data!N:N),0)</f>
        <v>0</v>
      </c>
      <c r="S362" s="208">
        <f>IFERROR(SUMIF(data!$E:$E,科目余额表!$B362,data!O:O),0)</f>
        <v>0</v>
      </c>
      <c r="T362" s="208">
        <f>IFERROR(SUMIF(data!$E:$E,科目余额表!$B362,data!P:P),0)</f>
        <v>0</v>
      </c>
      <c r="U362" s="208">
        <f>IFERROR(SUMIF(data!$E:$E,科目余额表!$B362,data!Q:Q),0)</f>
        <v>0</v>
      </c>
      <c r="V362" s="208">
        <f>IFERROR(SUMIF(data!$E:$E,科目余额表!$B362,data!R:R),0)</f>
        <v>0</v>
      </c>
      <c r="W362" s="208">
        <f>IFERROR(SUMIF(data!$E:$E,科目余额表!$B362,data!S:S),0)</f>
        <v>0</v>
      </c>
    </row>
    <row r="363" spans="1:32" ht="11.65" customHeight="1">
      <c r="B363" s="220">
        <v>28216</v>
      </c>
      <c r="C363" s="220" t="s">
        <v>621</v>
      </c>
      <c r="D363" s="221">
        <v>0</v>
      </c>
      <c r="E363" s="221">
        <v>0</v>
      </c>
      <c r="F363" s="222">
        <f t="shared" si="5"/>
        <v>0</v>
      </c>
      <c r="G363" s="220" t="s">
        <v>36</v>
      </c>
      <c r="H363" s="219" t="s">
        <v>250</v>
      </c>
      <c r="I363" s="214"/>
      <c r="J363" s="208" t="s">
        <v>604</v>
      </c>
      <c r="L363" s="208">
        <f>IFERROR(SUMIF(data!$E:$E,科目余额表!$B363,data!H:H),0)</f>
        <v>0</v>
      </c>
      <c r="M363" s="207">
        <f>IFERROR(SUMIF(data!$E:$E,科目余额表!$B363,data!I:I),0)</f>
        <v>0</v>
      </c>
      <c r="N363" s="208">
        <f>IFERROR(SUMIF(data!$E:$E,科目余额表!$B363,data!J:J),0)</f>
        <v>0</v>
      </c>
      <c r="O363" s="208">
        <f>IFERROR(SUMIF(data!$E:$E,科目余额表!$B363,data!K:K),0)</f>
        <v>0</v>
      </c>
      <c r="P363" s="208">
        <f>IFERROR(SUMIF(data!$E:$E,科目余额表!$B363,data!L:L),0)</f>
        <v>0</v>
      </c>
      <c r="Q363" s="208">
        <f>IFERROR(SUMIF(data!$E:$E,科目余额表!$B363,data!M:M),0)</f>
        <v>0</v>
      </c>
      <c r="R363" s="208">
        <f>IFERROR(SUMIF(data!$E:$E,科目余额表!$B363,data!N:N),0)</f>
        <v>0</v>
      </c>
      <c r="S363" s="208">
        <f>IFERROR(SUMIF(data!$E:$E,科目余额表!$B363,data!O:O),0)</f>
        <v>0</v>
      </c>
      <c r="T363" s="208">
        <f>IFERROR(SUMIF(data!$E:$E,科目余额表!$B363,data!P:P),0)</f>
        <v>0</v>
      </c>
      <c r="U363" s="208">
        <f>IFERROR(SUMIF(data!$E:$E,科目余额表!$B363,data!Q:Q),0)</f>
        <v>0</v>
      </c>
      <c r="V363" s="208">
        <f>IFERROR(SUMIF(data!$E:$E,科目余额表!$B363,data!R:R),0)</f>
        <v>0</v>
      </c>
      <c r="W363" s="208">
        <f>IFERROR(SUMIF(data!$E:$E,科目余额表!$B363,data!S:S),0)</f>
        <v>0</v>
      </c>
    </row>
    <row r="364" spans="1:32" ht="11.65" customHeight="1">
      <c r="B364" s="220">
        <v>28217</v>
      </c>
      <c r="C364" s="220" t="s">
        <v>622</v>
      </c>
      <c r="D364" s="221">
        <v>0</v>
      </c>
      <c r="E364" s="221">
        <v>0</v>
      </c>
      <c r="F364" s="222">
        <f t="shared" si="5"/>
        <v>0</v>
      </c>
      <c r="G364" s="220" t="s">
        <v>36</v>
      </c>
      <c r="H364" s="219" t="s">
        <v>250</v>
      </c>
      <c r="I364" s="214"/>
      <c r="J364" s="208" t="s">
        <v>604</v>
      </c>
      <c r="L364" s="208">
        <f>IFERROR(SUMIF(data!$E:$E,科目余额表!$B364,data!H:H),0)</f>
        <v>0</v>
      </c>
      <c r="M364" s="207">
        <f>IFERROR(SUMIF(data!$E:$E,科目余额表!$B364,data!I:I),0)</f>
        <v>0</v>
      </c>
      <c r="N364" s="208">
        <f>IFERROR(SUMIF(data!$E:$E,科目余额表!$B364,data!J:J),0)</f>
        <v>0</v>
      </c>
      <c r="O364" s="208">
        <f>IFERROR(SUMIF(data!$E:$E,科目余额表!$B364,data!K:K),0)</f>
        <v>0</v>
      </c>
      <c r="P364" s="208">
        <f>IFERROR(SUMIF(data!$E:$E,科目余额表!$B364,data!L:L),0)</f>
        <v>0</v>
      </c>
      <c r="Q364" s="208">
        <f>IFERROR(SUMIF(data!$E:$E,科目余额表!$B364,data!M:M),0)</f>
        <v>0</v>
      </c>
      <c r="R364" s="208">
        <f>IFERROR(SUMIF(data!$E:$E,科目余额表!$B364,data!N:N),0)</f>
        <v>0</v>
      </c>
      <c r="S364" s="208">
        <f>IFERROR(SUMIF(data!$E:$E,科目余额表!$B364,data!O:O),0)</f>
        <v>0</v>
      </c>
      <c r="T364" s="208">
        <f>IFERROR(SUMIF(data!$E:$E,科目余额表!$B364,data!P:P),0)</f>
        <v>0</v>
      </c>
      <c r="U364" s="208">
        <f>IFERROR(SUMIF(data!$E:$E,科目余额表!$B364,data!Q:Q),0)</f>
        <v>0</v>
      </c>
      <c r="V364" s="208">
        <f>IFERROR(SUMIF(data!$E:$E,科目余额表!$B364,data!R:R),0)</f>
        <v>0</v>
      </c>
      <c r="W364" s="208">
        <f>IFERROR(SUMIF(data!$E:$E,科目余额表!$B364,data!S:S),0)</f>
        <v>0</v>
      </c>
    </row>
    <row r="365" spans="1:32" ht="11.65" customHeight="1">
      <c r="B365" s="220">
        <v>28218</v>
      </c>
      <c r="C365" s="220" t="s">
        <v>623</v>
      </c>
      <c r="D365" s="221">
        <v>0</v>
      </c>
      <c r="E365" s="221">
        <v>0</v>
      </c>
      <c r="F365" s="222">
        <f t="shared" si="5"/>
        <v>0</v>
      </c>
      <c r="G365" s="220" t="s">
        <v>36</v>
      </c>
      <c r="H365" s="219" t="s">
        <v>250</v>
      </c>
      <c r="I365" s="214"/>
      <c r="J365" s="208" t="s">
        <v>604</v>
      </c>
      <c r="L365" s="208">
        <f>IFERROR(SUMIF(data!$E:$E,科目余额表!$B365,data!H:H),0)</f>
        <v>0</v>
      </c>
      <c r="M365" s="207">
        <f>IFERROR(SUMIF(data!$E:$E,科目余额表!$B365,data!I:I),0)</f>
        <v>0</v>
      </c>
      <c r="N365" s="208">
        <f>IFERROR(SUMIF(data!$E:$E,科目余额表!$B365,data!J:J),0)</f>
        <v>0</v>
      </c>
      <c r="O365" s="208">
        <f>IFERROR(SUMIF(data!$E:$E,科目余额表!$B365,data!K:K),0)</f>
        <v>0</v>
      </c>
      <c r="P365" s="208">
        <f>IFERROR(SUMIF(data!$E:$E,科目余额表!$B365,data!L:L),0)</f>
        <v>0</v>
      </c>
      <c r="Q365" s="208">
        <f>IFERROR(SUMIF(data!$E:$E,科目余额表!$B365,data!M:M),0)</f>
        <v>0</v>
      </c>
      <c r="R365" s="208">
        <f>IFERROR(SUMIF(data!$E:$E,科目余额表!$B365,data!N:N),0)</f>
        <v>0</v>
      </c>
      <c r="S365" s="208">
        <f>IFERROR(SUMIF(data!$E:$E,科目余额表!$B365,data!O:O),0)</f>
        <v>0</v>
      </c>
      <c r="T365" s="208">
        <f>IFERROR(SUMIF(data!$E:$E,科目余额表!$B365,data!P:P),0)</f>
        <v>0</v>
      </c>
      <c r="U365" s="208">
        <f>IFERROR(SUMIF(data!$E:$E,科目余额表!$B365,data!Q:Q),0)</f>
        <v>0</v>
      </c>
      <c r="V365" s="208">
        <f>IFERROR(SUMIF(data!$E:$E,科目余额表!$B365,data!R:R),0)</f>
        <v>0</v>
      </c>
      <c r="W365" s="208">
        <f>IFERROR(SUMIF(data!$E:$E,科目余额表!$B365,data!S:S),0)</f>
        <v>0</v>
      </c>
    </row>
    <row r="366" spans="1:32" ht="11.65" customHeight="1">
      <c r="B366" s="220">
        <v>28220</v>
      </c>
      <c r="C366" s="220" t="s">
        <v>624</v>
      </c>
      <c r="D366" s="221">
        <v>0</v>
      </c>
      <c r="E366" s="221">
        <v>0</v>
      </c>
      <c r="F366" s="222">
        <f t="shared" si="5"/>
        <v>0</v>
      </c>
      <c r="G366" s="220" t="s">
        <v>36</v>
      </c>
      <c r="H366" s="219" t="s">
        <v>250</v>
      </c>
      <c r="I366" s="214"/>
      <c r="J366" s="208" t="s">
        <v>604</v>
      </c>
      <c r="L366" s="208">
        <f>IFERROR(SUMIF(data!$E:$E,科目余额表!$B366,data!H:H),0)</f>
        <v>0</v>
      </c>
      <c r="M366" s="207">
        <f>IFERROR(SUMIF(data!$E:$E,科目余额表!$B366,data!I:I),0)</f>
        <v>0</v>
      </c>
      <c r="N366" s="208">
        <f>IFERROR(SUMIF(data!$E:$E,科目余额表!$B366,data!J:J),0)</f>
        <v>0</v>
      </c>
      <c r="O366" s="208">
        <f>IFERROR(SUMIF(data!$E:$E,科目余额表!$B366,data!K:K),0)</f>
        <v>0</v>
      </c>
      <c r="P366" s="208">
        <f>IFERROR(SUMIF(data!$E:$E,科目余额表!$B366,data!L:L),0)</f>
        <v>0</v>
      </c>
      <c r="Q366" s="208">
        <f>IFERROR(SUMIF(data!$E:$E,科目余额表!$B366,data!M:M),0)</f>
        <v>0</v>
      </c>
      <c r="R366" s="208">
        <f>IFERROR(SUMIF(data!$E:$E,科目余额表!$B366,data!N:N),0)</f>
        <v>0</v>
      </c>
      <c r="S366" s="208">
        <f>IFERROR(SUMIF(data!$E:$E,科目余额表!$B366,data!O:O),0)</f>
        <v>0</v>
      </c>
      <c r="T366" s="208">
        <f>IFERROR(SUMIF(data!$E:$E,科目余额表!$B366,data!P:P),0)</f>
        <v>0</v>
      </c>
      <c r="U366" s="208">
        <f>IFERROR(SUMIF(data!$E:$E,科目余额表!$B366,data!Q:Q),0)</f>
        <v>0</v>
      </c>
      <c r="V366" s="208">
        <f>IFERROR(SUMIF(data!$E:$E,科目余额表!$B366,data!R:R),0)</f>
        <v>0</v>
      </c>
      <c r="W366" s="208">
        <f>IFERROR(SUMIF(data!$E:$E,科目余额表!$B366,data!S:S),0)</f>
        <v>0</v>
      </c>
    </row>
    <row r="367" spans="1:32" ht="11.65" customHeight="1">
      <c r="B367" s="220">
        <v>28221</v>
      </c>
      <c r="C367" s="220" t="s">
        <v>625</v>
      </c>
      <c r="D367" s="221">
        <v>0</v>
      </c>
      <c r="E367" s="221">
        <v>0</v>
      </c>
      <c r="F367" s="222">
        <f t="shared" si="5"/>
        <v>0</v>
      </c>
      <c r="G367" s="220" t="s">
        <v>36</v>
      </c>
      <c r="H367" s="219" t="s">
        <v>250</v>
      </c>
      <c r="I367" s="214"/>
      <c r="J367" s="208" t="s">
        <v>604</v>
      </c>
      <c r="L367" s="208">
        <f>IFERROR(SUMIF(data!$E:$E,科目余额表!$B367,data!H:H),0)</f>
        <v>0</v>
      </c>
      <c r="M367" s="207">
        <f>IFERROR(SUMIF(data!$E:$E,科目余额表!$B367,data!I:I),0)</f>
        <v>0</v>
      </c>
      <c r="N367" s="208">
        <f>IFERROR(SUMIF(data!$E:$E,科目余额表!$B367,data!J:J),0)</f>
        <v>0</v>
      </c>
      <c r="O367" s="208">
        <f>IFERROR(SUMIF(data!$E:$E,科目余额表!$B367,data!K:K),0)</f>
        <v>0</v>
      </c>
      <c r="P367" s="208">
        <f>IFERROR(SUMIF(data!$E:$E,科目余额表!$B367,data!L:L),0)</f>
        <v>0</v>
      </c>
      <c r="Q367" s="208">
        <f>IFERROR(SUMIF(data!$E:$E,科目余额表!$B367,data!M:M),0)</f>
        <v>0</v>
      </c>
      <c r="R367" s="208">
        <f>IFERROR(SUMIF(data!$E:$E,科目余额表!$B367,data!N:N),0)</f>
        <v>0</v>
      </c>
      <c r="S367" s="208">
        <f>IFERROR(SUMIF(data!$E:$E,科目余额表!$B367,data!O:O),0)</f>
        <v>0</v>
      </c>
      <c r="T367" s="208">
        <f>IFERROR(SUMIF(data!$E:$E,科目余额表!$B367,data!P:P),0)</f>
        <v>0</v>
      </c>
      <c r="U367" s="208">
        <f>IFERROR(SUMIF(data!$E:$E,科目余额表!$B367,data!Q:Q),0)</f>
        <v>0</v>
      </c>
      <c r="V367" s="208">
        <f>IFERROR(SUMIF(data!$E:$E,科目余额表!$B367,data!R:R),0)</f>
        <v>0</v>
      </c>
      <c r="W367" s="208">
        <f>IFERROR(SUMIF(data!$E:$E,科目余额表!$B367,data!S:S),0)</f>
        <v>0</v>
      </c>
    </row>
    <row r="368" spans="1:32" ht="11.65" customHeight="1">
      <c r="B368" s="220">
        <v>28222</v>
      </c>
      <c r="C368" s="220" t="s">
        <v>626</v>
      </c>
      <c r="D368" s="221">
        <v>0</v>
      </c>
      <c r="E368" s="221">
        <v>0</v>
      </c>
      <c r="F368" s="222">
        <f t="shared" si="5"/>
        <v>0</v>
      </c>
      <c r="G368" s="220" t="s">
        <v>36</v>
      </c>
      <c r="H368" s="219" t="s">
        <v>250</v>
      </c>
      <c r="I368" s="214"/>
      <c r="J368" s="208" t="s">
        <v>604</v>
      </c>
      <c r="L368" s="208">
        <f>IFERROR(SUMIF(data!$E:$E,科目余额表!$B368,data!H:H),0)</f>
        <v>0</v>
      </c>
      <c r="M368" s="207">
        <f>IFERROR(SUMIF(data!$E:$E,科目余额表!$B368,data!I:I),0)</f>
        <v>0</v>
      </c>
      <c r="N368" s="208">
        <f>IFERROR(SUMIF(data!$E:$E,科目余额表!$B368,data!J:J),0)</f>
        <v>0</v>
      </c>
      <c r="O368" s="208">
        <f>IFERROR(SUMIF(data!$E:$E,科目余额表!$B368,data!K:K),0)</f>
        <v>0</v>
      </c>
      <c r="P368" s="208">
        <f>IFERROR(SUMIF(data!$E:$E,科目余额表!$B368,data!L:L),0)</f>
        <v>0</v>
      </c>
      <c r="Q368" s="208">
        <f>IFERROR(SUMIF(data!$E:$E,科目余额表!$B368,data!M:M),0)</f>
        <v>0</v>
      </c>
      <c r="R368" s="208">
        <f>IFERROR(SUMIF(data!$E:$E,科目余额表!$B368,data!N:N),0)</f>
        <v>0</v>
      </c>
      <c r="S368" s="208">
        <f>IFERROR(SUMIF(data!$E:$E,科目余额表!$B368,data!O:O),0)</f>
        <v>0</v>
      </c>
      <c r="T368" s="208">
        <f>IFERROR(SUMIF(data!$E:$E,科目余额表!$B368,data!P:P),0)</f>
        <v>0</v>
      </c>
      <c r="U368" s="208">
        <f>IFERROR(SUMIF(data!$E:$E,科目余额表!$B368,data!Q:Q),0)</f>
        <v>0</v>
      </c>
      <c r="V368" s="208">
        <f>IFERROR(SUMIF(data!$E:$E,科目余额表!$B368,data!R:R),0)</f>
        <v>0</v>
      </c>
      <c r="W368" s="208">
        <f>IFERROR(SUMIF(data!$E:$E,科目余额表!$B368,data!S:S),0)</f>
        <v>0</v>
      </c>
    </row>
    <row r="369" spans="1:32" ht="11.65" customHeight="1">
      <c r="B369" s="220">
        <v>28223</v>
      </c>
      <c r="C369" s="220" t="s">
        <v>627</v>
      </c>
      <c r="D369" s="221">
        <v>0</v>
      </c>
      <c r="E369" s="221">
        <v>0</v>
      </c>
      <c r="F369" s="222">
        <f t="shared" si="5"/>
        <v>0</v>
      </c>
      <c r="G369" s="220" t="s">
        <v>36</v>
      </c>
      <c r="H369" s="219" t="s">
        <v>250</v>
      </c>
      <c r="I369" s="214"/>
      <c r="J369" s="208" t="s">
        <v>604</v>
      </c>
      <c r="L369" s="208">
        <f>IFERROR(SUMIF(data!$E:$E,科目余额表!$B369,data!H:H),0)</f>
        <v>0</v>
      </c>
      <c r="M369" s="207">
        <f>IFERROR(SUMIF(data!$E:$E,科目余额表!$B369,data!I:I),0)</f>
        <v>0</v>
      </c>
      <c r="N369" s="208">
        <f>IFERROR(SUMIF(data!$E:$E,科目余额表!$B369,data!J:J),0)</f>
        <v>0</v>
      </c>
      <c r="O369" s="208">
        <f>IFERROR(SUMIF(data!$E:$E,科目余额表!$B369,data!K:K),0)</f>
        <v>0</v>
      </c>
      <c r="P369" s="208">
        <f>IFERROR(SUMIF(data!$E:$E,科目余额表!$B369,data!L:L),0)</f>
        <v>0</v>
      </c>
      <c r="Q369" s="208">
        <f>IFERROR(SUMIF(data!$E:$E,科目余额表!$B369,data!M:M),0)</f>
        <v>0</v>
      </c>
      <c r="R369" s="208">
        <f>IFERROR(SUMIF(data!$E:$E,科目余额表!$B369,data!N:N),0)</f>
        <v>0</v>
      </c>
      <c r="S369" s="208">
        <f>IFERROR(SUMIF(data!$E:$E,科目余额表!$B369,data!O:O),0)</f>
        <v>0</v>
      </c>
      <c r="T369" s="208">
        <f>IFERROR(SUMIF(data!$E:$E,科目余额表!$B369,data!P:P),0)</f>
        <v>0</v>
      </c>
      <c r="U369" s="208">
        <f>IFERROR(SUMIF(data!$E:$E,科目余额表!$B369,data!Q:Q),0)</f>
        <v>0</v>
      </c>
      <c r="V369" s="208">
        <f>IFERROR(SUMIF(data!$E:$E,科目余额表!$B369,data!R:R),0)</f>
        <v>0</v>
      </c>
      <c r="W369" s="208">
        <f>IFERROR(SUMIF(data!$E:$E,科目余额表!$B369,data!S:S),0)</f>
        <v>0</v>
      </c>
    </row>
    <row r="370" spans="1:32" ht="11.65" customHeight="1">
      <c r="B370" s="220">
        <v>28224</v>
      </c>
      <c r="C370" s="220" t="s">
        <v>628</v>
      </c>
      <c r="D370" s="221">
        <v>0</v>
      </c>
      <c r="E370" s="221">
        <v>0</v>
      </c>
      <c r="F370" s="222">
        <f t="shared" si="5"/>
        <v>0</v>
      </c>
      <c r="G370" s="220" t="s">
        <v>36</v>
      </c>
      <c r="H370" s="219" t="s">
        <v>250</v>
      </c>
      <c r="I370" s="214"/>
      <c r="J370" s="208" t="s">
        <v>604</v>
      </c>
      <c r="L370" s="208">
        <f>IFERROR(SUMIF(data!$E:$E,科目余额表!$B370,data!H:H),0)</f>
        <v>0</v>
      </c>
      <c r="M370" s="207">
        <f>IFERROR(SUMIF(data!$E:$E,科目余额表!$B370,data!I:I),0)</f>
        <v>0</v>
      </c>
      <c r="N370" s="208">
        <f>IFERROR(SUMIF(data!$E:$E,科目余额表!$B370,data!J:J),0)</f>
        <v>0</v>
      </c>
      <c r="O370" s="208">
        <f>IFERROR(SUMIF(data!$E:$E,科目余额表!$B370,data!K:K),0)</f>
        <v>0</v>
      </c>
      <c r="P370" s="208">
        <f>IFERROR(SUMIF(data!$E:$E,科目余额表!$B370,data!L:L),0)</f>
        <v>0</v>
      </c>
      <c r="Q370" s="208">
        <f>IFERROR(SUMIF(data!$E:$E,科目余额表!$B370,data!M:M),0)</f>
        <v>0</v>
      </c>
      <c r="R370" s="208">
        <f>IFERROR(SUMIF(data!$E:$E,科目余额表!$B370,data!N:N),0)</f>
        <v>0</v>
      </c>
      <c r="S370" s="208">
        <f>IFERROR(SUMIF(data!$E:$E,科目余额表!$B370,data!O:O),0)</f>
        <v>0</v>
      </c>
      <c r="T370" s="208">
        <f>IFERROR(SUMIF(data!$E:$E,科目余额表!$B370,data!P:P),0)</f>
        <v>0</v>
      </c>
      <c r="U370" s="208">
        <f>IFERROR(SUMIF(data!$E:$E,科目余额表!$B370,data!Q:Q),0)</f>
        <v>0</v>
      </c>
      <c r="V370" s="208">
        <f>IFERROR(SUMIF(data!$E:$E,科目余额表!$B370,data!R:R),0)</f>
        <v>0</v>
      </c>
      <c r="W370" s="208">
        <f>IFERROR(SUMIF(data!$E:$E,科目余额表!$B370,data!S:S),0)</f>
        <v>0</v>
      </c>
    </row>
    <row r="371" spans="1:32" ht="11.65" customHeight="1">
      <c r="B371" s="220">
        <v>28225</v>
      </c>
      <c r="C371" s="220" t="s">
        <v>629</v>
      </c>
      <c r="D371" s="221">
        <v>0</v>
      </c>
      <c r="E371" s="221">
        <v>0</v>
      </c>
      <c r="F371" s="222">
        <f t="shared" si="5"/>
        <v>0</v>
      </c>
      <c r="G371" s="220" t="s">
        <v>36</v>
      </c>
      <c r="H371" s="219" t="s">
        <v>250</v>
      </c>
      <c r="I371" s="214"/>
      <c r="J371" s="208" t="s">
        <v>604</v>
      </c>
      <c r="L371" s="208">
        <f>IFERROR(SUMIF(data!$E:$E,科目余额表!$B371,data!H:H),0)</f>
        <v>0</v>
      </c>
      <c r="M371" s="207">
        <f>IFERROR(SUMIF(data!$E:$E,科目余额表!$B371,data!I:I),0)</f>
        <v>0</v>
      </c>
      <c r="N371" s="208">
        <f>IFERROR(SUMIF(data!$E:$E,科目余额表!$B371,data!J:J),0)</f>
        <v>0</v>
      </c>
      <c r="O371" s="208">
        <f>IFERROR(SUMIF(data!$E:$E,科目余额表!$B371,data!K:K),0)</f>
        <v>0</v>
      </c>
      <c r="P371" s="208">
        <f>IFERROR(SUMIF(data!$E:$E,科目余额表!$B371,data!L:L),0)</f>
        <v>0</v>
      </c>
      <c r="Q371" s="208">
        <f>IFERROR(SUMIF(data!$E:$E,科目余额表!$B371,data!M:M),0)</f>
        <v>0</v>
      </c>
      <c r="R371" s="208">
        <f>IFERROR(SUMIF(data!$E:$E,科目余额表!$B371,data!N:N),0)</f>
        <v>0</v>
      </c>
      <c r="S371" s="208">
        <f>IFERROR(SUMIF(data!$E:$E,科目余额表!$B371,data!O:O),0)</f>
        <v>0</v>
      </c>
      <c r="T371" s="208">
        <f>IFERROR(SUMIF(data!$E:$E,科目余额表!$B371,data!P:P),0)</f>
        <v>0</v>
      </c>
      <c r="U371" s="208">
        <f>IFERROR(SUMIF(data!$E:$E,科目余额表!$B371,data!Q:Q),0)</f>
        <v>0</v>
      </c>
      <c r="V371" s="208">
        <f>IFERROR(SUMIF(data!$E:$E,科目余额表!$B371,data!R:R),0)</f>
        <v>0</v>
      </c>
      <c r="W371" s="208">
        <f>IFERROR(SUMIF(data!$E:$E,科目余额表!$B371,data!S:S),0)</f>
        <v>0</v>
      </c>
    </row>
    <row r="372" spans="1:32" ht="11.65" customHeight="1">
      <c r="B372" s="220">
        <v>28226</v>
      </c>
      <c r="C372" s="220" t="s">
        <v>630</v>
      </c>
      <c r="D372" s="221">
        <v>0</v>
      </c>
      <c r="E372" s="221">
        <v>0</v>
      </c>
      <c r="F372" s="222">
        <f t="shared" si="5"/>
        <v>0</v>
      </c>
      <c r="G372" s="220" t="s">
        <v>36</v>
      </c>
      <c r="H372" s="219" t="s">
        <v>250</v>
      </c>
      <c r="I372" s="214"/>
      <c r="J372" s="208" t="s">
        <v>604</v>
      </c>
      <c r="L372" s="208">
        <f>IFERROR(SUMIF(data!$E:$E,科目余额表!$B372,data!H:H),0)</f>
        <v>0</v>
      </c>
      <c r="M372" s="207">
        <f>IFERROR(SUMIF(data!$E:$E,科目余额表!$B372,data!I:I),0)</f>
        <v>0</v>
      </c>
      <c r="N372" s="208">
        <f>IFERROR(SUMIF(data!$E:$E,科目余额表!$B372,data!J:J),0)</f>
        <v>0</v>
      </c>
      <c r="O372" s="208">
        <f>IFERROR(SUMIF(data!$E:$E,科目余额表!$B372,data!K:K),0)</f>
        <v>0</v>
      </c>
      <c r="P372" s="208">
        <f>IFERROR(SUMIF(data!$E:$E,科目余额表!$B372,data!L:L),0)</f>
        <v>0</v>
      </c>
      <c r="Q372" s="208">
        <f>IFERROR(SUMIF(data!$E:$E,科目余额表!$B372,data!M:M),0)</f>
        <v>0</v>
      </c>
      <c r="R372" s="208">
        <f>IFERROR(SUMIF(data!$E:$E,科目余额表!$B372,data!N:N),0)</f>
        <v>0</v>
      </c>
      <c r="S372" s="208">
        <f>IFERROR(SUMIF(data!$E:$E,科目余额表!$B372,data!O:O),0)</f>
        <v>0</v>
      </c>
      <c r="T372" s="208">
        <f>IFERROR(SUMIF(data!$E:$E,科目余额表!$B372,data!P:P),0)</f>
        <v>0</v>
      </c>
      <c r="U372" s="208">
        <f>IFERROR(SUMIF(data!$E:$E,科目余额表!$B372,data!Q:Q),0)</f>
        <v>0</v>
      </c>
      <c r="V372" s="208">
        <f>IFERROR(SUMIF(data!$E:$E,科目余额表!$B372,data!R:R),0)</f>
        <v>0</v>
      </c>
      <c r="W372" s="208">
        <f>IFERROR(SUMIF(data!$E:$E,科目余额表!$B372,data!S:S),0)</f>
        <v>0</v>
      </c>
    </row>
    <row r="373" spans="1:32" ht="11.65" customHeight="1">
      <c r="B373" s="220">
        <v>28227</v>
      </c>
      <c r="C373" s="220" t="s">
        <v>631</v>
      </c>
      <c r="D373" s="221">
        <v>0</v>
      </c>
      <c r="E373" s="221">
        <v>0</v>
      </c>
      <c r="F373" s="222">
        <f t="shared" si="5"/>
        <v>0</v>
      </c>
      <c r="G373" s="220" t="s">
        <v>36</v>
      </c>
      <c r="H373" s="219" t="s">
        <v>250</v>
      </c>
      <c r="I373" s="214"/>
      <c r="J373" s="208" t="s">
        <v>604</v>
      </c>
      <c r="L373" s="208">
        <f>IFERROR(SUMIF(data!$E:$E,科目余额表!$B373,data!H:H),0)</f>
        <v>0</v>
      </c>
      <c r="M373" s="207">
        <f>IFERROR(SUMIF(data!$E:$E,科目余额表!$B373,data!I:I),0)</f>
        <v>0</v>
      </c>
      <c r="N373" s="208">
        <f>IFERROR(SUMIF(data!$E:$E,科目余额表!$B373,data!J:J),0)</f>
        <v>0</v>
      </c>
      <c r="O373" s="208">
        <f>IFERROR(SUMIF(data!$E:$E,科目余额表!$B373,data!K:K),0)</f>
        <v>0</v>
      </c>
      <c r="P373" s="208">
        <f>IFERROR(SUMIF(data!$E:$E,科目余额表!$B373,data!L:L),0)</f>
        <v>0</v>
      </c>
      <c r="Q373" s="208">
        <f>IFERROR(SUMIF(data!$E:$E,科目余额表!$B373,data!M:M),0)</f>
        <v>0</v>
      </c>
      <c r="R373" s="208">
        <f>IFERROR(SUMIF(data!$E:$E,科目余额表!$B373,data!N:N),0)</f>
        <v>0</v>
      </c>
      <c r="S373" s="208">
        <f>IFERROR(SUMIF(data!$E:$E,科目余额表!$B373,data!O:O),0)</f>
        <v>0</v>
      </c>
      <c r="T373" s="208">
        <f>IFERROR(SUMIF(data!$E:$E,科目余额表!$B373,data!P:P),0)</f>
        <v>0</v>
      </c>
      <c r="U373" s="208">
        <f>IFERROR(SUMIF(data!$E:$E,科目余额表!$B373,data!Q:Q),0)</f>
        <v>0</v>
      </c>
      <c r="V373" s="208">
        <f>IFERROR(SUMIF(data!$E:$E,科目余额表!$B373,data!R:R),0)</f>
        <v>0</v>
      </c>
      <c r="W373" s="208">
        <f>IFERROR(SUMIF(data!$E:$E,科目余额表!$B373,data!S:S),0)</f>
        <v>0</v>
      </c>
    </row>
    <row r="374" spans="1:32" ht="11.65" customHeight="1">
      <c r="B374" s="220">
        <v>28228</v>
      </c>
      <c r="C374" s="220" t="s">
        <v>632</v>
      </c>
      <c r="D374" s="221">
        <v>0</v>
      </c>
      <c r="E374" s="221">
        <v>0</v>
      </c>
      <c r="F374" s="222">
        <f t="shared" si="5"/>
        <v>0</v>
      </c>
      <c r="G374" s="220" t="s">
        <v>36</v>
      </c>
      <c r="H374" s="219" t="s">
        <v>250</v>
      </c>
      <c r="I374" s="214"/>
      <c r="J374" s="208" t="s">
        <v>604</v>
      </c>
      <c r="L374" s="208">
        <f>IFERROR(SUMIF(data!$E:$E,科目余额表!$B374,data!H:H),0)</f>
        <v>0</v>
      </c>
      <c r="M374" s="207">
        <f>IFERROR(SUMIF(data!$E:$E,科目余额表!$B374,data!I:I),0)</f>
        <v>0</v>
      </c>
      <c r="N374" s="208">
        <f>IFERROR(SUMIF(data!$E:$E,科目余额表!$B374,data!J:J),0)</f>
        <v>0</v>
      </c>
      <c r="O374" s="208">
        <f>IFERROR(SUMIF(data!$E:$E,科目余额表!$B374,data!K:K),0)</f>
        <v>0</v>
      </c>
      <c r="P374" s="208">
        <f>IFERROR(SUMIF(data!$E:$E,科目余额表!$B374,data!L:L),0)</f>
        <v>0</v>
      </c>
      <c r="Q374" s="208">
        <f>IFERROR(SUMIF(data!$E:$E,科目余额表!$B374,data!M:M),0)</f>
        <v>0</v>
      </c>
      <c r="R374" s="208">
        <f>IFERROR(SUMIF(data!$E:$E,科目余额表!$B374,data!N:N),0)</f>
        <v>0</v>
      </c>
      <c r="S374" s="208">
        <f>IFERROR(SUMIF(data!$E:$E,科目余额表!$B374,data!O:O),0)</f>
        <v>0</v>
      </c>
      <c r="T374" s="208">
        <f>IFERROR(SUMIF(data!$E:$E,科目余额表!$B374,data!P:P),0)</f>
        <v>0</v>
      </c>
      <c r="U374" s="208">
        <f>IFERROR(SUMIF(data!$E:$E,科目余额表!$B374,data!Q:Q),0)</f>
        <v>0</v>
      </c>
      <c r="V374" s="208">
        <f>IFERROR(SUMIF(data!$E:$E,科目余额表!$B374,data!R:R),0)</f>
        <v>0</v>
      </c>
      <c r="W374" s="208">
        <f>IFERROR(SUMIF(data!$E:$E,科目余额表!$B374,data!S:S),0)</f>
        <v>0</v>
      </c>
    </row>
    <row r="375" spans="1:32" ht="11.65" customHeight="1">
      <c r="B375" s="220">
        <v>28229</v>
      </c>
      <c r="C375" s="220" t="s">
        <v>633</v>
      </c>
      <c r="D375" s="221">
        <v>0</v>
      </c>
      <c r="E375" s="221">
        <v>0</v>
      </c>
      <c r="F375" s="222">
        <f t="shared" si="5"/>
        <v>0</v>
      </c>
      <c r="G375" s="220" t="s">
        <v>36</v>
      </c>
      <c r="H375" s="219" t="s">
        <v>250</v>
      </c>
      <c r="I375" s="214"/>
      <c r="J375" s="208" t="s">
        <v>604</v>
      </c>
      <c r="L375" s="208">
        <f>IFERROR(SUMIF(data!$E:$E,科目余额表!$B375,data!H:H),0)</f>
        <v>0</v>
      </c>
      <c r="M375" s="207">
        <f>IFERROR(SUMIF(data!$E:$E,科目余额表!$B375,data!I:I),0)</f>
        <v>0</v>
      </c>
      <c r="N375" s="208">
        <f>IFERROR(SUMIF(data!$E:$E,科目余额表!$B375,data!J:J),0)</f>
        <v>0</v>
      </c>
      <c r="O375" s="208">
        <f>IFERROR(SUMIF(data!$E:$E,科目余额表!$B375,data!K:K),0)</f>
        <v>0</v>
      </c>
      <c r="P375" s="208">
        <f>IFERROR(SUMIF(data!$E:$E,科目余额表!$B375,data!L:L),0)</f>
        <v>0</v>
      </c>
      <c r="Q375" s="208">
        <f>IFERROR(SUMIF(data!$E:$E,科目余额表!$B375,data!M:M),0)</f>
        <v>0</v>
      </c>
      <c r="R375" s="208">
        <f>IFERROR(SUMIF(data!$E:$E,科目余额表!$B375,data!N:N),0)</f>
        <v>0</v>
      </c>
      <c r="S375" s="208">
        <f>IFERROR(SUMIF(data!$E:$E,科目余额表!$B375,data!O:O),0)</f>
        <v>0</v>
      </c>
      <c r="T375" s="208">
        <f>IFERROR(SUMIF(data!$E:$E,科目余额表!$B375,data!P:P),0)</f>
        <v>0</v>
      </c>
      <c r="U375" s="208">
        <f>IFERROR(SUMIF(data!$E:$E,科目余额表!$B375,data!Q:Q),0)</f>
        <v>0</v>
      </c>
      <c r="V375" s="208">
        <f>IFERROR(SUMIF(data!$E:$E,科目余额表!$B375,data!R:R),0)</f>
        <v>0</v>
      </c>
      <c r="W375" s="208">
        <f>IFERROR(SUMIF(data!$E:$E,科目余额表!$B375,data!S:S),0)</f>
        <v>0</v>
      </c>
    </row>
    <row r="376" spans="1:32" ht="11.65" customHeight="1">
      <c r="B376" s="220">
        <v>28230</v>
      </c>
      <c r="C376" s="220" t="s">
        <v>634</v>
      </c>
      <c r="D376" s="221">
        <v>0</v>
      </c>
      <c r="E376" s="221">
        <v>0</v>
      </c>
      <c r="F376" s="222">
        <f t="shared" si="5"/>
        <v>0</v>
      </c>
      <c r="G376" s="220" t="s">
        <v>36</v>
      </c>
      <c r="H376" s="219" t="s">
        <v>250</v>
      </c>
      <c r="I376" s="214"/>
      <c r="J376" s="208" t="s">
        <v>604</v>
      </c>
      <c r="L376" s="208">
        <f>IFERROR(SUMIF(data!$E:$E,科目余额表!$B376,data!H:H),0)</f>
        <v>0</v>
      </c>
      <c r="M376" s="207">
        <f>IFERROR(SUMIF(data!$E:$E,科目余额表!$B376,data!I:I),0)</f>
        <v>0</v>
      </c>
      <c r="N376" s="208">
        <f>IFERROR(SUMIF(data!$E:$E,科目余额表!$B376,data!J:J),0)</f>
        <v>0</v>
      </c>
      <c r="O376" s="208">
        <f>IFERROR(SUMIF(data!$E:$E,科目余额表!$B376,data!K:K),0)</f>
        <v>0</v>
      </c>
      <c r="P376" s="208">
        <f>IFERROR(SUMIF(data!$E:$E,科目余额表!$B376,data!L:L),0)</f>
        <v>0</v>
      </c>
      <c r="Q376" s="208">
        <f>IFERROR(SUMIF(data!$E:$E,科目余额表!$B376,data!M:M),0)</f>
        <v>0</v>
      </c>
      <c r="R376" s="208">
        <f>IFERROR(SUMIF(data!$E:$E,科目余额表!$B376,data!N:N),0)</f>
        <v>0</v>
      </c>
      <c r="S376" s="208">
        <f>IFERROR(SUMIF(data!$E:$E,科目余额表!$B376,data!O:O),0)</f>
        <v>0</v>
      </c>
      <c r="T376" s="208">
        <f>IFERROR(SUMIF(data!$E:$E,科目余额表!$B376,data!P:P),0)</f>
        <v>0</v>
      </c>
      <c r="U376" s="208">
        <f>IFERROR(SUMIF(data!$E:$E,科目余额表!$B376,data!Q:Q),0)</f>
        <v>0</v>
      </c>
      <c r="V376" s="208">
        <f>IFERROR(SUMIF(data!$E:$E,科目余额表!$B376,data!R:R),0)</f>
        <v>0</v>
      </c>
      <c r="W376" s="208">
        <f>IFERROR(SUMIF(data!$E:$E,科目余额表!$B376,data!S:S),0)</f>
        <v>0</v>
      </c>
    </row>
    <row r="377" spans="1:32" ht="11.65" customHeight="1">
      <c r="B377" s="220">
        <v>28231</v>
      </c>
      <c r="C377" s="220" t="s">
        <v>635</v>
      </c>
      <c r="D377" s="221">
        <v>0</v>
      </c>
      <c r="E377" s="221">
        <v>0</v>
      </c>
      <c r="F377" s="222">
        <f t="shared" si="5"/>
        <v>0</v>
      </c>
      <c r="G377" s="220" t="s">
        <v>36</v>
      </c>
      <c r="H377" s="219" t="s">
        <v>250</v>
      </c>
      <c r="I377" s="214"/>
      <c r="J377" s="208" t="s">
        <v>604</v>
      </c>
      <c r="L377" s="208">
        <f>IFERROR(SUMIF(data!$E:$E,科目余额表!$B377,data!H:H),0)</f>
        <v>0</v>
      </c>
      <c r="M377" s="207">
        <f>IFERROR(SUMIF(data!$E:$E,科目余额表!$B377,data!I:I),0)</f>
        <v>0</v>
      </c>
      <c r="N377" s="208">
        <f>IFERROR(SUMIF(data!$E:$E,科目余额表!$B377,data!J:J),0)</f>
        <v>0</v>
      </c>
      <c r="O377" s="208">
        <f>IFERROR(SUMIF(data!$E:$E,科目余额表!$B377,data!K:K),0)</f>
        <v>0</v>
      </c>
      <c r="P377" s="208">
        <f>IFERROR(SUMIF(data!$E:$E,科目余额表!$B377,data!L:L),0)</f>
        <v>0</v>
      </c>
      <c r="Q377" s="208">
        <f>IFERROR(SUMIF(data!$E:$E,科目余额表!$B377,data!M:M),0)</f>
        <v>0</v>
      </c>
      <c r="R377" s="208">
        <f>IFERROR(SUMIF(data!$E:$E,科目余额表!$B377,data!N:N),0)</f>
        <v>0</v>
      </c>
      <c r="S377" s="208">
        <f>IFERROR(SUMIF(data!$E:$E,科目余额表!$B377,data!O:O),0)</f>
        <v>0</v>
      </c>
      <c r="T377" s="208">
        <f>IFERROR(SUMIF(data!$E:$E,科目余额表!$B377,data!P:P),0)</f>
        <v>0</v>
      </c>
      <c r="U377" s="208">
        <f>IFERROR(SUMIF(data!$E:$E,科目余额表!$B377,data!Q:Q),0)</f>
        <v>0</v>
      </c>
      <c r="V377" s="208">
        <f>IFERROR(SUMIF(data!$E:$E,科目余额表!$B377,data!R:R),0)</f>
        <v>0</v>
      </c>
      <c r="W377" s="208">
        <f>IFERROR(SUMIF(data!$E:$E,科目余额表!$B377,data!S:S),0)</f>
        <v>0</v>
      </c>
    </row>
    <row r="378" spans="1:32" ht="11.65" customHeight="1">
      <c r="B378" s="220">
        <v>28232</v>
      </c>
      <c r="C378" s="220" t="s">
        <v>636</v>
      </c>
      <c r="D378" s="221">
        <v>0</v>
      </c>
      <c r="E378" s="221">
        <v>0</v>
      </c>
      <c r="F378" s="222">
        <f t="shared" si="5"/>
        <v>0</v>
      </c>
      <c r="G378" s="220" t="s">
        <v>36</v>
      </c>
      <c r="H378" s="219" t="s">
        <v>250</v>
      </c>
      <c r="I378" s="214"/>
      <c r="J378" s="208" t="s">
        <v>604</v>
      </c>
      <c r="L378" s="208">
        <f>IFERROR(SUMIF(data!$E:$E,科目余额表!$B378,data!H:H),0)</f>
        <v>0</v>
      </c>
      <c r="M378" s="207">
        <f>IFERROR(SUMIF(data!$E:$E,科目余额表!$B378,data!I:I),0)</f>
        <v>0</v>
      </c>
      <c r="N378" s="208">
        <f>IFERROR(SUMIF(data!$E:$E,科目余额表!$B378,data!J:J),0)</f>
        <v>0</v>
      </c>
      <c r="O378" s="208">
        <f>IFERROR(SUMIF(data!$E:$E,科目余额表!$B378,data!K:K),0)</f>
        <v>0</v>
      </c>
      <c r="P378" s="208">
        <f>IFERROR(SUMIF(data!$E:$E,科目余额表!$B378,data!L:L),0)</f>
        <v>0</v>
      </c>
      <c r="Q378" s="208">
        <f>IFERROR(SUMIF(data!$E:$E,科目余额表!$B378,data!M:M),0)</f>
        <v>0</v>
      </c>
      <c r="R378" s="208">
        <f>IFERROR(SUMIF(data!$E:$E,科目余额表!$B378,data!N:N),0)</f>
        <v>0</v>
      </c>
      <c r="S378" s="208">
        <f>IFERROR(SUMIF(data!$E:$E,科目余额表!$B378,data!O:O),0)</f>
        <v>0</v>
      </c>
      <c r="T378" s="208">
        <f>IFERROR(SUMIF(data!$E:$E,科目余额表!$B378,data!P:P),0)</f>
        <v>0</v>
      </c>
      <c r="U378" s="208">
        <f>IFERROR(SUMIF(data!$E:$E,科目余额表!$B378,data!Q:Q),0)</f>
        <v>0</v>
      </c>
      <c r="V378" s="208">
        <f>IFERROR(SUMIF(data!$E:$E,科目余额表!$B378,data!R:R),0)</f>
        <v>0</v>
      </c>
      <c r="W378" s="208">
        <f>IFERROR(SUMIF(data!$E:$E,科目余额表!$B378,data!S:S),0)</f>
        <v>0</v>
      </c>
    </row>
    <row r="379" spans="1:32" ht="11.65" customHeight="1">
      <c r="B379" s="220">
        <v>28233</v>
      </c>
      <c r="C379" s="220" t="s">
        <v>637</v>
      </c>
      <c r="D379" s="221">
        <v>0</v>
      </c>
      <c r="E379" s="221">
        <v>0</v>
      </c>
      <c r="F379" s="222">
        <f t="shared" si="5"/>
        <v>0</v>
      </c>
      <c r="G379" s="220" t="s">
        <v>36</v>
      </c>
      <c r="H379" s="219" t="s">
        <v>250</v>
      </c>
      <c r="I379" s="214"/>
      <c r="J379" s="208" t="s">
        <v>604</v>
      </c>
      <c r="L379" s="208">
        <f>IFERROR(SUMIF(data!$E:$E,科目余额表!$B379,data!H:H),0)</f>
        <v>0</v>
      </c>
      <c r="M379" s="207">
        <f>IFERROR(SUMIF(data!$E:$E,科目余额表!$B379,data!I:I),0)</f>
        <v>0</v>
      </c>
      <c r="N379" s="208">
        <f>IFERROR(SUMIF(data!$E:$E,科目余额表!$B379,data!J:J),0)</f>
        <v>0</v>
      </c>
      <c r="O379" s="208">
        <f>IFERROR(SUMIF(data!$E:$E,科目余额表!$B379,data!K:K),0)</f>
        <v>0</v>
      </c>
      <c r="P379" s="208">
        <f>IFERROR(SUMIF(data!$E:$E,科目余额表!$B379,data!L:L),0)</f>
        <v>0</v>
      </c>
      <c r="Q379" s="208">
        <f>IFERROR(SUMIF(data!$E:$E,科目余额表!$B379,data!M:M),0)</f>
        <v>0</v>
      </c>
      <c r="R379" s="208">
        <f>IFERROR(SUMIF(data!$E:$E,科目余额表!$B379,data!N:N),0)</f>
        <v>0</v>
      </c>
      <c r="S379" s="208">
        <f>IFERROR(SUMIF(data!$E:$E,科目余额表!$B379,data!O:O),0)</f>
        <v>0</v>
      </c>
      <c r="T379" s="208">
        <f>IFERROR(SUMIF(data!$E:$E,科目余额表!$B379,data!P:P),0)</f>
        <v>0</v>
      </c>
      <c r="U379" s="208">
        <f>IFERROR(SUMIF(data!$E:$E,科目余额表!$B379,data!Q:Q),0)</f>
        <v>0</v>
      </c>
      <c r="V379" s="208">
        <f>IFERROR(SUMIF(data!$E:$E,科目余额表!$B379,data!R:R),0)</f>
        <v>0</v>
      </c>
      <c r="W379" s="208">
        <f>IFERROR(SUMIF(data!$E:$E,科目余额表!$B379,data!S:S),0)</f>
        <v>0</v>
      </c>
    </row>
    <row r="380" spans="1:32" ht="11.65" customHeight="1">
      <c r="B380" s="220">
        <v>28900</v>
      </c>
      <c r="C380" s="220" t="s">
        <v>32</v>
      </c>
      <c r="D380" s="221">
        <v>0</v>
      </c>
      <c r="E380" s="221">
        <v>0</v>
      </c>
      <c r="F380" s="222">
        <f t="shared" si="5"/>
        <v>0</v>
      </c>
      <c r="G380" s="220" t="s">
        <v>36</v>
      </c>
      <c r="H380" s="219" t="s">
        <v>250</v>
      </c>
      <c r="I380" s="214"/>
      <c r="J380" s="208" t="s">
        <v>604</v>
      </c>
      <c r="L380" s="208">
        <f>IFERROR(SUMIF(data!$E:$E,科目余额表!$B380,data!H:H),0)</f>
        <v>0</v>
      </c>
      <c r="M380" s="207">
        <f>IFERROR(SUMIF(data!$E:$E,科目余额表!$B380,data!I:I),0)</f>
        <v>0</v>
      </c>
      <c r="N380" s="208">
        <f>IFERROR(SUMIF(data!$E:$E,科目余额表!$B380,data!J:J),0)</f>
        <v>0</v>
      </c>
      <c r="O380" s="208">
        <f>IFERROR(SUMIF(data!$E:$E,科目余额表!$B380,data!K:K),0)</f>
        <v>0</v>
      </c>
      <c r="P380" s="208">
        <f>IFERROR(SUMIF(data!$E:$E,科目余额表!$B380,data!L:L),0)</f>
        <v>0</v>
      </c>
      <c r="Q380" s="208">
        <f>IFERROR(SUMIF(data!$E:$E,科目余额表!$B380,data!M:M),0)</f>
        <v>0</v>
      </c>
      <c r="R380" s="208">
        <f>IFERROR(SUMIF(data!$E:$E,科目余额表!$B380,data!N:N),0)</f>
        <v>0</v>
      </c>
      <c r="S380" s="208">
        <f>IFERROR(SUMIF(data!$E:$E,科目余额表!$B380,data!O:O),0)</f>
        <v>0</v>
      </c>
      <c r="T380" s="208">
        <f>IFERROR(SUMIF(data!$E:$E,科目余额表!$B380,data!P:P),0)</f>
        <v>0</v>
      </c>
      <c r="U380" s="208">
        <f>IFERROR(SUMIF(data!$E:$E,科目余额表!$B380,data!Q:Q),0)</f>
        <v>0</v>
      </c>
      <c r="V380" s="208">
        <f>IFERROR(SUMIF(data!$E:$E,科目余额表!$B380,data!R:R),0)</f>
        <v>0</v>
      </c>
      <c r="W380" s="208">
        <f>IFERROR(SUMIF(data!$E:$E,科目余额表!$B380,data!S:S),0)</f>
        <v>0</v>
      </c>
    </row>
    <row r="381" spans="1:32" s="214" customFormat="1" ht="11.65" customHeight="1">
      <c r="A381" s="215"/>
      <c r="B381" s="220">
        <v>29000</v>
      </c>
      <c r="C381" s="205" t="s">
        <v>638</v>
      </c>
      <c r="D381" s="221">
        <v>-7488903.5899999999</v>
      </c>
      <c r="E381" s="221">
        <v>20000</v>
      </c>
      <c r="F381" s="222">
        <f t="shared" si="5"/>
        <v>-7468903.5899999999</v>
      </c>
      <c r="G381" s="205" t="s">
        <v>42</v>
      </c>
      <c r="H381" s="219" t="s">
        <v>250</v>
      </c>
      <c r="J381" s="207" t="s">
        <v>42</v>
      </c>
      <c r="K381" s="207"/>
      <c r="L381" s="207">
        <f>IFERROR(SUMIF(data!$E:$E,科目余额表!$B381,data!H:H),0)</f>
        <v>-8278439.9800000004</v>
      </c>
      <c r="M381" s="207">
        <f>IFERROR(SUMIF(data!$E:$E,科目余额表!$B381,data!I:I),0)</f>
        <v>-8265636.9800000004</v>
      </c>
      <c r="N381" s="207">
        <f>IFERROR(SUMIF(data!$E:$E,科目余额表!$B381,data!J:J),0)</f>
        <v>-8902291.5099999979</v>
      </c>
      <c r="O381" s="207">
        <f>IFERROR(SUMIF(data!$E:$E,科目余额表!$B381,data!K:K),0)</f>
        <v>-6219217.6100000003</v>
      </c>
      <c r="P381" s="207">
        <f>IFERROR(SUMIF(data!$E:$E,科目余额表!$B381,data!L:L),0)</f>
        <v>-7831829.7199999997</v>
      </c>
      <c r="Q381" s="207">
        <f>IFERROR(SUMIF(data!$E:$E,科目余额表!$B381,data!M:M),0)</f>
        <v>-7823565.5899999999</v>
      </c>
      <c r="R381" s="207">
        <f>IFERROR(SUMIF(data!$E:$E,科目余额表!$B381,data!N:N),0)</f>
        <v>-7565242.46</v>
      </c>
      <c r="S381" s="207">
        <f>IFERROR(SUMIF(data!$E:$E,科目余额表!$B381,data!O:O),0)</f>
        <v>-7787224.5899999999</v>
      </c>
      <c r="T381" s="207">
        <f>IFERROR(SUMIF(data!$E:$E,科目余额表!$B381,data!P:P),0)</f>
        <v>-7748135.5899999999</v>
      </c>
      <c r="U381" s="207">
        <f>IFERROR(SUMIF(data!$E:$E,科目余额表!$B381,data!Q:Q),0)</f>
        <v>-7643903.5899999999</v>
      </c>
      <c r="V381" s="207">
        <f>IFERROR(SUMIF(data!$E:$E,科目余额表!$B381,data!R:R),0)</f>
        <v>-7488903.5899999999</v>
      </c>
      <c r="W381" s="207">
        <f>IFERROR(SUMIF(data!$E:$E,科目余额表!$B381,data!S:S),0)</f>
        <v>-7468903.5899999999</v>
      </c>
      <c r="X381" s="207"/>
      <c r="Y381" s="207"/>
      <c r="Z381" s="207"/>
      <c r="AA381" s="207"/>
      <c r="AB381" s="207"/>
      <c r="AC381" s="207"/>
      <c r="AD381" s="207"/>
      <c r="AE381" s="207"/>
      <c r="AF381" s="207"/>
    </row>
    <row r="382" spans="1:32" s="214" customFormat="1" ht="11.65" customHeight="1">
      <c r="A382" s="215"/>
      <c r="B382" s="220">
        <v>29001</v>
      </c>
      <c r="C382" s="205" t="s">
        <v>639</v>
      </c>
      <c r="D382" s="221">
        <v>0</v>
      </c>
      <c r="E382" s="221">
        <v>0</v>
      </c>
      <c r="F382" s="222">
        <f t="shared" si="5"/>
        <v>0</v>
      </c>
      <c r="G382" s="205" t="s">
        <v>42</v>
      </c>
      <c r="H382" s="219" t="s">
        <v>250</v>
      </c>
      <c r="J382" s="207" t="s">
        <v>42</v>
      </c>
      <c r="K382" s="207"/>
      <c r="L382" s="207">
        <f>IFERROR(SUMIF(data!$E:$E,科目余额表!$B382,data!H:H),0)</f>
        <v>0</v>
      </c>
      <c r="M382" s="207">
        <f>IFERROR(SUMIF(data!$E:$E,科目余额表!$B382,data!I:I),0)</f>
        <v>0</v>
      </c>
      <c r="N382" s="207">
        <f>IFERROR(SUMIF(data!$E:$E,科目余额表!$B382,data!J:J),0)</f>
        <v>0</v>
      </c>
      <c r="O382" s="207">
        <f>IFERROR(SUMIF(data!$E:$E,科目余额表!$B382,data!K:K),0)</f>
        <v>0</v>
      </c>
      <c r="P382" s="207">
        <f>IFERROR(SUMIF(data!$E:$E,科目余额表!$B382,data!L:L),0)</f>
        <v>0</v>
      </c>
      <c r="Q382" s="207">
        <f>IFERROR(SUMIF(data!$E:$E,科目余额表!$B382,data!M:M),0)</f>
        <v>0</v>
      </c>
      <c r="R382" s="207">
        <f>IFERROR(SUMIF(data!$E:$E,科目余额表!$B382,data!N:N),0)</f>
        <v>0</v>
      </c>
      <c r="S382" s="207">
        <f>IFERROR(SUMIF(data!$E:$E,科目余额表!$B382,data!O:O),0)</f>
        <v>0</v>
      </c>
      <c r="T382" s="207">
        <f>IFERROR(SUMIF(data!$E:$E,科目余额表!$B382,data!P:P),0)</f>
        <v>0</v>
      </c>
      <c r="U382" s="207">
        <f>IFERROR(SUMIF(data!$E:$E,科目余额表!$B382,data!Q:Q),0)</f>
        <v>0</v>
      </c>
      <c r="V382" s="207">
        <f>IFERROR(SUMIF(data!$E:$E,科目余额表!$B382,data!R:R),0)</f>
        <v>0</v>
      </c>
      <c r="W382" s="207">
        <f>IFERROR(SUMIF(data!$E:$E,科目余额表!$B382,data!S:S),0)</f>
        <v>0</v>
      </c>
      <c r="X382" s="207"/>
      <c r="Y382" s="207"/>
      <c r="Z382" s="207"/>
      <c r="AA382" s="207"/>
      <c r="AB382" s="207"/>
      <c r="AC382" s="207"/>
      <c r="AD382" s="207"/>
      <c r="AE382" s="207"/>
      <c r="AF382" s="207"/>
    </row>
    <row r="383" spans="1:32" s="214" customFormat="1" ht="11.65" customHeight="1">
      <c r="A383" s="215"/>
      <c r="B383" s="220">
        <v>29002</v>
      </c>
      <c r="C383" s="205" t="s">
        <v>640</v>
      </c>
      <c r="D383" s="221">
        <v>0</v>
      </c>
      <c r="E383" s="221">
        <v>0</v>
      </c>
      <c r="F383" s="222">
        <f t="shared" si="5"/>
        <v>0</v>
      </c>
      <c r="G383" s="205" t="s">
        <v>42</v>
      </c>
      <c r="H383" s="219" t="s">
        <v>250</v>
      </c>
      <c r="J383" s="207" t="s">
        <v>42</v>
      </c>
      <c r="K383" s="207"/>
      <c r="L383" s="207">
        <f>IFERROR(SUMIF(data!$E:$E,科目余额表!$B383,data!H:H),0)</f>
        <v>0</v>
      </c>
      <c r="M383" s="207">
        <f>IFERROR(SUMIF(data!$E:$E,科目余额表!$B383,data!I:I),0)</f>
        <v>0</v>
      </c>
      <c r="N383" s="207">
        <f>IFERROR(SUMIF(data!$E:$E,科目余额表!$B383,data!J:J),0)</f>
        <v>0</v>
      </c>
      <c r="O383" s="207">
        <f>IFERROR(SUMIF(data!$E:$E,科目余额表!$B383,data!K:K),0)</f>
        <v>0</v>
      </c>
      <c r="P383" s="207">
        <f>IFERROR(SUMIF(data!$E:$E,科目余额表!$B383,data!L:L),0)</f>
        <v>0</v>
      </c>
      <c r="Q383" s="207">
        <f>IFERROR(SUMIF(data!$E:$E,科目余额表!$B383,data!M:M),0)</f>
        <v>0</v>
      </c>
      <c r="R383" s="207">
        <f>IFERROR(SUMIF(data!$E:$E,科目余额表!$B383,data!N:N),0)</f>
        <v>0</v>
      </c>
      <c r="S383" s="207">
        <f>IFERROR(SUMIF(data!$E:$E,科目余额表!$B383,data!O:O),0)</f>
        <v>0</v>
      </c>
      <c r="T383" s="207">
        <f>IFERROR(SUMIF(data!$E:$E,科目余额表!$B383,data!P:P),0)</f>
        <v>0</v>
      </c>
      <c r="U383" s="207">
        <f>IFERROR(SUMIF(data!$E:$E,科目余额表!$B383,data!Q:Q),0)</f>
        <v>0</v>
      </c>
      <c r="V383" s="207">
        <f>IFERROR(SUMIF(data!$E:$E,科目余额表!$B383,data!R:R),0)</f>
        <v>0</v>
      </c>
      <c r="W383" s="207">
        <f>IFERROR(SUMIF(data!$E:$E,科目余额表!$B383,data!S:S),0)</f>
        <v>0</v>
      </c>
      <c r="X383" s="207"/>
      <c r="Y383" s="207"/>
      <c r="Z383" s="207"/>
      <c r="AA383" s="207"/>
      <c r="AB383" s="207"/>
      <c r="AC383" s="207"/>
      <c r="AD383" s="207"/>
      <c r="AE383" s="207"/>
      <c r="AF383" s="207"/>
    </row>
    <row r="384" spans="1:32" s="214" customFormat="1" ht="11.65" customHeight="1">
      <c r="A384" s="215"/>
      <c r="B384" s="220">
        <v>29100</v>
      </c>
      <c r="C384" s="205" t="s">
        <v>44</v>
      </c>
      <c r="D384" s="221">
        <v>0</v>
      </c>
      <c r="E384" s="221">
        <v>0</v>
      </c>
      <c r="F384" s="222">
        <f t="shared" si="5"/>
        <v>0</v>
      </c>
      <c r="G384" s="205" t="s">
        <v>641</v>
      </c>
      <c r="H384" s="219" t="s">
        <v>250</v>
      </c>
      <c r="J384" s="207" t="s">
        <v>44</v>
      </c>
      <c r="K384" s="207"/>
      <c r="L384" s="207">
        <f>IFERROR(SUMIF(data!$E:$E,科目余额表!$B384,data!H:H),0)</f>
        <v>0</v>
      </c>
      <c r="M384" s="207">
        <f>IFERROR(SUMIF(data!$E:$E,科目余额表!$B384,data!I:I),0)</f>
        <v>0</v>
      </c>
      <c r="N384" s="207">
        <f>IFERROR(SUMIF(data!$E:$E,科目余额表!$B384,data!J:J),0)</f>
        <v>0</v>
      </c>
      <c r="O384" s="207">
        <f>IFERROR(SUMIF(data!$E:$E,科目余额表!$B384,data!K:K),0)</f>
        <v>0</v>
      </c>
      <c r="P384" s="207">
        <f>IFERROR(SUMIF(data!$E:$E,科目余额表!$B384,data!L:L),0)</f>
        <v>0</v>
      </c>
      <c r="Q384" s="207">
        <f>IFERROR(SUMIF(data!$E:$E,科目余额表!$B384,data!M:M),0)</f>
        <v>0</v>
      </c>
      <c r="R384" s="207">
        <f>IFERROR(SUMIF(data!$E:$E,科目余额表!$B384,data!N:N),0)</f>
        <v>0</v>
      </c>
      <c r="S384" s="207">
        <f>IFERROR(SUMIF(data!$E:$E,科目余额表!$B384,data!O:O),0)</f>
        <v>0</v>
      </c>
      <c r="T384" s="207">
        <f>IFERROR(SUMIF(data!$E:$E,科目余额表!$B384,data!P:P),0)</f>
        <v>0</v>
      </c>
      <c r="U384" s="207">
        <f>IFERROR(SUMIF(data!$E:$E,科目余额表!$B384,data!Q:Q),0)</f>
        <v>0</v>
      </c>
      <c r="V384" s="207">
        <f>IFERROR(SUMIF(data!$E:$E,科目余额表!$B384,data!R:R),0)</f>
        <v>0</v>
      </c>
      <c r="W384" s="207">
        <f>IFERROR(SUMIF(data!$E:$E,科目余额表!$B384,data!S:S),0)</f>
        <v>0</v>
      </c>
      <c r="X384" s="207"/>
      <c r="Y384" s="207"/>
      <c r="Z384" s="207"/>
      <c r="AA384" s="207"/>
      <c r="AB384" s="207"/>
      <c r="AC384" s="207"/>
      <c r="AD384" s="207"/>
      <c r="AE384" s="207"/>
      <c r="AF384" s="207"/>
    </row>
    <row r="385" spans="1:32" s="214" customFormat="1" ht="11.65" customHeight="1">
      <c r="A385" s="215"/>
      <c r="B385" s="220">
        <v>29201</v>
      </c>
      <c r="C385" s="205" t="s">
        <v>642</v>
      </c>
      <c r="D385" s="221">
        <v>0</v>
      </c>
      <c r="E385" s="221">
        <v>0</v>
      </c>
      <c r="F385" s="222">
        <f t="shared" si="5"/>
        <v>0</v>
      </c>
      <c r="G385" s="205" t="s">
        <v>91</v>
      </c>
      <c r="H385" s="219" t="s">
        <v>250</v>
      </c>
      <c r="J385" s="207" t="s">
        <v>643</v>
      </c>
      <c r="K385" s="207"/>
      <c r="L385" s="207">
        <f>IFERROR(SUMIF(data!$E:$E,科目余额表!$B385,data!H:H),0)</f>
        <v>0</v>
      </c>
      <c r="M385" s="207">
        <f>IFERROR(SUMIF(data!$E:$E,科目余额表!$B385,data!I:I),0)</f>
        <v>0</v>
      </c>
      <c r="N385" s="207">
        <f>IFERROR(SUMIF(data!$E:$E,科目余额表!$B385,data!J:J),0)</f>
        <v>0</v>
      </c>
      <c r="O385" s="207">
        <f>IFERROR(SUMIF(data!$E:$E,科目余额表!$B385,data!K:K),0)</f>
        <v>0</v>
      </c>
      <c r="P385" s="207">
        <f>IFERROR(SUMIF(data!$E:$E,科目余额表!$B385,data!L:L),0)</f>
        <v>0</v>
      </c>
      <c r="Q385" s="207">
        <f>IFERROR(SUMIF(data!$E:$E,科目余额表!$B385,data!M:M),0)</f>
        <v>0</v>
      </c>
      <c r="R385" s="207">
        <f>IFERROR(SUMIF(data!$E:$E,科目余额表!$B385,data!N:N),0)</f>
        <v>0</v>
      </c>
      <c r="S385" s="207">
        <f>IFERROR(SUMIF(data!$E:$E,科目余额表!$B385,data!O:O),0)</f>
        <v>0</v>
      </c>
      <c r="T385" s="207">
        <f>IFERROR(SUMIF(data!$E:$E,科目余额表!$B385,data!P:P),0)</f>
        <v>0</v>
      </c>
      <c r="U385" s="207">
        <f>IFERROR(SUMIF(data!$E:$E,科目余额表!$B385,data!Q:Q),0)</f>
        <v>0</v>
      </c>
      <c r="V385" s="207">
        <f>IFERROR(SUMIF(data!$E:$E,科目余额表!$B385,data!R:R),0)</f>
        <v>0</v>
      </c>
      <c r="W385" s="207">
        <f>IFERROR(SUMIF(data!$E:$E,科目余额表!$B385,data!S:S),0)</f>
        <v>0</v>
      </c>
      <c r="X385" s="207"/>
      <c r="Y385" s="207"/>
      <c r="Z385" s="207"/>
      <c r="AA385" s="207"/>
      <c r="AB385" s="207"/>
      <c r="AC385" s="207"/>
      <c r="AD385" s="207"/>
      <c r="AE385" s="207"/>
      <c r="AF385" s="207"/>
    </row>
    <row r="386" spans="1:32" s="214" customFormat="1" ht="11.65" customHeight="1">
      <c r="A386" s="215"/>
      <c r="B386" s="220">
        <v>29219</v>
      </c>
      <c r="C386" s="205" t="s">
        <v>644</v>
      </c>
      <c r="D386" s="221">
        <v>0</v>
      </c>
      <c r="E386" s="221">
        <v>0</v>
      </c>
      <c r="F386" s="222">
        <f t="shared" si="5"/>
        <v>0</v>
      </c>
      <c r="G386" s="205" t="s">
        <v>641</v>
      </c>
      <c r="H386" s="219" t="s">
        <v>250</v>
      </c>
      <c r="J386" s="207" t="s">
        <v>643</v>
      </c>
      <c r="K386" s="207"/>
      <c r="L386" s="207">
        <f>IFERROR(SUMIF(data!$E:$E,科目余额表!$B386,data!H:H),0)</f>
        <v>0</v>
      </c>
      <c r="M386" s="207">
        <f>IFERROR(SUMIF(data!$E:$E,科目余额表!$B386,data!I:I),0)</f>
        <v>0</v>
      </c>
      <c r="N386" s="207">
        <f>IFERROR(SUMIF(data!$E:$E,科目余额表!$B386,data!J:J),0)</f>
        <v>0</v>
      </c>
      <c r="O386" s="207">
        <f>IFERROR(SUMIF(data!$E:$E,科目余额表!$B386,data!K:K),0)</f>
        <v>0</v>
      </c>
      <c r="P386" s="207">
        <f>IFERROR(SUMIF(data!$E:$E,科目余额表!$B386,data!L:L),0)</f>
        <v>0</v>
      </c>
      <c r="Q386" s="207">
        <f>IFERROR(SUMIF(data!$E:$E,科目余额表!$B386,data!M:M),0)</f>
        <v>0</v>
      </c>
      <c r="R386" s="207">
        <f>IFERROR(SUMIF(data!$E:$E,科目余额表!$B386,data!N:N),0)</f>
        <v>0</v>
      </c>
      <c r="S386" s="207">
        <f>IFERROR(SUMIF(data!$E:$E,科目余额表!$B386,data!O:O),0)</f>
        <v>0</v>
      </c>
      <c r="T386" s="207">
        <f>IFERROR(SUMIF(data!$E:$E,科目余额表!$B386,data!P:P),0)</f>
        <v>0</v>
      </c>
      <c r="U386" s="207">
        <f>IFERROR(SUMIF(data!$E:$E,科目余额表!$B386,data!Q:Q),0)</f>
        <v>0</v>
      </c>
      <c r="V386" s="207">
        <f>IFERROR(SUMIF(data!$E:$E,科目余额表!$B386,data!R:R),0)</f>
        <v>0</v>
      </c>
      <c r="W386" s="207">
        <f>IFERROR(SUMIF(data!$E:$E,科目余额表!$B386,data!S:S),0)</f>
        <v>0</v>
      </c>
      <c r="X386" s="207"/>
      <c r="Y386" s="207"/>
      <c r="Z386" s="207"/>
      <c r="AA386" s="207"/>
      <c r="AB386" s="207"/>
      <c r="AC386" s="207"/>
      <c r="AD386" s="207"/>
      <c r="AE386" s="207"/>
      <c r="AF386" s="207"/>
    </row>
    <row r="387" spans="1:32" s="214" customFormat="1" ht="11.65" customHeight="1">
      <c r="A387" s="215"/>
      <c r="B387" s="220">
        <v>29301</v>
      </c>
      <c r="C387" s="205" t="s">
        <v>645</v>
      </c>
      <c r="D387" s="221">
        <v>0</v>
      </c>
      <c r="E387" s="221">
        <v>0</v>
      </c>
      <c r="F387" s="222">
        <f t="shared" si="5"/>
        <v>0</v>
      </c>
      <c r="G387" s="205" t="s">
        <v>641</v>
      </c>
      <c r="H387" s="219" t="s">
        <v>250</v>
      </c>
      <c r="J387" s="207" t="s">
        <v>646</v>
      </c>
      <c r="K387" s="207"/>
      <c r="L387" s="207">
        <f>IFERROR(SUMIF(data!$E:$E,科目余额表!$B387,data!H:H),0)</f>
        <v>0</v>
      </c>
      <c r="M387" s="207">
        <f>IFERROR(SUMIF(data!$E:$E,科目余额表!$B387,data!I:I),0)</f>
        <v>0</v>
      </c>
      <c r="N387" s="207">
        <f>IFERROR(SUMIF(data!$E:$E,科目余额表!$B387,data!J:J),0)</f>
        <v>0</v>
      </c>
      <c r="O387" s="207">
        <f>IFERROR(SUMIF(data!$E:$E,科目余额表!$B387,data!K:K),0)</f>
        <v>0</v>
      </c>
      <c r="P387" s="207">
        <f>IFERROR(SUMIF(data!$E:$E,科目余额表!$B387,data!L:L),0)</f>
        <v>0</v>
      </c>
      <c r="Q387" s="207">
        <f>IFERROR(SUMIF(data!$E:$E,科目余额表!$B387,data!M:M),0)</f>
        <v>0</v>
      </c>
      <c r="R387" s="207">
        <f>IFERROR(SUMIF(data!$E:$E,科目余额表!$B387,data!N:N),0)</f>
        <v>0</v>
      </c>
      <c r="S387" s="207">
        <f>IFERROR(SUMIF(data!$E:$E,科目余额表!$B387,data!O:O),0)</f>
        <v>0</v>
      </c>
      <c r="T387" s="207">
        <f>IFERROR(SUMIF(data!$E:$E,科目余额表!$B387,data!P:P),0)</f>
        <v>0</v>
      </c>
      <c r="U387" s="207">
        <f>IFERROR(SUMIF(data!$E:$E,科目余额表!$B387,data!Q:Q),0)</f>
        <v>0</v>
      </c>
      <c r="V387" s="207">
        <f>IFERROR(SUMIF(data!$E:$E,科目余额表!$B387,data!R:R),0)</f>
        <v>0</v>
      </c>
      <c r="W387" s="207">
        <f>IFERROR(SUMIF(data!$E:$E,科目余额表!$B387,data!S:S),0)</f>
        <v>0</v>
      </c>
      <c r="X387" s="207"/>
      <c r="Y387" s="207"/>
      <c r="Z387" s="207"/>
      <c r="AA387" s="207"/>
      <c r="AB387" s="207"/>
      <c r="AC387" s="207"/>
      <c r="AD387" s="207"/>
      <c r="AE387" s="207"/>
      <c r="AF387" s="207"/>
    </row>
    <row r="388" spans="1:32" s="214" customFormat="1" ht="11.65" customHeight="1">
      <c r="A388" s="215"/>
      <c r="B388" s="220">
        <v>29302</v>
      </c>
      <c r="C388" s="205" t="s">
        <v>647</v>
      </c>
      <c r="D388" s="221">
        <v>0</v>
      </c>
      <c r="E388" s="221">
        <v>0</v>
      </c>
      <c r="F388" s="222">
        <f t="shared" si="5"/>
        <v>0</v>
      </c>
      <c r="G388" s="205" t="s">
        <v>641</v>
      </c>
      <c r="H388" s="219" t="s">
        <v>250</v>
      </c>
      <c r="J388" s="207" t="s">
        <v>646</v>
      </c>
      <c r="K388" s="207"/>
      <c r="L388" s="207">
        <f>IFERROR(SUMIF(data!$E:$E,科目余额表!$B388,data!H:H),0)</f>
        <v>0</v>
      </c>
      <c r="M388" s="207">
        <f>IFERROR(SUMIF(data!$E:$E,科目余额表!$B388,data!I:I),0)</f>
        <v>0</v>
      </c>
      <c r="N388" s="207">
        <f>IFERROR(SUMIF(data!$E:$E,科目余额表!$B388,data!J:J),0)</f>
        <v>0</v>
      </c>
      <c r="O388" s="207">
        <f>IFERROR(SUMIF(data!$E:$E,科目余额表!$B388,data!K:K),0)</f>
        <v>0</v>
      </c>
      <c r="P388" s="207">
        <f>IFERROR(SUMIF(data!$E:$E,科目余额表!$B388,data!L:L),0)</f>
        <v>0</v>
      </c>
      <c r="Q388" s="207">
        <f>IFERROR(SUMIF(data!$E:$E,科目余额表!$B388,data!M:M),0)</f>
        <v>0</v>
      </c>
      <c r="R388" s="207">
        <f>IFERROR(SUMIF(data!$E:$E,科目余额表!$B388,data!N:N),0)</f>
        <v>0</v>
      </c>
      <c r="S388" s="207">
        <f>IFERROR(SUMIF(data!$E:$E,科目余额表!$B388,data!O:O),0)</f>
        <v>0</v>
      </c>
      <c r="T388" s="207">
        <f>IFERROR(SUMIF(data!$E:$E,科目余额表!$B388,data!P:P),0)</f>
        <v>0</v>
      </c>
      <c r="U388" s="207">
        <f>IFERROR(SUMIF(data!$E:$E,科目余额表!$B388,data!Q:Q),0)</f>
        <v>0</v>
      </c>
      <c r="V388" s="207">
        <f>IFERROR(SUMIF(data!$E:$E,科目余额表!$B388,data!R:R),0)</f>
        <v>0</v>
      </c>
      <c r="W388" s="207">
        <f>IFERROR(SUMIF(data!$E:$E,科目余额表!$B388,data!S:S),0)</f>
        <v>0</v>
      </c>
      <c r="X388" s="207"/>
      <c r="Y388" s="207"/>
      <c r="Z388" s="207"/>
      <c r="AA388" s="207"/>
      <c r="AB388" s="207"/>
      <c r="AC388" s="207"/>
      <c r="AD388" s="207"/>
      <c r="AE388" s="207"/>
      <c r="AF388" s="207"/>
    </row>
    <row r="389" spans="1:32" s="214" customFormat="1" ht="11.65" customHeight="1">
      <c r="A389" s="215"/>
      <c r="B389" s="220">
        <v>29400</v>
      </c>
      <c r="C389" s="205" t="s">
        <v>648</v>
      </c>
      <c r="D389" s="221">
        <v>0</v>
      </c>
      <c r="E389" s="221">
        <v>0</v>
      </c>
      <c r="F389" s="222">
        <f t="shared" si="5"/>
        <v>0</v>
      </c>
      <c r="G389" s="205" t="s">
        <v>641</v>
      </c>
      <c r="H389" s="219" t="s">
        <v>250</v>
      </c>
      <c r="J389" s="207" t="s">
        <v>643</v>
      </c>
      <c r="K389" s="207"/>
      <c r="L389" s="207">
        <f>IFERROR(SUMIF(data!$E:$E,科目余额表!$B389,data!H:H),0)</f>
        <v>0</v>
      </c>
      <c r="M389" s="207">
        <f>IFERROR(SUMIF(data!$E:$E,科目余额表!$B389,data!I:I),0)</f>
        <v>0</v>
      </c>
      <c r="N389" s="207">
        <f>IFERROR(SUMIF(data!$E:$E,科目余额表!$B389,data!J:J),0)</f>
        <v>0</v>
      </c>
      <c r="O389" s="207">
        <f>IFERROR(SUMIF(data!$E:$E,科目余额表!$B389,data!K:K),0)</f>
        <v>0</v>
      </c>
      <c r="P389" s="207">
        <f>IFERROR(SUMIF(data!$E:$E,科目余额表!$B389,data!L:L),0)</f>
        <v>0</v>
      </c>
      <c r="Q389" s="207">
        <f>IFERROR(SUMIF(data!$E:$E,科目余额表!$B389,data!M:M),0)</f>
        <v>0</v>
      </c>
      <c r="R389" s="207">
        <f>IFERROR(SUMIF(data!$E:$E,科目余额表!$B389,data!N:N),0)</f>
        <v>0</v>
      </c>
      <c r="S389" s="207">
        <f>IFERROR(SUMIF(data!$E:$E,科目余额表!$B389,data!O:O),0)</f>
        <v>0</v>
      </c>
      <c r="T389" s="207">
        <f>IFERROR(SUMIF(data!$E:$E,科目余额表!$B389,data!P:P),0)</f>
        <v>0</v>
      </c>
      <c r="U389" s="207">
        <f>IFERROR(SUMIF(data!$E:$E,科目余额表!$B389,data!Q:Q),0)</f>
        <v>0</v>
      </c>
      <c r="V389" s="207">
        <f>IFERROR(SUMIF(data!$E:$E,科目余额表!$B389,data!R:R),0)</f>
        <v>0</v>
      </c>
      <c r="W389" s="207">
        <f>IFERROR(SUMIF(data!$E:$E,科目余额表!$B389,data!S:S),0)</f>
        <v>0</v>
      </c>
      <c r="X389" s="207"/>
      <c r="Y389" s="207"/>
      <c r="Z389" s="207"/>
      <c r="AA389" s="207"/>
      <c r="AB389" s="207"/>
      <c r="AC389" s="207"/>
      <c r="AD389" s="207"/>
      <c r="AE389" s="207"/>
      <c r="AF389" s="207"/>
    </row>
    <row r="390" spans="1:32" s="214" customFormat="1" ht="11.65" customHeight="1">
      <c r="A390" s="215"/>
      <c r="B390" s="220">
        <v>29500</v>
      </c>
      <c r="C390" s="205" t="s">
        <v>50</v>
      </c>
      <c r="D390" s="221">
        <v>0</v>
      </c>
      <c r="E390" s="221">
        <v>0</v>
      </c>
      <c r="F390" s="222">
        <f t="shared" si="5"/>
        <v>0</v>
      </c>
      <c r="G390" s="205" t="s">
        <v>641</v>
      </c>
      <c r="H390" s="219" t="s">
        <v>250</v>
      </c>
      <c r="J390" s="207" t="s">
        <v>50</v>
      </c>
      <c r="K390" s="207"/>
      <c r="L390" s="207">
        <f>IFERROR(SUMIF(data!$E:$E,科目余额表!$B390,data!H:H),0)</f>
        <v>0</v>
      </c>
      <c r="M390" s="207">
        <f>IFERROR(SUMIF(data!$E:$E,科目余额表!$B390,data!I:I),0)</f>
        <v>0</v>
      </c>
      <c r="N390" s="207">
        <f>IFERROR(SUMIF(data!$E:$E,科目余额表!$B390,data!J:J),0)</f>
        <v>0</v>
      </c>
      <c r="O390" s="207">
        <f>IFERROR(SUMIF(data!$E:$E,科目余额表!$B390,data!K:K),0)</f>
        <v>0</v>
      </c>
      <c r="P390" s="207">
        <f>IFERROR(SUMIF(data!$E:$E,科目余额表!$B390,data!L:L),0)</f>
        <v>0</v>
      </c>
      <c r="Q390" s="207">
        <f>IFERROR(SUMIF(data!$E:$E,科目余额表!$B390,data!M:M),0)</f>
        <v>0</v>
      </c>
      <c r="R390" s="207">
        <f>IFERROR(SUMIF(data!$E:$E,科目余额表!$B390,data!N:N),0)</f>
        <v>0</v>
      </c>
      <c r="S390" s="207">
        <f>IFERROR(SUMIF(data!$E:$E,科目余额表!$B390,data!O:O),0)</f>
        <v>0</v>
      </c>
      <c r="T390" s="207">
        <f>IFERROR(SUMIF(data!$E:$E,科目余额表!$B390,data!P:P),0)</f>
        <v>0</v>
      </c>
      <c r="U390" s="207">
        <f>IFERROR(SUMIF(data!$E:$E,科目余额表!$B390,data!Q:Q),0)</f>
        <v>0</v>
      </c>
      <c r="V390" s="207">
        <f>IFERROR(SUMIF(data!$E:$E,科目余额表!$B390,data!R:R),0)</f>
        <v>0</v>
      </c>
      <c r="W390" s="207">
        <f>IFERROR(SUMIF(data!$E:$E,科目余额表!$B390,data!S:S),0)</f>
        <v>0</v>
      </c>
      <c r="X390" s="207"/>
      <c r="Y390" s="207"/>
      <c r="Z390" s="207"/>
      <c r="AA390" s="207"/>
      <c r="AB390" s="207"/>
      <c r="AC390" s="207"/>
      <c r="AD390" s="207"/>
      <c r="AE390" s="207"/>
      <c r="AF390" s="207"/>
    </row>
    <row r="391" spans="1:32" s="214" customFormat="1" ht="11.65" customHeight="1">
      <c r="A391" s="215"/>
      <c r="B391" s="220">
        <v>29600</v>
      </c>
      <c r="C391" s="205" t="s">
        <v>649</v>
      </c>
      <c r="D391" s="221">
        <v>0</v>
      </c>
      <c r="E391" s="221">
        <v>0</v>
      </c>
      <c r="F391" s="222">
        <f t="shared" si="5"/>
        <v>0</v>
      </c>
      <c r="G391" s="205" t="s">
        <v>641</v>
      </c>
      <c r="H391" s="219" t="s">
        <v>250</v>
      </c>
      <c r="J391" s="207" t="s">
        <v>649</v>
      </c>
      <c r="K391" s="207"/>
      <c r="L391" s="207">
        <f>IFERROR(SUMIF(data!$E:$E,科目余额表!$B391,data!H:H),0)</f>
        <v>0</v>
      </c>
      <c r="M391" s="207">
        <f>IFERROR(SUMIF(data!$E:$E,科目余额表!$B391,data!I:I),0)</f>
        <v>0</v>
      </c>
      <c r="N391" s="207">
        <f>IFERROR(SUMIF(data!$E:$E,科目余额表!$B391,data!J:J),0)</f>
        <v>0</v>
      </c>
      <c r="O391" s="207">
        <f>IFERROR(SUMIF(data!$E:$E,科目余额表!$B391,data!K:K),0)</f>
        <v>0</v>
      </c>
      <c r="P391" s="207">
        <f>IFERROR(SUMIF(data!$E:$E,科目余额表!$B391,data!L:L),0)</f>
        <v>0</v>
      </c>
      <c r="Q391" s="207">
        <f>IFERROR(SUMIF(data!$E:$E,科目余额表!$B391,data!M:M),0)</f>
        <v>0</v>
      </c>
      <c r="R391" s="207">
        <f>IFERROR(SUMIF(data!$E:$E,科目余额表!$B391,data!N:N),0)</f>
        <v>0</v>
      </c>
      <c r="S391" s="207">
        <f>IFERROR(SUMIF(data!$E:$E,科目余额表!$B391,data!O:O),0)</f>
        <v>0</v>
      </c>
      <c r="T391" s="207">
        <f>IFERROR(SUMIF(data!$E:$E,科目余额表!$B391,data!P:P),0)</f>
        <v>0</v>
      </c>
      <c r="U391" s="207">
        <f>IFERROR(SUMIF(data!$E:$E,科目余额表!$B391,data!Q:Q),0)</f>
        <v>0</v>
      </c>
      <c r="V391" s="207">
        <f>IFERROR(SUMIF(data!$E:$E,科目余额表!$B391,data!R:R),0)</f>
        <v>0</v>
      </c>
      <c r="W391" s="207">
        <f>IFERROR(SUMIF(data!$E:$E,科目余额表!$B391,data!S:S),0)</f>
        <v>0</v>
      </c>
      <c r="X391" s="207"/>
      <c r="Y391" s="207"/>
      <c r="Z391" s="207"/>
      <c r="AA391" s="207"/>
      <c r="AB391" s="207"/>
      <c r="AC391" s="207"/>
      <c r="AD391" s="207"/>
      <c r="AE391" s="207"/>
      <c r="AF391" s="207"/>
    </row>
    <row r="392" spans="1:32" s="214" customFormat="1" ht="11.65" customHeight="1">
      <c r="A392" s="215"/>
      <c r="B392" s="220">
        <v>29900</v>
      </c>
      <c r="C392" s="205" t="s">
        <v>54</v>
      </c>
      <c r="D392" s="221">
        <v>0</v>
      </c>
      <c r="E392" s="221">
        <v>0</v>
      </c>
      <c r="F392" s="222">
        <f t="shared" ref="F392:F455" si="6">D392+E392</f>
        <v>0</v>
      </c>
      <c r="G392" s="205" t="s">
        <v>54</v>
      </c>
      <c r="H392" s="219" t="s">
        <v>250</v>
      </c>
      <c r="J392" s="207" t="s">
        <v>54</v>
      </c>
      <c r="K392" s="207"/>
      <c r="L392" s="207">
        <f>IFERROR(SUMIF(data!$E:$E,科目余额表!$B392,data!H:H),0)</f>
        <v>0</v>
      </c>
      <c r="M392" s="207">
        <f>IFERROR(SUMIF(data!$E:$E,科目余额表!$B392,data!I:I),0)</f>
        <v>0</v>
      </c>
      <c r="N392" s="207">
        <f>IFERROR(SUMIF(data!$E:$E,科目余额表!$B392,data!J:J),0)</f>
        <v>0</v>
      </c>
      <c r="O392" s="207">
        <f>IFERROR(SUMIF(data!$E:$E,科目余额表!$B392,data!K:K),0)</f>
        <v>0</v>
      </c>
      <c r="P392" s="207">
        <f>IFERROR(SUMIF(data!$E:$E,科目余额表!$B392,data!L:L),0)</f>
        <v>0</v>
      </c>
      <c r="Q392" s="207">
        <f>IFERROR(SUMIF(data!$E:$E,科目余额表!$B392,data!M:M),0)</f>
        <v>0</v>
      </c>
      <c r="R392" s="207">
        <f>IFERROR(SUMIF(data!$E:$E,科目余额表!$B392,data!N:N),0)</f>
        <v>0</v>
      </c>
      <c r="S392" s="207">
        <f>IFERROR(SUMIF(data!$E:$E,科目余额表!$B392,data!O:O),0)</f>
        <v>0</v>
      </c>
      <c r="T392" s="207">
        <f>IFERROR(SUMIF(data!$E:$E,科目余额表!$B392,data!P:P),0)</f>
        <v>0</v>
      </c>
      <c r="U392" s="207">
        <f>IFERROR(SUMIF(data!$E:$E,科目余额表!$B392,data!Q:Q),0)</f>
        <v>0</v>
      </c>
      <c r="V392" s="207">
        <f>IFERROR(SUMIF(data!$E:$E,科目余额表!$B392,data!R:R),0)</f>
        <v>0</v>
      </c>
      <c r="W392" s="207">
        <f>IFERROR(SUMIF(data!$E:$E,科目余额表!$B392,data!S:S),0)</f>
        <v>0</v>
      </c>
      <c r="X392" s="207"/>
      <c r="Y392" s="207"/>
      <c r="Z392" s="207"/>
      <c r="AA392" s="207"/>
      <c r="AB392" s="207"/>
      <c r="AC392" s="207"/>
      <c r="AD392" s="207"/>
      <c r="AE392" s="207"/>
      <c r="AF392" s="207"/>
    </row>
    <row r="393" spans="1:32" s="214" customFormat="1" ht="11.65" customHeight="1">
      <c r="A393" s="215"/>
      <c r="B393" s="220">
        <v>30000</v>
      </c>
      <c r="C393" s="205" t="s">
        <v>650</v>
      </c>
      <c r="D393" s="221">
        <v>0</v>
      </c>
      <c r="E393" s="221">
        <v>0</v>
      </c>
      <c r="F393" s="222">
        <f t="shared" si="6"/>
        <v>0</v>
      </c>
      <c r="G393" s="205" t="s">
        <v>651</v>
      </c>
      <c r="H393" s="219" t="s">
        <v>250</v>
      </c>
      <c r="J393" s="207" t="s">
        <v>80</v>
      </c>
      <c r="K393" s="207"/>
      <c r="L393" s="207">
        <f>IFERROR(SUMIF(data!$E:$E,科目余额表!$B393,data!H:H),0)</f>
        <v>0</v>
      </c>
      <c r="M393" s="207">
        <f>IFERROR(SUMIF(data!$E:$E,科目余额表!$B393,data!I:I),0)</f>
        <v>0</v>
      </c>
      <c r="N393" s="207">
        <f>IFERROR(SUMIF(data!$E:$E,科目余额表!$B393,data!J:J),0)</f>
        <v>0</v>
      </c>
      <c r="O393" s="207">
        <f>IFERROR(SUMIF(data!$E:$E,科目余额表!$B393,data!K:K),0)</f>
        <v>0</v>
      </c>
      <c r="P393" s="207">
        <f>IFERROR(SUMIF(data!$E:$E,科目余额表!$B393,data!L:L),0)</f>
        <v>0</v>
      </c>
      <c r="Q393" s="207">
        <f>IFERROR(SUMIF(data!$E:$E,科目余额表!$B393,data!M:M),0)</f>
        <v>0</v>
      </c>
      <c r="R393" s="207">
        <f>IFERROR(SUMIF(data!$E:$E,科目余额表!$B393,data!N:N),0)</f>
        <v>0</v>
      </c>
      <c r="S393" s="207">
        <f>IFERROR(SUMIF(data!$E:$E,科目余额表!$B393,data!O:O),0)</f>
        <v>0</v>
      </c>
      <c r="T393" s="207">
        <f>IFERROR(SUMIF(data!$E:$E,科目余额表!$B393,data!P:P),0)</f>
        <v>0</v>
      </c>
      <c r="U393" s="207">
        <f>IFERROR(SUMIF(data!$E:$E,科目余额表!$B393,data!Q:Q),0)</f>
        <v>0</v>
      </c>
      <c r="V393" s="207">
        <f>IFERROR(SUMIF(data!$E:$E,科目余额表!$B393,data!R:R),0)</f>
        <v>0</v>
      </c>
      <c r="W393" s="207">
        <f>IFERROR(SUMIF(data!$E:$E,科目余额表!$B393,data!S:S),0)</f>
        <v>0</v>
      </c>
      <c r="X393" s="207"/>
      <c r="Y393" s="207"/>
      <c r="Z393" s="207"/>
      <c r="AA393" s="207"/>
      <c r="AB393" s="207"/>
      <c r="AC393" s="207"/>
      <c r="AD393" s="207"/>
      <c r="AE393" s="207"/>
      <c r="AF393" s="207"/>
    </row>
    <row r="394" spans="1:32" s="214" customFormat="1" ht="11.65" customHeight="1">
      <c r="A394" s="215"/>
      <c r="B394" s="220">
        <v>30001</v>
      </c>
      <c r="C394" s="205" t="s">
        <v>652</v>
      </c>
      <c r="D394" s="221">
        <v>0</v>
      </c>
      <c r="E394" s="221">
        <v>0</v>
      </c>
      <c r="F394" s="222">
        <f t="shared" si="6"/>
        <v>0</v>
      </c>
      <c r="G394" s="205" t="s">
        <v>651</v>
      </c>
      <c r="H394" s="219" t="s">
        <v>250</v>
      </c>
      <c r="J394" s="207" t="s">
        <v>80</v>
      </c>
      <c r="K394" s="207"/>
      <c r="L394" s="207">
        <f>IFERROR(SUMIF(data!$E:$E,科目余额表!$B394,data!H:H),0)</f>
        <v>0</v>
      </c>
      <c r="M394" s="207">
        <f>IFERROR(SUMIF(data!$E:$E,科目余额表!$B394,data!I:I),0)</f>
        <v>0</v>
      </c>
      <c r="N394" s="207">
        <f>IFERROR(SUMIF(data!$E:$E,科目余额表!$B394,data!J:J),0)</f>
        <v>0</v>
      </c>
      <c r="O394" s="207">
        <f>IFERROR(SUMIF(data!$E:$E,科目余额表!$B394,data!K:K),0)</f>
        <v>0</v>
      </c>
      <c r="P394" s="207">
        <f>IFERROR(SUMIF(data!$E:$E,科目余额表!$B394,data!L:L),0)</f>
        <v>0</v>
      </c>
      <c r="Q394" s="207">
        <f>IFERROR(SUMIF(data!$E:$E,科目余额表!$B394,data!M:M),0)</f>
        <v>0</v>
      </c>
      <c r="R394" s="207">
        <f>IFERROR(SUMIF(data!$E:$E,科目余额表!$B394,data!N:N),0)</f>
        <v>0</v>
      </c>
      <c r="S394" s="207">
        <f>IFERROR(SUMIF(data!$E:$E,科目余额表!$B394,data!O:O),0)</f>
        <v>0</v>
      </c>
      <c r="T394" s="207">
        <f>IFERROR(SUMIF(data!$E:$E,科目余额表!$B394,data!P:P),0)</f>
        <v>0</v>
      </c>
      <c r="U394" s="207">
        <f>IFERROR(SUMIF(data!$E:$E,科目余额表!$B394,data!Q:Q),0)</f>
        <v>0</v>
      </c>
      <c r="V394" s="207">
        <f>IFERROR(SUMIF(data!$E:$E,科目余额表!$B394,data!R:R),0)</f>
        <v>0</v>
      </c>
      <c r="W394" s="207">
        <f>IFERROR(SUMIF(data!$E:$E,科目余额表!$B394,data!S:S),0)</f>
        <v>0</v>
      </c>
      <c r="X394" s="207"/>
      <c r="Y394" s="207"/>
      <c r="Z394" s="207"/>
      <c r="AA394" s="207"/>
      <c r="AB394" s="207"/>
      <c r="AC394" s="207"/>
      <c r="AD394" s="207"/>
      <c r="AE394" s="207"/>
      <c r="AF394" s="207"/>
    </row>
    <row r="395" spans="1:32" s="214" customFormat="1" ht="11.65" customHeight="1">
      <c r="A395" s="215"/>
      <c r="B395" s="220">
        <v>30002</v>
      </c>
      <c r="C395" s="205" t="s">
        <v>653</v>
      </c>
      <c r="D395" s="221">
        <v>0</v>
      </c>
      <c r="E395" s="221">
        <v>0</v>
      </c>
      <c r="F395" s="222">
        <f t="shared" si="6"/>
        <v>0</v>
      </c>
      <c r="G395" s="205" t="s">
        <v>651</v>
      </c>
      <c r="H395" s="219" t="s">
        <v>250</v>
      </c>
      <c r="J395" s="207" t="s">
        <v>80</v>
      </c>
      <c r="K395" s="207"/>
      <c r="L395" s="207">
        <f>IFERROR(SUMIF(data!$E:$E,科目余额表!$B395,data!H:H),0)</f>
        <v>0</v>
      </c>
      <c r="M395" s="207">
        <f>IFERROR(SUMIF(data!$E:$E,科目余额表!$B395,data!I:I),0)</f>
        <v>0</v>
      </c>
      <c r="N395" s="207">
        <f>IFERROR(SUMIF(data!$E:$E,科目余额表!$B395,data!J:J),0)</f>
        <v>0</v>
      </c>
      <c r="O395" s="207">
        <f>IFERROR(SUMIF(data!$E:$E,科目余额表!$B395,data!K:K),0)</f>
        <v>0</v>
      </c>
      <c r="P395" s="207">
        <f>IFERROR(SUMIF(data!$E:$E,科目余额表!$B395,data!L:L),0)</f>
        <v>0</v>
      </c>
      <c r="Q395" s="207">
        <f>IFERROR(SUMIF(data!$E:$E,科目余额表!$B395,data!M:M),0)</f>
        <v>0</v>
      </c>
      <c r="R395" s="207">
        <f>IFERROR(SUMIF(data!$E:$E,科目余额表!$B395,data!N:N),0)</f>
        <v>0</v>
      </c>
      <c r="S395" s="207">
        <f>IFERROR(SUMIF(data!$E:$E,科目余额表!$B395,data!O:O),0)</f>
        <v>0</v>
      </c>
      <c r="T395" s="207">
        <f>IFERROR(SUMIF(data!$E:$E,科目余额表!$B395,data!P:P),0)</f>
        <v>0</v>
      </c>
      <c r="U395" s="207">
        <f>IFERROR(SUMIF(data!$E:$E,科目余额表!$B395,data!Q:Q),0)</f>
        <v>0</v>
      </c>
      <c r="V395" s="207">
        <f>IFERROR(SUMIF(data!$E:$E,科目余额表!$B395,data!R:R),0)</f>
        <v>0</v>
      </c>
      <c r="W395" s="207">
        <f>IFERROR(SUMIF(data!$E:$E,科目余额表!$B395,data!S:S),0)</f>
        <v>0</v>
      </c>
      <c r="X395" s="207"/>
      <c r="Y395" s="207"/>
      <c r="Z395" s="207"/>
      <c r="AA395" s="207"/>
      <c r="AB395" s="207"/>
      <c r="AC395" s="207"/>
      <c r="AD395" s="207"/>
      <c r="AE395" s="207"/>
      <c r="AF395" s="207"/>
    </row>
    <row r="396" spans="1:32" s="214" customFormat="1" ht="11.65" customHeight="1">
      <c r="A396" s="215"/>
      <c r="B396" s="220">
        <v>31000</v>
      </c>
      <c r="C396" s="205" t="s">
        <v>654</v>
      </c>
      <c r="D396" s="221">
        <v>0</v>
      </c>
      <c r="E396" s="221">
        <v>0</v>
      </c>
      <c r="F396" s="222">
        <f t="shared" si="6"/>
        <v>0</v>
      </c>
      <c r="G396" s="205" t="s">
        <v>651</v>
      </c>
      <c r="H396" s="219" t="s">
        <v>250</v>
      </c>
      <c r="J396" s="207" t="s">
        <v>82</v>
      </c>
      <c r="K396" s="207"/>
      <c r="L396" s="207">
        <f>IFERROR(SUMIF(data!$E:$E,科目余额表!$B396,data!H:H),0)</f>
        <v>0</v>
      </c>
      <c r="M396" s="207">
        <f>IFERROR(SUMIF(data!$E:$E,科目余额表!$B396,data!I:I),0)</f>
        <v>0</v>
      </c>
      <c r="N396" s="207">
        <f>IFERROR(SUMIF(data!$E:$E,科目余额表!$B396,data!J:J),0)</f>
        <v>0</v>
      </c>
      <c r="O396" s="207">
        <f>IFERROR(SUMIF(data!$E:$E,科目余额表!$B396,data!K:K),0)</f>
        <v>0</v>
      </c>
      <c r="P396" s="207">
        <f>IFERROR(SUMIF(data!$E:$E,科目余额表!$B396,data!L:L),0)</f>
        <v>0</v>
      </c>
      <c r="Q396" s="207">
        <f>IFERROR(SUMIF(data!$E:$E,科目余额表!$B396,data!M:M),0)</f>
        <v>0</v>
      </c>
      <c r="R396" s="207">
        <f>IFERROR(SUMIF(data!$E:$E,科目余额表!$B396,data!N:N),0)</f>
        <v>0</v>
      </c>
      <c r="S396" s="207">
        <f>IFERROR(SUMIF(data!$E:$E,科目余额表!$B396,data!O:O),0)</f>
        <v>0</v>
      </c>
      <c r="T396" s="207">
        <f>IFERROR(SUMIF(data!$E:$E,科目余额表!$B396,data!P:P),0)</f>
        <v>0</v>
      </c>
      <c r="U396" s="207">
        <f>IFERROR(SUMIF(data!$E:$E,科目余额表!$B396,data!Q:Q),0)</f>
        <v>0</v>
      </c>
      <c r="V396" s="207">
        <f>IFERROR(SUMIF(data!$E:$E,科目余额表!$B396,data!R:R),0)</f>
        <v>0</v>
      </c>
      <c r="W396" s="207">
        <f>IFERROR(SUMIF(data!$E:$E,科目余额表!$B396,data!S:S),0)</f>
        <v>0</v>
      </c>
      <c r="X396" s="207"/>
      <c r="Y396" s="207"/>
      <c r="Z396" s="207"/>
      <c r="AA396" s="207"/>
      <c r="AB396" s="207"/>
      <c r="AC396" s="207"/>
      <c r="AD396" s="207"/>
      <c r="AE396" s="207"/>
      <c r="AF396" s="207"/>
    </row>
    <row r="397" spans="1:32" s="214" customFormat="1" ht="11.65" customHeight="1">
      <c r="A397" s="215"/>
      <c r="B397" s="220">
        <v>31100</v>
      </c>
      <c r="C397" s="205" t="s">
        <v>655</v>
      </c>
      <c r="D397" s="221">
        <v>0</v>
      </c>
      <c r="E397" s="221">
        <v>0</v>
      </c>
      <c r="F397" s="222">
        <f t="shared" si="6"/>
        <v>0</v>
      </c>
      <c r="G397" s="205" t="s">
        <v>651</v>
      </c>
      <c r="H397" s="219" t="s">
        <v>250</v>
      </c>
      <c r="J397" s="207" t="s">
        <v>656</v>
      </c>
      <c r="K397" s="207"/>
      <c r="L397" s="207">
        <f>IFERROR(SUMIF(data!$E:$E,科目余额表!$B397,data!H:H),0)</f>
        <v>0</v>
      </c>
      <c r="M397" s="207">
        <f>IFERROR(SUMIF(data!$E:$E,科目余额表!$B397,data!I:I),0)</f>
        <v>0</v>
      </c>
      <c r="N397" s="207">
        <f>IFERROR(SUMIF(data!$E:$E,科目余额表!$B397,data!J:J),0)</f>
        <v>0</v>
      </c>
      <c r="O397" s="207">
        <f>IFERROR(SUMIF(data!$E:$E,科目余额表!$B397,data!K:K),0)</f>
        <v>0</v>
      </c>
      <c r="P397" s="207">
        <f>IFERROR(SUMIF(data!$E:$E,科目余额表!$B397,data!L:L),0)</f>
        <v>0</v>
      </c>
      <c r="Q397" s="207">
        <f>IFERROR(SUMIF(data!$E:$E,科目余额表!$B397,data!M:M),0)</f>
        <v>0</v>
      </c>
      <c r="R397" s="207">
        <f>IFERROR(SUMIF(data!$E:$E,科目余额表!$B397,data!N:N),0)</f>
        <v>0</v>
      </c>
      <c r="S397" s="207">
        <f>IFERROR(SUMIF(data!$E:$E,科目余额表!$B397,data!O:O),0)</f>
        <v>0</v>
      </c>
      <c r="T397" s="207">
        <f>IFERROR(SUMIF(data!$E:$E,科目余额表!$B397,data!P:P),0)</f>
        <v>0</v>
      </c>
      <c r="U397" s="207">
        <f>IFERROR(SUMIF(data!$E:$E,科目余额表!$B397,data!Q:Q),0)</f>
        <v>0</v>
      </c>
      <c r="V397" s="207">
        <f>IFERROR(SUMIF(data!$E:$E,科目余额表!$B397,data!R:R),0)</f>
        <v>0</v>
      </c>
      <c r="W397" s="207">
        <f>IFERROR(SUMIF(data!$E:$E,科目余额表!$B397,data!S:S),0)</f>
        <v>0</v>
      </c>
      <c r="X397" s="207"/>
      <c r="Y397" s="207"/>
      <c r="Z397" s="207"/>
      <c r="AA397" s="207"/>
      <c r="AB397" s="207"/>
      <c r="AC397" s="207"/>
      <c r="AD397" s="207"/>
      <c r="AE397" s="207"/>
      <c r="AF397" s="207"/>
    </row>
    <row r="398" spans="1:32" s="214" customFormat="1" ht="11.65" customHeight="1">
      <c r="A398" s="215"/>
      <c r="B398" s="220">
        <v>32000</v>
      </c>
      <c r="C398" s="205" t="s">
        <v>657</v>
      </c>
      <c r="D398" s="221">
        <v>0</v>
      </c>
      <c r="E398" s="221">
        <v>0</v>
      </c>
      <c r="F398" s="222">
        <f t="shared" si="6"/>
        <v>0</v>
      </c>
      <c r="G398" s="205" t="s">
        <v>651</v>
      </c>
      <c r="H398" s="219" t="s">
        <v>250</v>
      </c>
      <c r="J398" s="207" t="s">
        <v>86</v>
      </c>
      <c r="K398" s="207"/>
      <c r="L398" s="207">
        <f>IFERROR(SUMIF(data!$E:$E,科目余额表!$B398,data!H:H),0)</f>
        <v>0</v>
      </c>
      <c r="M398" s="207">
        <f>IFERROR(SUMIF(data!$E:$E,科目余额表!$B398,data!I:I),0)</f>
        <v>0</v>
      </c>
      <c r="N398" s="207">
        <f>IFERROR(SUMIF(data!$E:$E,科目余额表!$B398,data!J:J),0)</f>
        <v>0</v>
      </c>
      <c r="O398" s="207">
        <f>IFERROR(SUMIF(data!$E:$E,科目余额表!$B398,data!K:K),0)</f>
        <v>0</v>
      </c>
      <c r="P398" s="207">
        <f>IFERROR(SUMIF(data!$E:$E,科目余额表!$B398,data!L:L),0)</f>
        <v>0</v>
      </c>
      <c r="Q398" s="207">
        <f>IFERROR(SUMIF(data!$E:$E,科目余额表!$B398,data!M:M),0)</f>
        <v>0</v>
      </c>
      <c r="R398" s="207">
        <f>IFERROR(SUMIF(data!$E:$E,科目余额表!$B398,data!N:N),0)</f>
        <v>0</v>
      </c>
      <c r="S398" s="207">
        <f>IFERROR(SUMIF(data!$E:$E,科目余额表!$B398,data!O:O),0)</f>
        <v>0</v>
      </c>
      <c r="T398" s="207">
        <f>IFERROR(SUMIF(data!$E:$E,科目余额表!$B398,data!P:P),0)</f>
        <v>0</v>
      </c>
      <c r="U398" s="207">
        <f>IFERROR(SUMIF(data!$E:$E,科目余额表!$B398,data!Q:Q),0)</f>
        <v>0</v>
      </c>
      <c r="V398" s="207">
        <f>IFERROR(SUMIF(data!$E:$E,科目余额表!$B398,data!R:R),0)</f>
        <v>0</v>
      </c>
      <c r="W398" s="207">
        <f>IFERROR(SUMIF(data!$E:$E,科目余额表!$B398,data!S:S),0)</f>
        <v>0</v>
      </c>
      <c r="X398" s="207"/>
      <c r="Y398" s="207"/>
      <c r="Z398" s="207"/>
      <c r="AA398" s="207"/>
      <c r="AB398" s="207"/>
      <c r="AC398" s="207"/>
      <c r="AD398" s="207"/>
      <c r="AE398" s="207"/>
      <c r="AF398" s="207"/>
    </row>
    <row r="399" spans="1:32" s="214" customFormat="1" ht="11.65" customHeight="1">
      <c r="A399" s="215"/>
      <c r="B399" s="220">
        <v>33000</v>
      </c>
      <c r="C399" s="205" t="s">
        <v>658</v>
      </c>
      <c r="D399" s="221">
        <v>0</v>
      </c>
      <c r="E399" s="221">
        <v>0</v>
      </c>
      <c r="F399" s="222">
        <f t="shared" si="6"/>
        <v>0</v>
      </c>
      <c r="G399" s="205" t="s">
        <v>651</v>
      </c>
      <c r="H399" s="219" t="s">
        <v>250</v>
      </c>
      <c r="J399" s="207" t="s">
        <v>88</v>
      </c>
      <c r="K399" s="207"/>
      <c r="L399" s="207">
        <f>IFERROR(SUMIF(data!$E:$E,科目余额表!$B399,data!H:H),0)</f>
        <v>0</v>
      </c>
      <c r="M399" s="207">
        <f>IFERROR(SUMIF(data!$E:$E,科目余额表!$B399,data!I:I),0)</f>
        <v>0</v>
      </c>
      <c r="N399" s="207">
        <f>IFERROR(SUMIF(data!$E:$E,科目余额表!$B399,data!J:J),0)</f>
        <v>0</v>
      </c>
      <c r="O399" s="207">
        <f>IFERROR(SUMIF(data!$E:$E,科目余额表!$B399,data!K:K),0)</f>
        <v>0</v>
      </c>
      <c r="P399" s="207">
        <f>IFERROR(SUMIF(data!$E:$E,科目余额表!$B399,data!L:L),0)</f>
        <v>0</v>
      </c>
      <c r="Q399" s="207">
        <f>IFERROR(SUMIF(data!$E:$E,科目余额表!$B399,data!M:M),0)</f>
        <v>0</v>
      </c>
      <c r="R399" s="207">
        <f>IFERROR(SUMIF(data!$E:$E,科目余额表!$B399,data!N:N),0)</f>
        <v>0</v>
      </c>
      <c r="S399" s="207">
        <f>IFERROR(SUMIF(data!$E:$E,科目余额表!$B399,data!O:O),0)</f>
        <v>0</v>
      </c>
      <c r="T399" s="207">
        <f>IFERROR(SUMIF(data!$E:$E,科目余额表!$B399,data!P:P),0)</f>
        <v>0</v>
      </c>
      <c r="U399" s="207">
        <f>IFERROR(SUMIF(data!$E:$E,科目余额表!$B399,data!Q:Q),0)</f>
        <v>0</v>
      </c>
      <c r="V399" s="207">
        <f>IFERROR(SUMIF(data!$E:$E,科目余额表!$B399,data!R:R),0)</f>
        <v>0</v>
      </c>
      <c r="W399" s="207">
        <f>IFERROR(SUMIF(data!$E:$E,科目余额表!$B399,data!S:S),0)</f>
        <v>0</v>
      </c>
      <c r="X399" s="207"/>
      <c r="Y399" s="207"/>
      <c r="Z399" s="207"/>
      <c r="AA399" s="207"/>
      <c r="AB399" s="207"/>
      <c r="AC399" s="207"/>
      <c r="AD399" s="207"/>
      <c r="AE399" s="207"/>
      <c r="AF399" s="207"/>
    </row>
    <row r="400" spans="1:32" s="214" customFormat="1" ht="11.65" customHeight="1">
      <c r="A400" s="215"/>
      <c r="B400" s="220">
        <v>34000</v>
      </c>
      <c r="C400" s="205" t="s">
        <v>659</v>
      </c>
      <c r="D400" s="221">
        <v>0</v>
      </c>
      <c r="E400" s="221">
        <v>0</v>
      </c>
      <c r="F400" s="222">
        <f t="shared" si="6"/>
        <v>0</v>
      </c>
      <c r="G400" s="205" t="s">
        <v>651</v>
      </c>
      <c r="H400" s="219" t="s">
        <v>250</v>
      </c>
      <c r="J400" s="207" t="s">
        <v>88</v>
      </c>
      <c r="K400" s="207"/>
      <c r="L400" s="207">
        <f>IFERROR(SUMIF(data!$E:$E,科目余额表!$B400,data!H:H),0)</f>
        <v>0</v>
      </c>
      <c r="M400" s="207">
        <f>IFERROR(SUMIF(data!$E:$E,科目余额表!$B400,data!I:I),0)</f>
        <v>0</v>
      </c>
      <c r="N400" s="207">
        <f>IFERROR(SUMIF(data!$E:$E,科目余额表!$B400,data!J:J),0)</f>
        <v>0</v>
      </c>
      <c r="O400" s="207">
        <f>IFERROR(SUMIF(data!$E:$E,科目余额表!$B400,data!K:K),0)</f>
        <v>0</v>
      </c>
      <c r="P400" s="207">
        <f>IFERROR(SUMIF(data!$E:$E,科目余额表!$B400,data!L:L),0)</f>
        <v>0</v>
      </c>
      <c r="Q400" s="207">
        <f>IFERROR(SUMIF(data!$E:$E,科目余额表!$B400,data!M:M),0)</f>
        <v>0</v>
      </c>
      <c r="R400" s="207">
        <f>IFERROR(SUMIF(data!$E:$E,科目余额表!$B400,data!N:N),0)</f>
        <v>0</v>
      </c>
      <c r="S400" s="207">
        <f>IFERROR(SUMIF(data!$E:$E,科目余额表!$B400,data!O:O),0)</f>
        <v>0</v>
      </c>
      <c r="T400" s="207">
        <f>IFERROR(SUMIF(data!$E:$E,科目余额表!$B400,data!P:P),0)</f>
        <v>0</v>
      </c>
      <c r="U400" s="207">
        <f>IFERROR(SUMIF(data!$E:$E,科目余额表!$B400,data!Q:Q),0)</f>
        <v>0</v>
      </c>
      <c r="V400" s="207">
        <f>IFERROR(SUMIF(data!$E:$E,科目余额表!$B400,data!R:R),0)</f>
        <v>0</v>
      </c>
      <c r="W400" s="207">
        <f>IFERROR(SUMIF(data!$E:$E,科目余额表!$B400,data!S:S),0)</f>
        <v>0</v>
      </c>
      <c r="X400" s="207"/>
      <c r="Y400" s="207"/>
      <c r="Z400" s="207"/>
      <c r="AA400" s="207"/>
      <c r="AB400" s="207"/>
      <c r="AC400" s="207"/>
      <c r="AD400" s="207"/>
      <c r="AE400" s="207"/>
      <c r="AF400" s="207"/>
    </row>
    <row r="401" spans="1:32" s="214" customFormat="1" ht="11.65" customHeight="1">
      <c r="A401" s="215"/>
      <c r="B401" s="220">
        <v>35001</v>
      </c>
      <c r="C401" s="205" t="s">
        <v>660</v>
      </c>
      <c r="D401" s="221">
        <v>0</v>
      </c>
      <c r="E401" s="221">
        <v>0</v>
      </c>
      <c r="F401" s="222">
        <f t="shared" si="6"/>
        <v>0</v>
      </c>
      <c r="G401" s="205" t="s">
        <v>651</v>
      </c>
      <c r="H401" s="219" t="s">
        <v>250</v>
      </c>
      <c r="J401" s="207" t="s">
        <v>604</v>
      </c>
      <c r="K401" s="207"/>
      <c r="L401" s="207">
        <f>IFERROR(SUMIF(data!$E:$E,科目余额表!$B401,data!H:H),0)</f>
        <v>0</v>
      </c>
      <c r="M401" s="207">
        <f>IFERROR(SUMIF(data!$E:$E,科目余额表!$B401,data!I:I),0)</f>
        <v>0</v>
      </c>
      <c r="N401" s="207">
        <f>IFERROR(SUMIF(data!$E:$E,科目余额表!$B401,data!J:J),0)</f>
        <v>0</v>
      </c>
      <c r="O401" s="207">
        <f>IFERROR(SUMIF(data!$E:$E,科目余额表!$B401,data!K:K),0)</f>
        <v>0</v>
      </c>
      <c r="P401" s="207">
        <f>IFERROR(SUMIF(data!$E:$E,科目余额表!$B401,data!L:L),0)</f>
        <v>0</v>
      </c>
      <c r="Q401" s="207">
        <f>IFERROR(SUMIF(data!$E:$E,科目余额表!$B401,data!M:M),0)</f>
        <v>0</v>
      </c>
      <c r="R401" s="207">
        <f>IFERROR(SUMIF(data!$E:$E,科目余额表!$B401,data!N:N),0)</f>
        <v>0</v>
      </c>
      <c r="S401" s="207">
        <f>IFERROR(SUMIF(data!$E:$E,科目余额表!$B401,data!O:O),0)</f>
        <v>0</v>
      </c>
      <c r="T401" s="207">
        <f>IFERROR(SUMIF(data!$E:$E,科目余额表!$B401,data!P:P),0)</f>
        <v>0</v>
      </c>
      <c r="U401" s="207">
        <f>IFERROR(SUMIF(data!$E:$E,科目余额表!$B401,data!Q:Q),0)</f>
        <v>0</v>
      </c>
      <c r="V401" s="207">
        <f>IFERROR(SUMIF(data!$E:$E,科目余额表!$B401,data!R:R),0)</f>
        <v>0</v>
      </c>
      <c r="W401" s="207">
        <f>IFERROR(SUMIF(data!$E:$E,科目余额表!$B401,data!S:S),0)</f>
        <v>0</v>
      </c>
      <c r="X401" s="207"/>
      <c r="Y401" s="207"/>
      <c r="Z401" s="207"/>
      <c r="AA401" s="207"/>
      <c r="AB401" s="207"/>
      <c r="AC401" s="207"/>
      <c r="AD401" s="207"/>
      <c r="AE401" s="207"/>
      <c r="AF401" s="207"/>
    </row>
    <row r="402" spans="1:32" s="214" customFormat="1" ht="11.65" customHeight="1">
      <c r="A402" s="215"/>
      <c r="B402" s="220">
        <v>35002</v>
      </c>
      <c r="C402" s="205" t="s">
        <v>661</v>
      </c>
      <c r="D402" s="221">
        <v>0</v>
      </c>
      <c r="E402" s="221">
        <v>0</v>
      </c>
      <c r="F402" s="222">
        <f t="shared" si="6"/>
        <v>0</v>
      </c>
      <c r="G402" s="205" t="s">
        <v>651</v>
      </c>
      <c r="H402" s="219" t="s">
        <v>250</v>
      </c>
      <c r="J402" s="207" t="s">
        <v>604</v>
      </c>
      <c r="K402" s="207"/>
      <c r="L402" s="207">
        <f>IFERROR(SUMIF(data!$E:$E,科目余额表!$B402,data!H:H),0)</f>
        <v>0</v>
      </c>
      <c r="M402" s="207">
        <f>IFERROR(SUMIF(data!$E:$E,科目余额表!$B402,data!I:I),0)</f>
        <v>0</v>
      </c>
      <c r="N402" s="207">
        <f>IFERROR(SUMIF(data!$E:$E,科目余额表!$B402,data!J:J),0)</f>
        <v>0</v>
      </c>
      <c r="O402" s="207">
        <f>IFERROR(SUMIF(data!$E:$E,科目余额表!$B402,data!K:K),0)</f>
        <v>0</v>
      </c>
      <c r="P402" s="207">
        <f>IFERROR(SUMIF(data!$E:$E,科目余额表!$B402,data!L:L),0)</f>
        <v>0</v>
      </c>
      <c r="Q402" s="207">
        <f>IFERROR(SUMIF(data!$E:$E,科目余额表!$B402,data!M:M),0)</f>
        <v>0</v>
      </c>
      <c r="R402" s="207">
        <f>IFERROR(SUMIF(data!$E:$E,科目余额表!$B402,data!N:N),0)</f>
        <v>0</v>
      </c>
      <c r="S402" s="207">
        <f>IFERROR(SUMIF(data!$E:$E,科目余额表!$B402,data!O:O),0)</f>
        <v>0</v>
      </c>
      <c r="T402" s="207">
        <f>IFERROR(SUMIF(data!$E:$E,科目余额表!$B402,data!P:P),0)</f>
        <v>0</v>
      </c>
      <c r="U402" s="207">
        <f>IFERROR(SUMIF(data!$E:$E,科目余额表!$B402,data!Q:Q),0)</f>
        <v>0</v>
      </c>
      <c r="V402" s="207">
        <f>IFERROR(SUMIF(data!$E:$E,科目余额表!$B402,data!R:R),0)</f>
        <v>0</v>
      </c>
      <c r="W402" s="207">
        <f>IFERROR(SUMIF(data!$E:$E,科目余额表!$B402,data!S:S),0)</f>
        <v>0</v>
      </c>
      <c r="X402" s="207"/>
      <c r="Y402" s="207"/>
      <c r="Z402" s="207"/>
      <c r="AA402" s="207"/>
      <c r="AB402" s="207"/>
      <c r="AC402" s="207"/>
      <c r="AD402" s="207"/>
      <c r="AE402" s="207"/>
      <c r="AF402" s="207"/>
    </row>
    <row r="403" spans="1:32" s="214" customFormat="1" ht="11.65" customHeight="1">
      <c r="A403" s="215"/>
      <c r="B403" s="220">
        <v>35003</v>
      </c>
      <c r="C403" s="205" t="s">
        <v>662</v>
      </c>
      <c r="D403" s="221">
        <v>0</v>
      </c>
      <c r="E403" s="221">
        <v>0</v>
      </c>
      <c r="F403" s="222">
        <f t="shared" si="6"/>
        <v>0</v>
      </c>
      <c r="G403" s="205" t="s">
        <v>651</v>
      </c>
      <c r="H403" s="219" t="s">
        <v>250</v>
      </c>
      <c r="J403" s="207" t="s">
        <v>604</v>
      </c>
      <c r="K403" s="207"/>
      <c r="L403" s="207">
        <f>IFERROR(SUMIF(data!$E:$E,科目余额表!$B403,data!H:H),0)</f>
        <v>0</v>
      </c>
      <c r="M403" s="207">
        <f>IFERROR(SUMIF(data!$E:$E,科目余额表!$B403,data!I:I),0)</f>
        <v>0</v>
      </c>
      <c r="N403" s="207">
        <f>IFERROR(SUMIF(data!$E:$E,科目余额表!$B403,data!J:J),0)</f>
        <v>0</v>
      </c>
      <c r="O403" s="207">
        <f>IFERROR(SUMIF(data!$E:$E,科目余额表!$B403,data!K:K),0)</f>
        <v>0</v>
      </c>
      <c r="P403" s="207">
        <f>IFERROR(SUMIF(data!$E:$E,科目余额表!$B403,data!L:L),0)</f>
        <v>0</v>
      </c>
      <c r="Q403" s="207">
        <f>IFERROR(SUMIF(data!$E:$E,科目余额表!$B403,data!M:M),0)</f>
        <v>0</v>
      </c>
      <c r="R403" s="207">
        <f>IFERROR(SUMIF(data!$E:$E,科目余额表!$B403,data!N:N),0)</f>
        <v>0</v>
      </c>
      <c r="S403" s="207">
        <f>IFERROR(SUMIF(data!$E:$E,科目余额表!$B403,data!O:O),0)</f>
        <v>0</v>
      </c>
      <c r="T403" s="207">
        <f>IFERROR(SUMIF(data!$E:$E,科目余额表!$B403,data!P:P),0)</f>
        <v>0</v>
      </c>
      <c r="U403" s="207">
        <f>IFERROR(SUMIF(data!$E:$E,科目余额表!$B403,data!Q:Q),0)</f>
        <v>0</v>
      </c>
      <c r="V403" s="207">
        <f>IFERROR(SUMIF(data!$E:$E,科目余额表!$B403,data!R:R),0)</f>
        <v>0</v>
      </c>
      <c r="W403" s="207">
        <f>IFERROR(SUMIF(data!$E:$E,科目余额表!$B403,data!S:S),0)</f>
        <v>0</v>
      </c>
      <c r="X403" s="207"/>
      <c r="Y403" s="207"/>
      <c r="Z403" s="207"/>
      <c r="AA403" s="207"/>
      <c r="AB403" s="207"/>
      <c r="AC403" s="207"/>
      <c r="AD403" s="207"/>
      <c r="AE403" s="207"/>
      <c r="AF403" s="207"/>
    </row>
    <row r="404" spans="1:32" s="214" customFormat="1" ht="11.65" customHeight="1">
      <c r="A404" s="215"/>
      <c r="B404" s="220">
        <v>40000</v>
      </c>
      <c r="C404" s="205" t="s">
        <v>663</v>
      </c>
      <c r="D404" s="221">
        <v>-50000000</v>
      </c>
      <c r="E404" s="221">
        <v>0</v>
      </c>
      <c r="F404" s="222">
        <f t="shared" si="6"/>
        <v>-50000000</v>
      </c>
      <c r="G404" s="205" t="s">
        <v>663</v>
      </c>
      <c r="H404" s="219" t="s">
        <v>250</v>
      </c>
      <c r="J404" s="207" t="s">
        <v>80</v>
      </c>
      <c r="K404" s="207"/>
      <c r="L404" s="207">
        <f>IFERROR(SUMIF(data!$E:$E,科目余额表!$B404,data!H:H),0)</f>
        <v>-50000000</v>
      </c>
      <c r="M404" s="207">
        <f>IFERROR(SUMIF(data!$E:$E,科目余额表!$B404,data!I:I),0)</f>
        <v>-50000000</v>
      </c>
      <c r="N404" s="207">
        <f>IFERROR(SUMIF(data!$E:$E,科目余额表!$B404,data!J:J),0)</f>
        <v>-50000000</v>
      </c>
      <c r="O404" s="207">
        <f>IFERROR(SUMIF(data!$E:$E,科目余额表!$B404,data!K:K),0)</f>
        <v>-50000000</v>
      </c>
      <c r="P404" s="207">
        <f>IFERROR(SUMIF(data!$E:$E,科目余额表!$B404,data!L:L),0)</f>
        <v>-50000000</v>
      </c>
      <c r="Q404" s="207">
        <f>IFERROR(SUMIF(data!$E:$E,科目余额表!$B404,data!M:M),0)</f>
        <v>-50000000</v>
      </c>
      <c r="R404" s="207">
        <f>IFERROR(SUMIF(data!$E:$E,科目余额表!$B404,data!N:N),0)</f>
        <v>-50000000</v>
      </c>
      <c r="S404" s="207">
        <f>IFERROR(SUMIF(data!$E:$E,科目余额表!$B404,data!O:O),0)</f>
        <v>-50000000</v>
      </c>
      <c r="T404" s="207">
        <f>IFERROR(SUMIF(data!$E:$E,科目余额表!$B404,data!P:P),0)</f>
        <v>-50000000</v>
      </c>
      <c r="U404" s="207">
        <f>IFERROR(SUMIF(data!$E:$E,科目余额表!$B404,data!Q:Q),0)</f>
        <v>-50000000</v>
      </c>
      <c r="V404" s="207">
        <f>IFERROR(SUMIF(data!$E:$E,科目余额表!$B404,data!R:R),0)</f>
        <v>-50000000</v>
      </c>
      <c r="W404" s="207">
        <f>IFERROR(SUMIF(data!$E:$E,科目余额表!$B404,data!S:S),0)</f>
        <v>-50000000</v>
      </c>
      <c r="X404" s="207"/>
      <c r="Y404" s="207"/>
      <c r="Z404" s="207"/>
      <c r="AA404" s="207"/>
      <c r="AB404" s="207"/>
      <c r="AC404" s="207"/>
      <c r="AD404" s="207"/>
      <c r="AE404" s="207"/>
      <c r="AF404" s="207"/>
    </row>
    <row r="405" spans="1:32" s="214" customFormat="1" ht="11.65" customHeight="1">
      <c r="A405" s="215"/>
      <c r="B405" s="220">
        <v>41000</v>
      </c>
      <c r="C405" s="205" t="s">
        <v>82</v>
      </c>
      <c r="D405" s="221">
        <v>0</v>
      </c>
      <c r="E405" s="221">
        <v>0</v>
      </c>
      <c r="F405" s="222">
        <f t="shared" si="6"/>
        <v>0</v>
      </c>
      <c r="G405" s="205" t="s">
        <v>663</v>
      </c>
      <c r="H405" s="219" t="s">
        <v>250</v>
      </c>
      <c r="J405" s="207" t="s">
        <v>82</v>
      </c>
      <c r="K405" s="207"/>
      <c r="L405" s="207">
        <f>IFERROR(SUMIF(data!$E:$E,科目余额表!$B405,data!H:H),0)</f>
        <v>0</v>
      </c>
      <c r="M405" s="207">
        <f>IFERROR(SUMIF(data!$E:$E,科目余额表!$B405,data!I:I),0)</f>
        <v>0</v>
      </c>
      <c r="N405" s="207">
        <f>IFERROR(SUMIF(data!$E:$E,科目余额表!$B405,data!J:J),0)</f>
        <v>0</v>
      </c>
      <c r="O405" s="207">
        <f>IFERROR(SUMIF(data!$E:$E,科目余额表!$B405,data!K:K),0)</f>
        <v>0</v>
      </c>
      <c r="P405" s="207">
        <f>IFERROR(SUMIF(data!$E:$E,科目余额表!$B405,data!L:L),0)</f>
        <v>0</v>
      </c>
      <c r="Q405" s="207">
        <f>IFERROR(SUMIF(data!$E:$E,科目余额表!$B405,data!M:M),0)</f>
        <v>0</v>
      </c>
      <c r="R405" s="207">
        <f>IFERROR(SUMIF(data!$E:$E,科目余额表!$B405,data!N:N),0)</f>
        <v>0</v>
      </c>
      <c r="S405" s="207">
        <f>IFERROR(SUMIF(data!$E:$E,科目余额表!$B405,data!O:O),0)</f>
        <v>0</v>
      </c>
      <c r="T405" s="207">
        <f>IFERROR(SUMIF(data!$E:$E,科目余额表!$B405,data!P:P),0)</f>
        <v>0</v>
      </c>
      <c r="U405" s="207">
        <f>IFERROR(SUMIF(data!$E:$E,科目余额表!$B405,data!Q:Q),0)</f>
        <v>0</v>
      </c>
      <c r="V405" s="207">
        <f>IFERROR(SUMIF(data!$E:$E,科目余额表!$B405,data!R:R),0)</f>
        <v>0</v>
      </c>
      <c r="W405" s="207">
        <f>IFERROR(SUMIF(data!$E:$E,科目余额表!$B405,data!S:S),0)</f>
        <v>0</v>
      </c>
      <c r="X405" s="207"/>
      <c r="Y405" s="207"/>
      <c r="Z405" s="207"/>
      <c r="AA405" s="207"/>
      <c r="AB405" s="207"/>
      <c r="AC405" s="207"/>
      <c r="AD405" s="207"/>
      <c r="AE405" s="207"/>
      <c r="AF405" s="207"/>
    </row>
    <row r="406" spans="1:32" s="214" customFormat="1" ht="11.65" customHeight="1">
      <c r="A406" s="215"/>
      <c r="B406" s="220">
        <v>41100</v>
      </c>
      <c r="C406" s="205" t="s">
        <v>656</v>
      </c>
      <c r="D406" s="221">
        <v>0</v>
      </c>
      <c r="E406" s="221">
        <v>0</v>
      </c>
      <c r="F406" s="222">
        <f t="shared" si="6"/>
        <v>0</v>
      </c>
      <c r="G406" s="205" t="s">
        <v>663</v>
      </c>
      <c r="H406" s="219" t="s">
        <v>250</v>
      </c>
      <c r="J406" s="207" t="s">
        <v>656</v>
      </c>
      <c r="K406" s="207"/>
      <c r="L406" s="207">
        <f>IFERROR(SUMIF(data!$E:$E,科目余额表!$B406,data!H:H),0)</f>
        <v>0</v>
      </c>
      <c r="M406" s="207">
        <f>IFERROR(SUMIF(data!$E:$E,科目余额表!$B406,data!I:I),0)</f>
        <v>0</v>
      </c>
      <c r="N406" s="207">
        <f>IFERROR(SUMIF(data!$E:$E,科目余额表!$B406,data!J:J),0)</f>
        <v>0</v>
      </c>
      <c r="O406" s="207">
        <f>IFERROR(SUMIF(data!$E:$E,科目余额表!$B406,data!K:K),0)</f>
        <v>0</v>
      </c>
      <c r="P406" s="207">
        <f>IFERROR(SUMIF(data!$E:$E,科目余额表!$B406,data!L:L),0)</f>
        <v>0</v>
      </c>
      <c r="Q406" s="207">
        <f>IFERROR(SUMIF(data!$E:$E,科目余额表!$B406,data!M:M),0)</f>
        <v>0</v>
      </c>
      <c r="R406" s="207">
        <f>IFERROR(SUMIF(data!$E:$E,科目余额表!$B406,data!N:N),0)</f>
        <v>0</v>
      </c>
      <c r="S406" s="207">
        <f>IFERROR(SUMIF(data!$E:$E,科目余额表!$B406,data!O:O),0)</f>
        <v>0</v>
      </c>
      <c r="T406" s="207">
        <f>IFERROR(SUMIF(data!$E:$E,科目余额表!$B406,data!P:P),0)</f>
        <v>0</v>
      </c>
      <c r="U406" s="207">
        <f>IFERROR(SUMIF(data!$E:$E,科目余额表!$B406,data!Q:Q),0)</f>
        <v>0</v>
      </c>
      <c r="V406" s="207">
        <f>IFERROR(SUMIF(data!$E:$E,科目余额表!$B406,data!R:R),0)</f>
        <v>0</v>
      </c>
      <c r="W406" s="207">
        <f>IFERROR(SUMIF(data!$E:$E,科目余额表!$B406,data!S:S),0)</f>
        <v>0</v>
      </c>
      <c r="X406" s="207"/>
      <c r="Y406" s="207"/>
      <c r="Z406" s="207"/>
      <c r="AA406" s="207"/>
      <c r="AB406" s="207"/>
      <c r="AC406" s="207"/>
      <c r="AD406" s="207"/>
      <c r="AE406" s="207"/>
      <c r="AF406" s="207"/>
    </row>
    <row r="407" spans="1:32" s="214" customFormat="1" ht="11.65" customHeight="1">
      <c r="A407" s="215"/>
      <c r="B407" s="220">
        <v>42000</v>
      </c>
      <c r="C407" s="205" t="s">
        <v>86</v>
      </c>
      <c r="D407" s="221">
        <v>0</v>
      </c>
      <c r="E407" s="221">
        <v>0</v>
      </c>
      <c r="F407" s="222">
        <f t="shared" si="6"/>
        <v>0</v>
      </c>
      <c r="G407" s="205" t="s">
        <v>664</v>
      </c>
      <c r="H407" s="219" t="s">
        <v>250</v>
      </c>
      <c r="J407" s="207" t="s">
        <v>86</v>
      </c>
      <c r="K407" s="207"/>
      <c r="L407" s="207">
        <f>IFERROR(SUMIF(data!$E:$E,科目余额表!$B407,data!H:H),0)</f>
        <v>0</v>
      </c>
      <c r="M407" s="207">
        <f>IFERROR(SUMIF(data!$E:$E,科目余额表!$B407,data!I:I),0)</f>
        <v>0</v>
      </c>
      <c r="N407" s="207">
        <f>IFERROR(SUMIF(data!$E:$E,科目余额表!$B407,data!J:J),0)</f>
        <v>0</v>
      </c>
      <c r="O407" s="207">
        <f>IFERROR(SUMIF(data!$E:$E,科目余额表!$B407,data!K:K),0)</f>
        <v>0</v>
      </c>
      <c r="P407" s="207">
        <f>IFERROR(SUMIF(data!$E:$E,科目余额表!$B407,data!L:L),0)</f>
        <v>0</v>
      </c>
      <c r="Q407" s="207">
        <f>IFERROR(SUMIF(data!$E:$E,科目余额表!$B407,data!M:M),0)</f>
        <v>0</v>
      </c>
      <c r="R407" s="207">
        <f>IFERROR(SUMIF(data!$E:$E,科目余额表!$B407,data!N:N),0)</f>
        <v>0</v>
      </c>
      <c r="S407" s="207">
        <f>IFERROR(SUMIF(data!$E:$E,科目余额表!$B407,data!O:O),0)</f>
        <v>0</v>
      </c>
      <c r="T407" s="207">
        <f>IFERROR(SUMIF(data!$E:$E,科目余额表!$B407,data!P:P),0)</f>
        <v>0</v>
      </c>
      <c r="U407" s="207">
        <f>IFERROR(SUMIF(data!$E:$E,科目余额表!$B407,data!Q:Q),0)</f>
        <v>0</v>
      </c>
      <c r="V407" s="207">
        <f>IFERROR(SUMIF(data!$E:$E,科目余额表!$B407,data!R:R),0)</f>
        <v>0</v>
      </c>
      <c r="W407" s="207">
        <f>IFERROR(SUMIF(data!$E:$E,科目余额表!$B407,data!S:S),0)</f>
        <v>0</v>
      </c>
      <c r="X407" s="207"/>
      <c r="Y407" s="207"/>
      <c r="Z407" s="207"/>
      <c r="AA407" s="207"/>
      <c r="AB407" s="207"/>
      <c r="AC407" s="207"/>
      <c r="AD407" s="207"/>
      <c r="AE407" s="207"/>
      <c r="AF407" s="207"/>
    </row>
    <row r="408" spans="1:32" s="214" customFormat="1" ht="11.65" customHeight="1">
      <c r="A408" s="215"/>
      <c r="B408" s="220">
        <v>43000</v>
      </c>
      <c r="C408" s="205" t="s">
        <v>665</v>
      </c>
      <c r="D408" s="221">
        <v>0</v>
      </c>
      <c r="E408" s="221">
        <v>0</v>
      </c>
      <c r="F408" s="222">
        <f t="shared" si="6"/>
        <v>0</v>
      </c>
      <c r="G408" s="205" t="s">
        <v>664</v>
      </c>
      <c r="H408" s="219" t="s">
        <v>250</v>
      </c>
      <c r="J408" s="207" t="s">
        <v>88</v>
      </c>
      <c r="K408" s="207"/>
      <c r="L408" s="207">
        <f>IFERROR(SUMIF(data!$E:$E,科目余额表!$B408,data!H:H),0)</f>
        <v>0</v>
      </c>
      <c r="M408" s="207">
        <f>IFERROR(SUMIF(data!$E:$E,科目余额表!$B408,data!I:I),0)</f>
        <v>0</v>
      </c>
      <c r="N408" s="207">
        <f>IFERROR(SUMIF(data!$E:$E,科目余额表!$B408,data!J:J),0)</f>
        <v>0</v>
      </c>
      <c r="O408" s="207">
        <f>IFERROR(SUMIF(data!$E:$E,科目余额表!$B408,data!K:K),0)</f>
        <v>0</v>
      </c>
      <c r="P408" s="207">
        <f>IFERROR(SUMIF(data!$E:$E,科目余额表!$B408,data!L:L),0)</f>
        <v>0</v>
      </c>
      <c r="Q408" s="207">
        <f>IFERROR(SUMIF(data!$E:$E,科目余额表!$B408,data!M:M),0)</f>
        <v>0</v>
      </c>
      <c r="R408" s="207">
        <f>IFERROR(SUMIF(data!$E:$E,科目余额表!$B408,data!N:N),0)</f>
        <v>0</v>
      </c>
      <c r="S408" s="207">
        <f>IFERROR(SUMIF(data!$E:$E,科目余额表!$B408,data!O:O),0)</f>
        <v>0</v>
      </c>
      <c r="T408" s="207">
        <f>IFERROR(SUMIF(data!$E:$E,科目余额表!$B408,data!P:P),0)</f>
        <v>0</v>
      </c>
      <c r="U408" s="207">
        <f>IFERROR(SUMIF(data!$E:$E,科目余额表!$B408,data!Q:Q),0)</f>
        <v>0</v>
      </c>
      <c r="V408" s="207">
        <f>IFERROR(SUMIF(data!$E:$E,科目余额表!$B408,data!R:R),0)</f>
        <v>0</v>
      </c>
      <c r="W408" s="207">
        <f>IFERROR(SUMIF(data!$E:$E,科目余额表!$B408,data!S:S),0)</f>
        <v>0</v>
      </c>
      <c r="X408" s="207"/>
      <c r="Y408" s="207"/>
      <c r="Z408" s="207"/>
      <c r="AA408" s="207"/>
      <c r="AB408" s="207"/>
      <c r="AC408" s="207"/>
      <c r="AD408" s="207"/>
      <c r="AE408" s="207"/>
      <c r="AF408" s="207"/>
    </row>
    <row r="409" spans="1:32" s="214" customFormat="1" ht="11.65" customHeight="1">
      <c r="A409" s="215"/>
      <c r="B409" s="220">
        <v>44000</v>
      </c>
      <c r="C409" s="205" t="s">
        <v>88</v>
      </c>
      <c r="D409" s="221">
        <v>58018671.240000002</v>
      </c>
      <c r="E409" s="221">
        <v>0</v>
      </c>
      <c r="F409" s="222">
        <f t="shared" si="6"/>
        <v>58018671.240000002</v>
      </c>
      <c r="G409" s="205" t="s">
        <v>664</v>
      </c>
      <c r="H409" s="219" t="s">
        <v>250</v>
      </c>
      <c r="J409" s="207" t="s">
        <v>88</v>
      </c>
      <c r="K409" s="207"/>
      <c r="L409" s="207">
        <f>IFERROR(SUMIF(data!$E:$E,科目余额表!$B409,data!H:H),0)</f>
        <v>58018671.240000002</v>
      </c>
      <c r="M409" s="207">
        <f>IFERROR(SUMIF(data!$E:$E,科目余额表!$B409,data!I:I),0)</f>
        <v>58018671.240000002</v>
      </c>
      <c r="N409" s="207">
        <f>IFERROR(SUMIF(data!$E:$E,科目余额表!$B409,data!J:J),0)</f>
        <v>58018671.240000002</v>
      </c>
      <c r="O409" s="207">
        <f>IFERROR(SUMIF(data!$E:$E,科目余额表!$B409,data!K:K),0)</f>
        <v>58018671.240000002</v>
      </c>
      <c r="P409" s="207">
        <f>IFERROR(SUMIF(data!$E:$E,科目余额表!$B409,data!L:L),0)</f>
        <v>58018671.240000002</v>
      </c>
      <c r="Q409" s="207">
        <f>IFERROR(SUMIF(data!$E:$E,科目余额表!$B409,data!M:M),0)</f>
        <v>58018671.240000002</v>
      </c>
      <c r="R409" s="207">
        <f>IFERROR(SUMIF(data!$E:$E,科目余额表!$B409,data!N:N),0)</f>
        <v>58018671.240000002</v>
      </c>
      <c r="S409" s="207">
        <f>IFERROR(SUMIF(data!$E:$E,科目余额表!$B409,data!O:O),0)</f>
        <v>58018671.240000002</v>
      </c>
      <c r="T409" s="207">
        <f>IFERROR(SUMIF(data!$E:$E,科目余额表!$B409,data!P:P),0)</f>
        <v>58018671.240000002</v>
      </c>
      <c r="U409" s="207">
        <f>IFERROR(SUMIF(data!$E:$E,科目余额表!$B409,data!Q:Q),0)</f>
        <v>58018671.240000002</v>
      </c>
      <c r="V409" s="207">
        <f>IFERROR(SUMIF(data!$E:$E,科目余额表!$B409,data!R:R),0)</f>
        <v>58018671.240000002</v>
      </c>
      <c r="W409" s="207">
        <f>IFERROR(SUMIF(data!$E:$E,科目余额表!$B409,data!S:S),0)</f>
        <v>58018671.240000002</v>
      </c>
      <c r="X409" s="207"/>
      <c r="Y409" s="207"/>
      <c r="Z409" s="207"/>
      <c r="AA409" s="207"/>
      <c r="AB409" s="207"/>
      <c r="AC409" s="207"/>
      <c r="AD409" s="207"/>
      <c r="AE409" s="207"/>
      <c r="AF409" s="207"/>
    </row>
    <row r="410" spans="1:32" s="214" customFormat="1" ht="11.65" customHeight="1">
      <c r="A410" s="215"/>
      <c r="B410" s="220">
        <v>45000</v>
      </c>
      <c r="C410" s="205" t="s">
        <v>666</v>
      </c>
      <c r="D410" s="221">
        <v>0</v>
      </c>
      <c r="E410" s="221">
        <v>0</v>
      </c>
      <c r="F410" s="222">
        <f t="shared" si="6"/>
        <v>0</v>
      </c>
      <c r="G410" s="205" t="s">
        <v>664</v>
      </c>
      <c r="H410" s="219" t="s">
        <v>250</v>
      </c>
      <c r="J410" s="207" t="s">
        <v>604</v>
      </c>
      <c r="K410" s="207"/>
      <c r="L410" s="207">
        <f>IFERROR(SUMIF(data!$E:$E,科目余额表!$B410,data!H:H),0)</f>
        <v>0</v>
      </c>
      <c r="M410" s="207">
        <f>IFERROR(SUMIF(data!$E:$E,科目余额表!$B410,data!I:I),0)</f>
        <v>0</v>
      </c>
      <c r="N410" s="207">
        <f>IFERROR(SUMIF(data!$E:$E,科目余额表!$B410,data!J:J),0)</f>
        <v>0</v>
      </c>
      <c r="O410" s="207">
        <f>IFERROR(SUMIF(data!$E:$E,科目余额表!$B410,data!K:K),0)</f>
        <v>0</v>
      </c>
      <c r="P410" s="207">
        <f>IFERROR(SUMIF(data!$E:$E,科目余额表!$B410,data!L:L),0)</f>
        <v>0</v>
      </c>
      <c r="Q410" s="207">
        <f>IFERROR(SUMIF(data!$E:$E,科目余额表!$B410,data!M:M),0)</f>
        <v>0</v>
      </c>
      <c r="R410" s="207">
        <f>IFERROR(SUMIF(data!$E:$E,科目余额表!$B410,data!N:N),0)</f>
        <v>0</v>
      </c>
      <c r="S410" s="207">
        <f>IFERROR(SUMIF(data!$E:$E,科目余额表!$B410,data!O:O),0)</f>
        <v>0</v>
      </c>
      <c r="T410" s="207">
        <f>IFERROR(SUMIF(data!$E:$E,科目余额表!$B410,data!P:P),0)</f>
        <v>0</v>
      </c>
      <c r="U410" s="207">
        <f>IFERROR(SUMIF(data!$E:$E,科目余额表!$B410,data!Q:Q),0)</f>
        <v>0</v>
      </c>
      <c r="V410" s="207">
        <f>IFERROR(SUMIF(data!$E:$E,科目余额表!$B410,data!R:R),0)</f>
        <v>0</v>
      </c>
      <c r="W410" s="207">
        <f>IFERROR(SUMIF(data!$E:$E,科目余额表!$B410,data!S:S),0)</f>
        <v>0</v>
      </c>
      <c r="X410" s="207"/>
      <c r="Y410" s="207"/>
      <c r="Z410" s="207"/>
      <c r="AA410" s="207"/>
      <c r="AB410" s="207"/>
      <c r="AC410" s="207"/>
      <c r="AD410" s="207"/>
      <c r="AE410" s="207"/>
      <c r="AF410" s="207"/>
    </row>
    <row r="411" spans="1:32" s="214" customFormat="1" ht="11.65" customHeight="1">
      <c r="A411" s="215"/>
      <c r="B411" s="220">
        <v>45001</v>
      </c>
      <c r="C411" s="205" t="s">
        <v>667</v>
      </c>
      <c r="D411" s="221">
        <v>0</v>
      </c>
      <c r="E411" s="221">
        <v>0</v>
      </c>
      <c r="F411" s="222">
        <f t="shared" si="6"/>
        <v>0</v>
      </c>
      <c r="G411" s="205" t="s">
        <v>668</v>
      </c>
      <c r="H411" s="219" t="s">
        <v>250</v>
      </c>
      <c r="J411" s="207" t="s">
        <v>604</v>
      </c>
      <c r="K411" s="207"/>
      <c r="L411" s="207">
        <f>IFERROR(SUMIF(data!$E:$E,科目余额表!$B411,data!H:H),0)</f>
        <v>0</v>
      </c>
      <c r="M411" s="207">
        <f>IFERROR(SUMIF(data!$E:$E,科目余额表!$B411,data!I:I),0)</f>
        <v>0</v>
      </c>
      <c r="N411" s="207">
        <f>IFERROR(SUMIF(data!$E:$E,科目余额表!$B411,data!J:J),0)</f>
        <v>0</v>
      </c>
      <c r="O411" s="207">
        <f>IFERROR(SUMIF(data!$E:$E,科目余额表!$B411,data!K:K),0)</f>
        <v>0</v>
      </c>
      <c r="P411" s="207">
        <f>IFERROR(SUMIF(data!$E:$E,科目余额表!$B411,data!L:L),0)</f>
        <v>0</v>
      </c>
      <c r="Q411" s="207">
        <f>IFERROR(SUMIF(data!$E:$E,科目余额表!$B411,data!M:M),0)</f>
        <v>0</v>
      </c>
      <c r="R411" s="207">
        <f>IFERROR(SUMIF(data!$E:$E,科目余额表!$B411,data!N:N),0)</f>
        <v>0</v>
      </c>
      <c r="S411" s="207">
        <f>IFERROR(SUMIF(data!$E:$E,科目余额表!$B411,data!O:O),0)</f>
        <v>0</v>
      </c>
      <c r="T411" s="207">
        <f>IFERROR(SUMIF(data!$E:$E,科目余额表!$B411,data!P:P),0)</f>
        <v>0</v>
      </c>
      <c r="U411" s="207">
        <f>IFERROR(SUMIF(data!$E:$E,科目余额表!$B411,data!Q:Q),0)</f>
        <v>0</v>
      </c>
      <c r="V411" s="207">
        <f>IFERROR(SUMIF(data!$E:$E,科目余额表!$B411,data!R:R),0)</f>
        <v>0</v>
      </c>
      <c r="W411" s="207">
        <f>IFERROR(SUMIF(data!$E:$E,科目余额表!$B411,data!S:S),0)</f>
        <v>0</v>
      </c>
      <c r="X411" s="207"/>
      <c r="Y411" s="207"/>
      <c r="Z411" s="207"/>
      <c r="AA411" s="207"/>
      <c r="AB411" s="207"/>
      <c r="AC411" s="207"/>
      <c r="AD411" s="207"/>
      <c r="AE411" s="207"/>
      <c r="AF411" s="207"/>
    </row>
    <row r="412" spans="1:32" s="214" customFormat="1" ht="11.65" customHeight="1">
      <c r="A412" s="215"/>
      <c r="B412" s="220">
        <v>50000</v>
      </c>
      <c r="C412" s="205" t="s">
        <v>669</v>
      </c>
      <c r="D412" s="221">
        <f>-SUM(L412:V412)</f>
        <v>39517341.879999995</v>
      </c>
      <c r="E412" s="221">
        <v>5812613.6799999988</v>
      </c>
      <c r="F412" s="222">
        <f t="shared" si="6"/>
        <v>45329955.559999995</v>
      </c>
      <c r="G412" s="205" t="s">
        <v>670</v>
      </c>
      <c r="H412" s="225" t="s">
        <v>671</v>
      </c>
      <c r="J412" s="207" t="s">
        <v>672</v>
      </c>
      <c r="K412" s="207"/>
      <c r="L412" s="207">
        <f>IFERROR(SUMIF(data!$E:$E,科目余额表!$B412,data!H:H),0)</f>
        <v>-3642991.0300000003</v>
      </c>
      <c r="M412" s="207">
        <f>IFERROR(SUMIF(data!$E:$E,科目余额表!$B412,data!I:I),0)</f>
        <v>-2930000.2499999995</v>
      </c>
      <c r="N412" s="207">
        <f>IFERROR(SUMIF(data!$E:$E,科目余额表!$B412,data!J:J),0)</f>
        <v>-4460277.6499999994</v>
      </c>
      <c r="O412" s="207">
        <f>IFERROR(SUMIF(data!$E:$E,科目余额表!$B412,data!K:K),0)</f>
        <v>-3063328.1599999997</v>
      </c>
      <c r="P412" s="207">
        <f>IFERROR(SUMIF(data!$E:$E,科目余额表!$B412,data!L:L),0)</f>
        <v>-4474386.8699999992</v>
      </c>
      <c r="Q412" s="207">
        <f>IFERROR(SUMIF(data!$E:$E,科目余额表!$B412,data!M:M),0)</f>
        <v>-4370935.3999999994</v>
      </c>
      <c r="R412" s="207">
        <f>IFERROR(SUMIF(data!$E:$E,科目余额表!$B412,data!N:N),0)</f>
        <v>-2978924.21</v>
      </c>
      <c r="S412" s="207">
        <f>IFERROR(SUMIF(data!$E:$E,科目余额表!$B412,data!O:O),0)</f>
        <v>-2658095.8899999997</v>
      </c>
      <c r="T412" s="207">
        <f>IFERROR(SUMIF(data!$E:$E,科目余额表!$B412,data!P:P),0)</f>
        <v>-3214089.15</v>
      </c>
      <c r="U412" s="207">
        <f>IFERROR(SUMIF(data!$E:$E,科目余额表!$B412,data!Q:Q),0)</f>
        <v>-3592149.36</v>
      </c>
      <c r="V412" s="207">
        <f>IFERROR(SUMIF(data!$E:$E,科目余额表!$B412,data!R:R),0)</f>
        <v>-4132163.91</v>
      </c>
      <c r="W412" s="207">
        <f>IFERROR(SUMIF(data!$E:$E,科目余额表!$B412,data!S:S),0)</f>
        <v>-5812613.6799999988</v>
      </c>
      <c r="X412" s="207">
        <f>SUM(L412:W412)</f>
        <v>-45329955.559999995</v>
      </c>
      <c r="Y412" s="207"/>
      <c r="Z412" s="207"/>
      <c r="AA412" s="207"/>
      <c r="AB412" s="207"/>
      <c r="AC412" s="207"/>
      <c r="AD412" s="207"/>
      <c r="AE412" s="207"/>
      <c r="AF412" s="207"/>
    </row>
    <row r="413" spans="1:32" s="214" customFormat="1" ht="11.65" customHeight="1">
      <c r="A413" s="215"/>
      <c r="B413" s="220">
        <v>50001</v>
      </c>
      <c r="C413" s="205" t="s">
        <v>673</v>
      </c>
      <c r="D413" s="221">
        <f t="shared" ref="D413:D476" si="7">-SUM(L413:V413)</f>
        <v>-1838180.9000000001</v>
      </c>
      <c r="E413" s="221">
        <v>-252383.95</v>
      </c>
      <c r="F413" s="222">
        <f t="shared" si="6"/>
        <v>-2090564.85</v>
      </c>
      <c r="G413" s="205" t="s">
        <v>670</v>
      </c>
      <c r="H413" s="225" t="s">
        <v>671</v>
      </c>
      <c r="J413" s="207" t="s">
        <v>672</v>
      </c>
      <c r="K413" s="207"/>
      <c r="L413" s="207">
        <f>IFERROR(SUMIF(data!$E:$E,科目余额表!$B413,data!H:H),0)</f>
        <v>74378.45</v>
      </c>
      <c r="M413" s="207">
        <f>IFERROR(SUMIF(data!$E:$E,科目余额表!$B413,data!I:I),0)</f>
        <v>124735.31000000001</v>
      </c>
      <c r="N413" s="207">
        <f>IFERROR(SUMIF(data!$E:$E,科目余额表!$B413,data!J:J),0)</f>
        <v>157016.05000000002</v>
      </c>
      <c r="O413" s="207">
        <f>IFERROR(SUMIF(data!$E:$E,科目余额表!$B413,data!K:K),0)</f>
        <v>102325.17</v>
      </c>
      <c r="P413" s="207">
        <f>IFERROR(SUMIF(data!$E:$E,科目余额表!$B413,data!L:L),0)</f>
        <v>275115.83</v>
      </c>
      <c r="Q413" s="207">
        <f>IFERROR(SUMIF(data!$E:$E,科目余额表!$B413,data!M:M),0)</f>
        <v>180803.91</v>
      </c>
      <c r="R413" s="207">
        <f>IFERROR(SUMIF(data!$E:$E,科目余额表!$B413,data!N:N),0)</f>
        <v>152414.56</v>
      </c>
      <c r="S413" s="207">
        <f>IFERROR(SUMIF(data!$E:$E,科目余额表!$B413,data!O:O),0)</f>
        <v>167097.4</v>
      </c>
      <c r="T413" s="207">
        <f>IFERROR(SUMIF(data!$E:$E,科目余额表!$B413,data!P:P),0)</f>
        <v>198389.6</v>
      </c>
      <c r="U413" s="207">
        <f>IFERROR(SUMIF(data!$E:$E,科目余额表!$B413,data!Q:Q),0)</f>
        <v>175206.55</v>
      </c>
      <c r="V413" s="207">
        <f>IFERROR(SUMIF(data!$E:$E,科目余额表!$B413,data!R:R),0)</f>
        <v>230698.07</v>
      </c>
      <c r="W413" s="207">
        <f>IFERROR(SUMIF(data!$E:$E,科目余额表!$B413,data!S:S),0)</f>
        <v>252383.95</v>
      </c>
      <c r="X413" s="207">
        <f t="shared" ref="X413:X476" si="8">SUM(L413:W413)</f>
        <v>2090564.85</v>
      </c>
      <c r="Y413" s="207"/>
      <c r="Z413" s="207"/>
      <c r="AA413" s="207"/>
      <c r="AB413" s="207"/>
      <c r="AC413" s="207"/>
      <c r="AD413" s="207"/>
      <c r="AE413" s="207"/>
      <c r="AF413" s="207"/>
    </row>
    <row r="414" spans="1:32" s="214" customFormat="1" ht="11.65" customHeight="1">
      <c r="A414" s="215"/>
      <c r="B414" s="220">
        <v>50002</v>
      </c>
      <c r="C414" s="205" t="s">
        <v>674</v>
      </c>
      <c r="D414" s="221">
        <f t="shared" si="7"/>
        <v>0</v>
      </c>
      <c r="E414" s="221">
        <v>0</v>
      </c>
      <c r="F414" s="222">
        <f t="shared" si="6"/>
        <v>0</v>
      </c>
      <c r="G414" s="205" t="s">
        <v>670</v>
      </c>
      <c r="H414" s="225" t="s">
        <v>671</v>
      </c>
      <c r="J414" s="207" t="s">
        <v>672</v>
      </c>
      <c r="K414" s="207"/>
      <c r="L414" s="207">
        <f>IFERROR(SUMIF(data!$E:$E,科目余额表!$B414,data!H:H),0)</f>
        <v>0</v>
      </c>
      <c r="M414" s="207">
        <f>IFERROR(SUMIF(data!$E:$E,科目余额表!$B414,data!I:I),0)</f>
        <v>0</v>
      </c>
      <c r="N414" s="207">
        <f>IFERROR(SUMIF(data!$E:$E,科目余额表!$B414,data!J:J),0)</f>
        <v>0</v>
      </c>
      <c r="O414" s="207">
        <f>IFERROR(SUMIF(data!$E:$E,科目余额表!$B414,data!K:K),0)</f>
        <v>0</v>
      </c>
      <c r="P414" s="207">
        <f>IFERROR(SUMIF(data!$E:$E,科目余额表!$B414,data!L:L),0)</f>
        <v>0</v>
      </c>
      <c r="Q414" s="207">
        <f>IFERROR(SUMIF(data!$E:$E,科目余额表!$B414,data!M:M),0)</f>
        <v>0</v>
      </c>
      <c r="R414" s="207">
        <f>IFERROR(SUMIF(data!$E:$E,科目余额表!$B414,data!N:N),0)</f>
        <v>0</v>
      </c>
      <c r="S414" s="207">
        <f>IFERROR(SUMIF(data!$E:$E,科目余额表!$B414,data!O:O),0)</f>
        <v>0</v>
      </c>
      <c r="T414" s="207">
        <f>IFERROR(SUMIF(data!$E:$E,科目余额表!$B414,data!P:P),0)</f>
        <v>0</v>
      </c>
      <c r="U414" s="207">
        <f>IFERROR(SUMIF(data!$E:$E,科目余额表!$B414,data!Q:Q),0)</f>
        <v>0</v>
      </c>
      <c r="V414" s="207">
        <f>IFERROR(SUMIF(data!$E:$E,科目余额表!$B414,data!R:R),0)</f>
        <v>0</v>
      </c>
      <c r="W414" s="207">
        <f>IFERROR(SUMIF(data!$E:$E,科目余额表!$B414,data!S:S),0)</f>
        <v>0</v>
      </c>
      <c r="X414" s="207">
        <f t="shared" si="8"/>
        <v>0</v>
      </c>
      <c r="Y414" s="207"/>
      <c r="Z414" s="207"/>
      <c r="AA414" s="207"/>
      <c r="AB414" s="207"/>
      <c r="AC414" s="207"/>
      <c r="AD414" s="207"/>
      <c r="AE414" s="207"/>
      <c r="AF414" s="207"/>
    </row>
    <row r="415" spans="1:32" s="214" customFormat="1" ht="11.65" customHeight="1">
      <c r="A415" s="215"/>
      <c r="B415" s="220">
        <v>50003</v>
      </c>
      <c r="C415" s="205" t="s">
        <v>675</v>
      </c>
      <c r="D415" s="221">
        <f t="shared" si="7"/>
        <v>531266.34999999986</v>
      </c>
      <c r="E415" s="221">
        <v>346.94000000000779</v>
      </c>
      <c r="F415" s="222">
        <f t="shared" si="6"/>
        <v>531613.28999999992</v>
      </c>
      <c r="G415" s="205" t="s">
        <v>670</v>
      </c>
      <c r="H415" s="225" t="s">
        <v>671</v>
      </c>
      <c r="J415" s="207" t="s">
        <v>672</v>
      </c>
      <c r="K415" s="207"/>
      <c r="L415" s="207">
        <f>IFERROR(SUMIF(data!$E:$E,科目余额表!$B415,data!H:H),0)</f>
        <v>-9532.4500000000007</v>
      </c>
      <c r="M415" s="207">
        <f>IFERROR(SUMIF(data!$E:$E,科目余额表!$B415,data!I:I),0)</f>
        <v>-9002.82</v>
      </c>
      <c r="N415" s="207">
        <f>IFERROR(SUMIF(data!$E:$E,科目余额表!$B415,data!J:J),0)</f>
        <v>-97658.85</v>
      </c>
      <c r="O415" s="207">
        <f>IFERROR(SUMIF(data!$E:$E,科目余额表!$B415,data!K:K),0)</f>
        <v>-163586.99999999994</v>
      </c>
      <c r="P415" s="207">
        <f>IFERROR(SUMIF(data!$E:$E,科目余额表!$B415,data!L:L),0)</f>
        <v>-28510.65</v>
      </c>
      <c r="Q415" s="207">
        <f>IFERROR(SUMIF(data!$E:$E,科目余额表!$B415,data!M:M),0)</f>
        <v>-22597.200000000008</v>
      </c>
      <c r="R415" s="207">
        <f>IFERROR(SUMIF(data!$E:$E,科目余额表!$B415,data!N:N),0)</f>
        <v>-17691.22</v>
      </c>
      <c r="S415" s="207">
        <f>IFERROR(SUMIF(data!$E:$E,科目余额表!$B415,data!O:O),0)</f>
        <v>-14434.560000000001</v>
      </c>
      <c r="T415" s="207">
        <f>IFERROR(SUMIF(data!$E:$E,科目余额表!$B415,data!P:P),0)</f>
        <v>-15772.330000000002</v>
      </c>
      <c r="U415" s="207">
        <f>IFERROR(SUMIF(data!$E:$E,科目余额表!$B415,data!Q:Q),0)</f>
        <v>-14732.929999999998</v>
      </c>
      <c r="V415" s="207">
        <f>IFERROR(SUMIF(data!$E:$E,科目余额表!$B415,data!R:R),0)</f>
        <v>-137746.33999999997</v>
      </c>
      <c r="W415" s="207">
        <f>IFERROR(SUMIF(data!$E:$E,科目余额表!$B415,data!S:S),0)</f>
        <v>-346.94000000000779</v>
      </c>
      <c r="X415" s="207">
        <f t="shared" si="8"/>
        <v>-531613.28999999992</v>
      </c>
      <c r="Y415" s="207"/>
      <c r="Z415" s="207"/>
      <c r="AA415" s="207"/>
      <c r="AB415" s="207"/>
      <c r="AC415" s="207"/>
      <c r="AD415" s="207"/>
      <c r="AE415" s="207"/>
      <c r="AF415" s="207"/>
    </row>
    <row r="416" spans="1:32" s="214" customFormat="1" ht="11.65" customHeight="1">
      <c r="A416" s="215"/>
      <c r="B416" s="220">
        <v>50004</v>
      </c>
      <c r="C416" s="205" t="s">
        <v>676</v>
      </c>
      <c r="D416" s="221">
        <f t="shared" si="7"/>
        <v>-424830.02999999985</v>
      </c>
      <c r="E416" s="221">
        <v>-20224.439999999478</v>
      </c>
      <c r="F416" s="222">
        <f t="shared" si="6"/>
        <v>-445054.46999999933</v>
      </c>
      <c r="G416" s="205" t="s">
        <v>670</v>
      </c>
      <c r="H416" s="225" t="s">
        <v>671</v>
      </c>
      <c r="J416" s="207" t="s">
        <v>672</v>
      </c>
      <c r="K416" s="207"/>
      <c r="L416" s="207">
        <f>IFERROR(SUMIF(data!$E:$E,科目余额表!$B416,data!H:H),0)</f>
        <v>133686.53999999989</v>
      </c>
      <c r="M416" s="207">
        <f>IFERROR(SUMIF(data!$E:$E,科目余额表!$B416,data!I:I),0)</f>
        <v>283395.84000000008</v>
      </c>
      <c r="N416" s="207">
        <f>IFERROR(SUMIF(data!$E:$E,科目余额表!$B416,data!J:J),0)</f>
        <v>19003.730000000371</v>
      </c>
      <c r="O416" s="207">
        <f>IFERROR(SUMIF(data!$E:$E,科目余额表!$B416,data!K:K),0)</f>
        <v>-49255.28000000013</v>
      </c>
      <c r="P416" s="207">
        <f>IFERROR(SUMIF(data!$E:$E,科目余额表!$B416,data!L:L),0)</f>
        <v>65610.299999999843</v>
      </c>
      <c r="Q416" s="207">
        <f>IFERROR(SUMIF(data!$E:$E,科目余额表!$B416,data!M:M),0)</f>
        <v>9695.5099999999256</v>
      </c>
      <c r="R416" s="207">
        <f>IFERROR(SUMIF(data!$E:$E,科目余额表!$B416,data!N:N),0)</f>
        <v>-67488.39000000013</v>
      </c>
      <c r="S416" s="207">
        <f>IFERROR(SUMIF(data!$E:$E,科目余额表!$B416,data!O:O),0)</f>
        <v>-22013.610000000219</v>
      </c>
      <c r="T416" s="207">
        <f>IFERROR(SUMIF(data!$E:$E,科目余额表!$B416,data!P:P),0)</f>
        <v>8204.8699999998516</v>
      </c>
      <c r="U416" s="207">
        <f>IFERROR(SUMIF(data!$E:$E,科目余额表!$B416,data!Q:Q),0)</f>
        <v>-4918.3299999995525</v>
      </c>
      <c r="V416" s="207">
        <f>IFERROR(SUMIF(data!$E:$E,科目余额表!$B416,data!R:R),0)</f>
        <v>48908.849999999817</v>
      </c>
      <c r="W416" s="207">
        <f>IFERROR(SUMIF(data!$E:$E,科目余额表!$B416,data!S:S),0)</f>
        <v>20224.439999999478</v>
      </c>
      <c r="X416" s="207">
        <f t="shared" si="8"/>
        <v>445054.46999999933</v>
      </c>
      <c r="Y416" s="207"/>
      <c r="Z416" s="207"/>
      <c r="AA416" s="207"/>
      <c r="AB416" s="207"/>
      <c r="AC416" s="207"/>
      <c r="AD416" s="207"/>
      <c r="AE416" s="207"/>
      <c r="AF416" s="207"/>
    </row>
    <row r="417" spans="1:32" s="214" customFormat="1" ht="11.65" customHeight="1">
      <c r="A417" s="215"/>
      <c r="B417" s="220">
        <v>50005</v>
      </c>
      <c r="C417" s="205" t="s">
        <v>677</v>
      </c>
      <c r="D417" s="221">
        <f t="shared" si="7"/>
        <v>3947.4499999999807</v>
      </c>
      <c r="E417" s="221">
        <v>26836.490000000005</v>
      </c>
      <c r="F417" s="222">
        <f t="shared" si="6"/>
        <v>30783.939999999988</v>
      </c>
      <c r="G417" s="205" t="s">
        <v>670</v>
      </c>
      <c r="H417" s="225" t="s">
        <v>671</v>
      </c>
      <c r="J417" s="207" t="s">
        <v>672</v>
      </c>
      <c r="K417" s="207"/>
      <c r="L417" s="207">
        <f>IFERROR(SUMIF(data!$E:$E,科目余额表!$B417,data!H:H),0)</f>
        <v>3.3499999999999996</v>
      </c>
      <c r="M417" s="207">
        <f>IFERROR(SUMIF(data!$E:$E,科目余额表!$B417,data!I:I),0)</f>
        <v>-8979.3499999999767</v>
      </c>
      <c r="N417" s="207">
        <f>IFERROR(SUMIF(data!$E:$E,科目余额表!$B417,data!J:J),0)</f>
        <v>2721.62</v>
      </c>
      <c r="O417" s="207">
        <f>IFERROR(SUMIF(data!$E:$E,科目余额表!$B417,data!K:K),0)</f>
        <v>6.42</v>
      </c>
      <c r="P417" s="207">
        <f>IFERROR(SUMIF(data!$E:$E,科目余额表!$B417,data!L:L),0)</f>
        <v>8685.5599999999977</v>
      </c>
      <c r="Q417" s="207">
        <f>IFERROR(SUMIF(data!$E:$E,科目余额表!$B417,data!M:M),0)</f>
        <v>167.80000000000018</v>
      </c>
      <c r="R417" s="207">
        <f>IFERROR(SUMIF(data!$E:$E,科目余额表!$B417,data!N:N),0)</f>
        <v>25.09</v>
      </c>
      <c r="S417" s="207">
        <f>IFERROR(SUMIF(data!$E:$E,科目余额表!$B417,data!O:O),0)</f>
        <v>-40.97</v>
      </c>
      <c r="T417" s="207">
        <f>IFERROR(SUMIF(data!$E:$E,科目余额表!$B417,data!P:P),0)</f>
        <v>187.95999999999998</v>
      </c>
      <c r="U417" s="207">
        <f>IFERROR(SUMIF(data!$E:$E,科目余额表!$B417,data!Q:Q),0)</f>
        <v>-7939.9200000000019</v>
      </c>
      <c r="V417" s="207">
        <f>IFERROR(SUMIF(data!$E:$E,科目余额表!$B417,data!R:R),0)</f>
        <v>1214.99</v>
      </c>
      <c r="W417" s="207">
        <f>IFERROR(SUMIF(data!$E:$E,科目余额表!$B417,data!S:S),0)</f>
        <v>-26836.490000000005</v>
      </c>
      <c r="X417" s="207">
        <f t="shared" si="8"/>
        <v>-30783.939999999988</v>
      </c>
      <c r="Y417" s="207"/>
      <c r="Z417" s="207"/>
      <c r="AA417" s="207"/>
      <c r="AB417" s="207"/>
      <c r="AC417" s="207"/>
      <c r="AD417" s="207"/>
      <c r="AE417" s="207"/>
      <c r="AF417" s="207"/>
    </row>
    <row r="418" spans="1:32" s="214" customFormat="1" ht="11.65" customHeight="1">
      <c r="A418" s="215"/>
      <c r="B418" s="220">
        <v>50006</v>
      </c>
      <c r="C418" s="205" t="s">
        <v>678</v>
      </c>
      <c r="D418" s="221">
        <f t="shared" si="7"/>
        <v>0</v>
      </c>
      <c r="E418" s="221">
        <v>0</v>
      </c>
      <c r="F418" s="222">
        <f t="shared" si="6"/>
        <v>0</v>
      </c>
      <c r="G418" s="205" t="s">
        <v>670</v>
      </c>
      <c r="H418" s="225" t="s">
        <v>671</v>
      </c>
      <c r="J418" s="207" t="s">
        <v>672</v>
      </c>
      <c r="K418" s="207"/>
      <c r="L418" s="207">
        <f>IFERROR(SUMIF(data!$E:$E,科目余额表!$B418,data!H:H),0)</f>
        <v>0</v>
      </c>
      <c r="M418" s="207">
        <f>IFERROR(SUMIF(data!$E:$E,科目余额表!$B418,data!I:I),0)</f>
        <v>0</v>
      </c>
      <c r="N418" s="207">
        <f>IFERROR(SUMIF(data!$E:$E,科目余额表!$B418,data!J:J),0)</f>
        <v>0</v>
      </c>
      <c r="O418" s="207">
        <f>IFERROR(SUMIF(data!$E:$E,科目余额表!$B418,data!K:K),0)</f>
        <v>0</v>
      </c>
      <c r="P418" s="207">
        <f>IFERROR(SUMIF(data!$E:$E,科目余额表!$B418,data!L:L),0)</f>
        <v>0</v>
      </c>
      <c r="Q418" s="207">
        <f>IFERROR(SUMIF(data!$E:$E,科目余额表!$B418,data!M:M),0)</f>
        <v>0</v>
      </c>
      <c r="R418" s="207">
        <f>IFERROR(SUMIF(data!$E:$E,科目余额表!$B418,data!N:N),0)</f>
        <v>0</v>
      </c>
      <c r="S418" s="207">
        <f>IFERROR(SUMIF(data!$E:$E,科目余额表!$B418,data!O:O),0)</f>
        <v>0</v>
      </c>
      <c r="T418" s="207">
        <f>IFERROR(SUMIF(data!$E:$E,科目余额表!$B418,data!P:P),0)</f>
        <v>0</v>
      </c>
      <c r="U418" s="207">
        <f>IFERROR(SUMIF(data!$E:$E,科目余额表!$B418,data!Q:Q),0)</f>
        <v>0</v>
      </c>
      <c r="V418" s="207">
        <f>IFERROR(SUMIF(data!$E:$E,科目余额表!$B418,data!R:R),0)</f>
        <v>0</v>
      </c>
      <c r="W418" s="207">
        <f>IFERROR(SUMIF(data!$E:$E,科目余额表!$B418,data!S:S),0)</f>
        <v>0</v>
      </c>
      <c r="X418" s="207">
        <f t="shared" si="8"/>
        <v>0</v>
      </c>
      <c r="Y418" s="207"/>
      <c r="Z418" s="207"/>
      <c r="AA418" s="207"/>
      <c r="AB418" s="207"/>
      <c r="AC418" s="207"/>
      <c r="AD418" s="207"/>
      <c r="AE418" s="207"/>
      <c r="AF418" s="207"/>
    </row>
    <row r="419" spans="1:32" s="214" customFormat="1" ht="11.65" customHeight="1">
      <c r="A419" s="215"/>
      <c r="B419" s="220">
        <v>50007</v>
      </c>
      <c r="C419" s="205" t="s">
        <v>679</v>
      </c>
      <c r="D419" s="221">
        <f t="shared" si="7"/>
        <v>0</v>
      </c>
      <c r="E419" s="221">
        <v>0</v>
      </c>
      <c r="F419" s="222">
        <f t="shared" si="6"/>
        <v>0</v>
      </c>
      <c r="G419" s="205" t="s">
        <v>670</v>
      </c>
      <c r="H419" s="225" t="s">
        <v>671</v>
      </c>
      <c r="J419" s="207" t="s">
        <v>672</v>
      </c>
      <c r="K419" s="207"/>
      <c r="L419" s="207">
        <f>IFERROR(SUMIF(data!$E:$E,科目余额表!$B419,data!H:H),0)</f>
        <v>0</v>
      </c>
      <c r="M419" s="207">
        <f>IFERROR(SUMIF(data!$E:$E,科目余额表!$B419,data!I:I),0)</f>
        <v>0</v>
      </c>
      <c r="N419" s="207">
        <f>IFERROR(SUMIF(data!$E:$E,科目余额表!$B419,data!J:J),0)</f>
        <v>0</v>
      </c>
      <c r="O419" s="207">
        <f>IFERROR(SUMIF(data!$E:$E,科目余额表!$B419,data!K:K),0)</f>
        <v>0</v>
      </c>
      <c r="P419" s="207">
        <f>IFERROR(SUMIF(data!$E:$E,科目余额表!$B419,data!L:L),0)</f>
        <v>0</v>
      </c>
      <c r="Q419" s="207">
        <f>IFERROR(SUMIF(data!$E:$E,科目余额表!$B419,data!M:M),0)</f>
        <v>0</v>
      </c>
      <c r="R419" s="207">
        <f>IFERROR(SUMIF(data!$E:$E,科目余额表!$B419,data!N:N),0)</f>
        <v>0</v>
      </c>
      <c r="S419" s="207">
        <f>IFERROR(SUMIF(data!$E:$E,科目余额表!$B419,data!O:O),0)</f>
        <v>0</v>
      </c>
      <c r="T419" s="207">
        <f>IFERROR(SUMIF(data!$E:$E,科目余额表!$B419,data!P:P),0)</f>
        <v>0</v>
      </c>
      <c r="U419" s="207">
        <f>IFERROR(SUMIF(data!$E:$E,科目余额表!$B419,data!Q:Q),0)</f>
        <v>0</v>
      </c>
      <c r="V419" s="207">
        <f>IFERROR(SUMIF(data!$E:$E,科目余额表!$B419,data!R:R),0)</f>
        <v>0</v>
      </c>
      <c r="W419" s="207">
        <f>IFERROR(SUMIF(data!$E:$E,科目余额表!$B419,data!S:S),0)</f>
        <v>0</v>
      </c>
      <c r="X419" s="207">
        <f t="shared" si="8"/>
        <v>0</v>
      </c>
      <c r="Y419" s="207"/>
      <c r="Z419" s="207"/>
      <c r="AA419" s="207"/>
      <c r="AB419" s="207"/>
      <c r="AC419" s="207"/>
      <c r="AD419" s="207"/>
      <c r="AE419" s="207"/>
      <c r="AF419" s="207"/>
    </row>
    <row r="420" spans="1:32" s="214" customFormat="1" ht="11.65" customHeight="1">
      <c r="A420" s="215"/>
      <c r="B420" s="220">
        <v>51000</v>
      </c>
      <c r="C420" s="205" t="s">
        <v>680</v>
      </c>
      <c r="D420" s="221">
        <f t="shared" si="7"/>
        <v>0</v>
      </c>
      <c r="E420" s="221">
        <v>0</v>
      </c>
      <c r="F420" s="222">
        <f t="shared" si="6"/>
        <v>0</v>
      </c>
      <c r="G420" s="205" t="s">
        <v>681</v>
      </c>
      <c r="H420" s="225" t="s">
        <v>671</v>
      </c>
      <c r="J420" s="207" t="s">
        <v>672</v>
      </c>
      <c r="K420" s="207"/>
      <c r="L420" s="207">
        <f>IFERROR(SUMIF(data!$E:$E,科目余额表!$B420,data!H:H),0)</f>
        <v>0</v>
      </c>
      <c r="M420" s="207">
        <f>IFERROR(SUMIF(data!$E:$E,科目余额表!$B420,data!I:I),0)</f>
        <v>0</v>
      </c>
      <c r="N420" s="207">
        <f>IFERROR(SUMIF(data!$E:$E,科目余额表!$B420,data!J:J),0)</f>
        <v>0</v>
      </c>
      <c r="O420" s="207">
        <f>IFERROR(SUMIF(data!$E:$E,科目余额表!$B420,data!K:K),0)</f>
        <v>0</v>
      </c>
      <c r="P420" s="207">
        <f>IFERROR(SUMIF(data!$E:$E,科目余额表!$B420,data!L:L),0)</f>
        <v>0</v>
      </c>
      <c r="Q420" s="207">
        <f>IFERROR(SUMIF(data!$E:$E,科目余额表!$B420,data!M:M),0)</f>
        <v>0</v>
      </c>
      <c r="R420" s="207">
        <f>IFERROR(SUMIF(data!$E:$E,科目余额表!$B420,data!N:N),0)</f>
        <v>0</v>
      </c>
      <c r="S420" s="207">
        <f>IFERROR(SUMIF(data!$E:$E,科目余额表!$B420,data!O:O),0)</f>
        <v>0</v>
      </c>
      <c r="T420" s="207">
        <f>IFERROR(SUMIF(data!$E:$E,科目余额表!$B420,data!P:P),0)</f>
        <v>0</v>
      </c>
      <c r="U420" s="207">
        <f>IFERROR(SUMIF(data!$E:$E,科目余额表!$B420,data!Q:Q),0)</f>
        <v>0</v>
      </c>
      <c r="V420" s="207">
        <f>IFERROR(SUMIF(data!$E:$E,科目余额表!$B420,data!R:R),0)</f>
        <v>0</v>
      </c>
      <c r="W420" s="207">
        <f>IFERROR(SUMIF(data!$E:$E,科目余额表!$B420,data!S:S),0)</f>
        <v>0</v>
      </c>
      <c r="X420" s="207">
        <f t="shared" si="8"/>
        <v>0</v>
      </c>
      <c r="Y420" s="207"/>
      <c r="Z420" s="207"/>
      <c r="AA420" s="207"/>
      <c r="AB420" s="207"/>
      <c r="AC420" s="207"/>
      <c r="AD420" s="207"/>
      <c r="AE420" s="207"/>
      <c r="AF420" s="207"/>
    </row>
    <row r="421" spans="1:32" s="214" customFormat="1" ht="11.65" customHeight="1">
      <c r="A421" s="215"/>
      <c r="B421" s="220">
        <v>51001</v>
      </c>
      <c r="C421" s="205" t="s">
        <v>682</v>
      </c>
      <c r="D421" s="221">
        <f t="shared" si="7"/>
        <v>0</v>
      </c>
      <c r="E421" s="221">
        <v>0</v>
      </c>
      <c r="F421" s="222">
        <f t="shared" si="6"/>
        <v>0</v>
      </c>
      <c r="G421" s="205" t="s">
        <v>681</v>
      </c>
      <c r="H421" s="225" t="s">
        <v>671</v>
      </c>
      <c r="J421" s="207" t="s">
        <v>672</v>
      </c>
      <c r="K421" s="207"/>
      <c r="L421" s="207">
        <f>IFERROR(SUMIF(data!$E:$E,科目余额表!$B421,data!H:H),0)</f>
        <v>0</v>
      </c>
      <c r="M421" s="207">
        <f>IFERROR(SUMIF(data!$E:$E,科目余额表!$B421,data!I:I),0)</f>
        <v>0</v>
      </c>
      <c r="N421" s="207">
        <f>IFERROR(SUMIF(data!$E:$E,科目余额表!$B421,data!J:J),0)</f>
        <v>0</v>
      </c>
      <c r="O421" s="207">
        <f>IFERROR(SUMIF(data!$E:$E,科目余额表!$B421,data!K:K),0)</f>
        <v>0</v>
      </c>
      <c r="P421" s="207">
        <f>IFERROR(SUMIF(data!$E:$E,科目余额表!$B421,data!L:L),0)</f>
        <v>0</v>
      </c>
      <c r="Q421" s="207">
        <f>IFERROR(SUMIF(data!$E:$E,科目余额表!$B421,data!M:M),0)</f>
        <v>0</v>
      </c>
      <c r="R421" s="207">
        <f>IFERROR(SUMIF(data!$E:$E,科目余额表!$B421,data!N:N),0)</f>
        <v>0</v>
      </c>
      <c r="S421" s="207">
        <f>IFERROR(SUMIF(data!$E:$E,科目余额表!$B421,data!O:O),0)</f>
        <v>0</v>
      </c>
      <c r="T421" s="207">
        <f>IFERROR(SUMIF(data!$E:$E,科目余额表!$B421,data!P:P),0)</f>
        <v>0</v>
      </c>
      <c r="U421" s="207">
        <f>IFERROR(SUMIF(data!$E:$E,科目余额表!$B421,data!Q:Q),0)</f>
        <v>0</v>
      </c>
      <c r="V421" s="207">
        <f>IFERROR(SUMIF(data!$E:$E,科目余额表!$B421,data!R:R),0)</f>
        <v>0</v>
      </c>
      <c r="W421" s="207">
        <f>IFERROR(SUMIF(data!$E:$E,科目余额表!$B421,data!S:S),0)</f>
        <v>0</v>
      </c>
      <c r="X421" s="207">
        <f t="shared" si="8"/>
        <v>0</v>
      </c>
      <c r="Y421" s="207"/>
      <c r="Z421" s="207"/>
      <c r="AA421" s="207"/>
      <c r="AB421" s="207"/>
      <c r="AC421" s="207"/>
      <c r="AD421" s="207"/>
      <c r="AE421" s="207"/>
      <c r="AF421" s="207"/>
    </row>
    <row r="422" spans="1:32" s="214" customFormat="1" ht="11.65" customHeight="1">
      <c r="A422" s="215"/>
      <c r="B422" s="220">
        <v>51002</v>
      </c>
      <c r="C422" s="205" t="s">
        <v>683</v>
      </c>
      <c r="D422" s="221">
        <f t="shared" si="7"/>
        <v>0</v>
      </c>
      <c r="E422" s="221">
        <v>0</v>
      </c>
      <c r="F422" s="222">
        <f t="shared" si="6"/>
        <v>0</v>
      </c>
      <c r="G422" s="205" t="s">
        <v>681</v>
      </c>
      <c r="H422" s="225" t="s">
        <v>671</v>
      </c>
      <c r="J422" s="207" t="s">
        <v>672</v>
      </c>
      <c r="K422" s="207"/>
      <c r="L422" s="207">
        <f>IFERROR(SUMIF(data!$E:$E,科目余额表!$B422,data!H:H),0)</f>
        <v>0</v>
      </c>
      <c r="M422" s="207">
        <f>IFERROR(SUMIF(data!$E:$E,科目余额表!$B422,data!I:I),0)</f>
        <v>0</v>
      </c>
      <c r="N422" s="207">
        <f>IFERROR(SUMIF(data!$E:$E,科目余额表!$B422,data!J:J),0)</f>
        <v>0</v>
      </c>
      <c r="O422" s="207">
        <f>IFERROR(SUMIF(data!$E:$E,科目余额表!$B422,data!K:K),0)</f>
        <v>0</v>
      </c>
      <c r="P422" s="207">
        <f>IFERROR(SUMIF(data!$E:$E,科目余额表!$B422,data!L:L),0)</f>
        <v>0</v>
      </c>
      <c r="Q422" s="207">
        <f>IFERROR(SUMIF(data!$E:$E,科目余额表!$B422,data!M:M),0)</f>
        <v>0</v>
      </c>
      <c r="R422" s="207">
        <f>IFERROR(SUMIF(data!$E:$E,科目余额表!$B422,data!N:N),0)</f>
        <v>0</v>
      </c>
      <c r="S422" s="207">
        <f>IFERROR(SUMIF(data!$E:$E,科目余额表!$B422,data!O:O),0)</f>
        <v>0</v>
      </c>
      <c r="T422" s="207">
        <f>IFERROR(SUMIF(data!$E:$E,科目余额表!$B422,data!P:P),0)</f>
        <v>0</v>
      </c>
      <c r="U422" s="207">
        <f>IFERROR(SUMIF(data!$E:$E,科目余额表!$B422,data!Q:Q),0)</f>
        <v>0</v>
      </c>
      <c r="V422" s="207">
        <f>IFERROR(SUMIF(data!$E:$E,科目余额表!$B422,data!R:R),0)</f>
        <v>0</v>
      </c>
      <c r="W422" s="207">
        <f>IFERROR(SUMIF(data!$E:$E,科目余额表!$B422,data!S:S),0)</f>
        <v>0</v>
      </c>
      <c r="X422" s="207">
        <f t="shared" si="8"/>
        <v>0</v>
      </c>
      <c r="Y422" s="207"/>
      <c r="Z422" s="207"/>
      <c r="AA422" s="207"/>
      <c r="AB422" s="207"/>
      <c r="AC422" s="207"/>
      <c r="AD422" s="207"/>
      <c r="AE422" s="207"/>
      <c r="AF422" s="207"/>
    </row>
    <row r="423" spans="1:32" s="214" customFormat="1" ht="11.65" customHeight="1">
      <c r="A423" s="215"/>
      <c r="B423" s="220">
        <v>51101</v>
      </c>
      <c r="C423" s="205" t="s">
        <v>684</v>
      </c>
      <c r="D423" s="221">
        <f t="shared" si="7"/>
        <v>2191319.66</v>
      </c>
      <c r="E423" s="221">
        <v>296632.35999999993</v>
      </c>
      <c r="F423" s="222">
        <f t="shared" si="6"/>
        <v>2487952.02</v>
      </c>
      <c r="G423" s="205" t="s">
        <v>685</v>
      </c>
      <c r="H423" s="225" t="s">
        <v>671</v>
      </c>
      <c r="J423" s="207" t="s">
        <v>672</v>
      </c>
      <c r="K423" s="207"/>
      <c r="L423" s="207">
        <f>IFERROR(SUMIF(data!$E:$E,科目余额表!$B423,data!H:H),0)</f>
        <v>-263550.69000000006</v>
      </c>
      <c r="M423" s="207">
        <f>IFERROR(SUMIF(data!$E:$E,科目余额表!$B423,data!I:I),0)</f>
        <v>-226894.48</v>
      </c>
      <c r="N423" s="207">
        <f>IFERROR(SUMIF(data!$E:$E,科目余额表!$B423,data!J:J),0)</f>
        <v>-303918.58999999991</v>
      </c>
      <c r="O423" s="207">
        <f>IFERROR(SUMIF(data!$E:$E,科目余额表!$B423,data!K:K),0)</f>
        <v>-101251.79999999996</v>
      </c>
      <c r="P423" s="207">
        <f>IFERROR(SUMIF(data!$E:$E,科目余额表!$B423,data!L:L),0)</f>
        <v>-214349.91</v>
      </c>
      <c r="Q423" s="207">
        <f>IFERROR(SUMIF(data!$E:$E,科目余额表!$B423,data!M:M),0)</f>
        <v>-190295.03999999998</v>
      </c>
      <c r="R423" s="207">
        <f>IFERROR(SUMIF(data!$E:$E,科目余额表!$B423,data!N:N),0)</f>
        <v>-157434.94000000003</v>
      </c>
      <c r="S423" s="207">
        <f>IFERROR(SUMIF(data!$E:$E,科目余额表!$B423,data!O:O),0)</f>
        <v>-157351.06000000003</v>
      </c>
      <c r="T423" s="207">
        <f>IFERROR(SUMIF(data!$E:$E,科目余额表!$B423,data!P:P),0)</f>
        <v>-162731.29000000004</v>
      </c>
      <c r="U423" s="207">
        <f>IFERROR(SUMIF(data!$E:$E,科目余额表!$B423,data!Q:Q),0)</f>
        <v>-200651.59000000003</v>
      </c>
      <c r="V423" s="207">
        <f>IFERROR(SUMIF(data!$E:$E,科目余额表!$B423,data!R:R),0)</f>
        <v>-212890.26999999993</v>
      </c>
      <c r="W423" s="207">
        <f>IFERROR(SUMIF(data!$E:$E,科目余额表!$B423,data!S:S),0)</f>
        <v>-296632.35999999993</v>
      </c>
      <c r="X423" s="207">
        <f t="shared" si="8"/>
        <v>-2487952.02</v>
      </c>
      <c r="Y423" s="207"/>
      <c r="Z423" s="207"/>
      <c r="AA423" s="207"/>
      <c r="AB423" s="207"/>
      <c r="AC423" s="207"/>
      <c r="AD423" s="207"/>
      <c r="AE423" s="207"/>
      <c r="AF423" s="207"/>
    </row>
    <row r="424" spans="1:32" s="214" customFormat="1" ht="11.65" customHeight="1">
      <c r="A424" s="215"/>
      <c r="B424" s="220">
        <v>51102</v>
      </c>
      <c r="C424" s="205" t="s">
        <v>686</v>
      </c>
      <c r="D424" s="221">
        <f t="shared" si="7"/>
        <v>890432.79000000015</v>
      </c>
      <c r="E424" s="221">
        <v>113587.73000000001</v>
      </c>
      <c r="F424" s="222">
        <f t="shared" si="6"/>
        <v>1004020.5200000001</v>
      </c>
      <c r="G424" s="205" t="s">
        <v>685</v>
      </c>
      <c r="H424" s="225" t="s">
        <v>671</v>
      </c>
      <c r="J424" s="207" t="s">
        <v>672</v>
      </c>
      <c r="K424" s="207"/>
      <c r="L424" s="207">
        <f>IFERROR(SUMIF(data!$E:$E,科目余额表!$B424,data!H:H),0)</f>
        <v>-78986.59</v>
      </c>
      <c r="M424" s="207">
        <f>IFERROR(SUMIF(data!$E:$E,科目余额表!$B424,data!I:I),0)</f>
        <v>-107591.62</v>
      </c>
      <c r="N424" s="207">
        <f>IFERROR(SUMIF(data!$E:$E,科目余额表!$B424,data!J:J),0)</f>
        <v>-122372.73</v>
      </c>
      <c r="O424" s="207">
        <f>IFERROR(SUMIF(data!$E:$E,科目余额表!$B424,data!K:K),0)</f>
        <v>-114978.23999999999</v>
      </c>
      <c r="P424" s="207">
        <f>IFERROR(SUMIF(data!$E:$E,科目余额表!$B424,data!L:L),0)</f>
        <v>-71286.84</v>
      </c>
      <c r="Q424" s="207">
        <f>IFERROR(SUMIF(data!$E:$E,科目余额表!$B424,data!M:M),0)</f>
        <v>-63367.789999999994</v>
      </c>
      <c r="R424" s="207">
        <f>IFERROR(SUMIF(data!$E:$E,科目余额表!$B424,data!N:N),0)</f>
        <v>-50849.760000000002</v>
      </c>
      <c r="S424" s="207">
        <f>IFERROR(SUMIF(data!$E:$E,科目余额表!$B424,data!O:O),0)</f>
        <v>-65219.130000000005</v>
      </c>
      <c r="T424" s="207">
        <f>IFERROR(SUMIF(data!$E:$E,科目余额表!$B424,data!P:P),0)</f>
        <v>-70275.16</v>
      </c>
      <c r="U424" s="207">
        <f>IFERROR(SUMIF(data!$E:$E,科目余额表!$B424,data!Q:Q),0)</f>
        <v>-65220.56</v>
      </c>
      <c r="V424" s="207">
        <f>IFERROR(SUMIF(data!$E:$E,科目余额表!$B424,data!R:R),0)</f>
        <v>-80284.37</v>
      </c>
      <c r="W424" s="207">
        <f>IFERROR(SUMIF(data!$E:$E,科目余额表!$B424,data!S:S),0)</f>
        <v>-113587.73000000001</v>
      </c>
      <c r="X424" s="207">
        <f t="shared" si="8"/>
        <v>-1004020.5200000001</v>
      </c>
      <c r="Y424" s="207"/>
      <c r="Z424" s="207"/>
      <c r="AA424" s="207"/>
      <c r="AB424" s="207"/>
      <c r="AC424" s="207"/>
      <c r="AD424" s="207"/>
      <c r="AE424" s="207"/>
      <c r="AF424" s="207"/>
    </row>
    <row r="425" spans="1:32" s="214" customFormat="1" ht="11.65" customHeight="1">
      <c r="A425" s="215"/>
      <c r="B425" s="220">
        <v>52000</v>
      </c>
      <c r="C425" s="205" t="s">
        <v>687</v>
      </c>
      <c r="D425" s="221">
        <f t="shared" si="7"/>
        <v>0</v>
      </c>
      <c r="E425" s="221">
        <v>0</v>
      </c>
      <c r="F425" s="222">
        <f t="shared" si="6"/>
        <v>0</v>
      </c>
      <c r="G425" s="205" t="s">
        <v>681</v>
      </c>
      <c r="H425" s="225" t="s">
        <v>671</v>
      </c>
      <c r="J425" s="207" t="s">
        <v>672</v>
      </c>
      <c r="K425" s="207"/>
      <c r="L425" s="207">
        <f>IFERROR(SUMIF(data!$E:$E,科目余额表!$B425,data!H:H),0)</f>
        <v>0</v>
      </c>
      <c r="M425" s="207">
        <f>IFERROR(SUMIF(data!$E:$E,科目余额表!$B425,data!I:I),0)</f>
        <v>0</v>
      </c>
      <c r="N425" s="207">
        <f>IFERROR(SUMIF(data!$E:$E,科目余额表!$B425,data!J:J),0)</f>
        <v>0</v>
      </c>
      <c r="O425" s="207">
        <f>IFERROR(SUMIF(data!$E:$E,科目余额表!$B425,data!K:K),0)</f>
        <v>0</v>
      </c>
      <c r="P425" s="207">
        <f>IFERROR(SUMIF(data!$E:$E,科目余额表!$B425,data!L:L),0)</f>
        <v>0</v>
      </c>
      <c r="Q425" s="207">
        <f>IFERROR(SUMIF(data!$E:$E,科目余额表!$B425,data!M:M),0)</f>
        <v>0</v>
      </c>
      <c r="R425" s="207">
        <f>IFERROR(SUMIF(data!$E:$E,科目余额表!$B425,data!N:N),0)</f>
        <v>0</v>
      </c>
      <c r="S425" s="207">
        <f>IFERROR(SUMIF(data!$E:$E,科目余额表!$B425,data!O:O),0)</f>
        <v>0</v>
      </c>
      <c r="T425" s="207">
        <f>IFERROR(SUMIF(data!$E:$E,科目余额表!$B425,data!P:P),0)</f>
        <v>0</v>
      </c>
      <c r="U425" s="207">
        <f>IFERROR(SUMIF(data!$E:$E,科目余额表!$B425,data!Q:Q),0)</f>
        <v>0</v>
      </c>
      <c r="V425" s="207">
        <f>IFERROR(SUMIF(data!$E:$E,科目余额表!$B425,data!R:R),0)</f>
        <v>0</v>
      </c>
      <c r="W425" s="207">
        <f>IFERROR(SUMIF(data!$E:$E,科目余额表!$B425,data!S:S),0)</f>
        <v>0</v>
      </c>
      <c r="X425" s="207">
        <f t="shared" si="8"/>
        <v>0</v>
      </c>
      <c r="Y425" s="207"/>
      <c r="Z425" s="207"/>
      <c r="AA425" s="207"/>
      <c r="AB425" s="207"/>
      <c r="AC425" s="207"/>
      <c r="AD425" s="207"/>
      <c r="AE425" s="207"/>
      <c r="AF425" s="207"/>
    </row>
    <row r="426" spans="1:32" s="214" customFormat="1" ht="11.65" customHeight="1">
      <c r="A426" s="215"/>
      <c r="B426" s="220">
        <v>52001</v>
      </c>
      <c r="C426" s="205" t="s">
        <v>688</v>
      </c>
      <c r="D426" s="221">
        <f t="shared" si="7"/>
        <v>0</v>
      </c>
      <c r="E426" s="221">
        <v>0</v>
      </c>
      <c r="F426" s="222">
        <f t="shared" si="6"/>
        <v>0</v>
      </c>
      <c r="G426" s="205" t="s">
        <v>681</v>
      </c>
      <c r="H426" s="225" t="s">
        <v>671</v>
      </c>
      <c r="J426" s="207" t="s">
        <v>672</v>
      </c>
      <c r="K426" s="207"/>
      <c r="L426" s="207">
        <f>IFERROR(SUMIF(data!$E:$E,科目余额表!$B426,data!H:H),0)</f>
        <v>0</v>
      </c>
      <c r="M426" s="207">
        <f>IFERROR(SUMIF(data!$E:$E,科目余额表!$B426,data!I:I),0)</f>
        <v>0</v>
      </c>
      <c r="N426" s="207">
        <f>IFERROR(SUMIF(data!$E:$E,科目余额表!$B426,data!J:J),0)</f>
        <v>0</v>
      </c>
      <c r="O426" s="207">
        <f>IFERROR(SUMIF(data!$E:$E,科目余额表!$B426,data!K:K),0)</f>
        <v>0</v>
      </c>
      <c r="P426" s="207">
        <f>IFERROR(SUMIF(data!$E:$E,科目余额表!$B426,data!L:L),0)</f>
        <v>0</v>
      </c>
      <c r="Q426" s="207">
        <f>IFERROR(SUMIF(data!$E:$E,科目余额表!$B426,data!M:M),0)</f>
        <v>0</v>
      </c>
      <c r="R426" s="207">
        <f>IFERROR(SUMIF(data!$E:$E,科目余额表!$B426,data!N:N),0)</f>
        <v>0</v>
      </c>
      <c r="S426" s="207">
        <f>IFERROR(SUMIF(data!$E:$E,科目余额表!$B426,data!O:O),0)</f>
        <v>0</v>
      </c>
      <c r="T426" s="207">
        <f>IFERROR(SUMIF(data!$E:$E,科目余额表!$B426,data!P:P),0)</f>
        <v>0</v>
      </c>
      <c r="U426" s="207">
        <f>IFERROR(SUMIF(data!$E:$E,科目余额表!$B426,data!Q:Q),0)</f>
        <v>0</v>
      </c>
      <c r="V426" s="207">
        <f>IFERROR(SUMIF(data!$E:$E,科目余额表!$B426,data!R:R),0)</f>
        <v>0</v>
      </c>
      <c r="W426" s="207">
        <f>IFERROR(SUMIF(data!$E:$E,科目余额表!$B426,data!S:S),0)</f>
        <v>0</v>
      </c>
      <c r="X426" s="207">
        <f t="shared" si="8"/>
        <v>0</v>
      </c>
      <c r="Y426" s="207"/>
      <c r="Z426" s="207"/>
      <c r="AA426" s="207"/>
      <c r="AB426" s="207"/>
      <c r="AC426" s="207"/>
      <c r="AD426" s="207"/>
      <c r="AE426" s="207"/>
      <c r="AF426" s="207"/>
    </row>
    <row r="427" spans="1:32" s="214" customFormat="1" ht="11.65" customHeight="1">
      <c r="A427" s="215"/>
      <c r="B427" s="220">
        <v>52002</v>
      </c>
      <c r="C427" s="205" t="s">
        <v>689</v>
      </c>
      <c r="D427" s="221">
        <f t="shared" si="7"/>
        <v>0</v>
      </c>
      <c r="E427" s="221">
        <v>0</v>
      </c>
      <c r="F427" s="222">
        <f t="shared" si="6"/>
        <v>0</v>
      </c>
      <c r="G427" s="205" t="s">
        <v>681</v>
      </c>
      <c r="H427" s="225" t="s">
        <v>671</v>
      </c>
      <c r="J427" s="207" t="s">
        <v>672</v>
      </c>
      <c r="K427" s="207"/>
      <c r="L427" s="207">
        <f>IFERROR(SUMIF(data!$E:$E,科目余额表!$B427,data!H:H),0)</f>
        <v>0</v>
      </c>
      <c r="M427" s="207">
        <f>IFERROR(SUMIF(data!$E:$E,科目余额表!$B427,data!I:I),0)</f>
        <v>0</v>
      </c>
      <c r="N427" s="207">
        <f>IFERROR(SUMIF(data!$E:$E,科目余额表!$B427,data!J:J),0)</f>
        <v>0</v>
      </c>
      <c r="O427" s="207">
        <f>IFERROR(SUMIF(data!$E:$E,科目余额表!$B427,data!K:K),0)</f>
        <v>0</v>
      </c>
      <c r="P427" s="207">
        <f>IFERROR(SUMIF(data!$E:$E,科目余额表!$B427,data!L:L),0)</f>
        <v>0</v>
      </c>
      <c r="Q427" s="207">
        <f>IFERROR(SUMIF(data!$E:$E,科目余额表!$B427,data!M:M),0)</f>
        <v>0</v>
      </c>
      <c r="R427" s="207">
        <f>IFERROR(SUMIF(data!$E:$E,科目余额表!$B427,data!N:N),0)</f>
        <v>0</v>
      </c>
      <c r="S427" s="207">
        <f>IFERROR(SUMIF(data!$E:$E,科目余额表!$B427,data!O:O),0)</f>
        <v>0</v>
      </c>
      <c r="T427" s="207">
        <f>IFERROR(SUMIF(data!$E:$E,科目余额表!$B427,data!P:P),0)</f>
        <v>0</v>
      </c>
      <c r="U427" s="207">
        <f>IFERROR(SUMIF(data!$E:$E,科目余额表!$B427,data!Q:Q),0)</f>
        <v>0</v>
      </c>
      <c r="V427" s="207">
        <f>IFERROR(SUMIF(data!$E:$E,科目余额表!$B427,data!R:R),0)</f>
        <v>0</v>
      </c>
      <c r="W427" s="207">
        <f>IFERROR(SUMIF(data!$E:$E,科目余额表!$B427,data!S:S),0)</f>
        <v>0</v>
      </c>
      <c r="X427" s="207">
        <f t="shared" si="8"/>
        <v>0</v>
      </c>
      <c r="Y427" s="207"/>
      <c r="Z427" s="207"/>
      <c r="AA427" s="207"/>
      <c r="AB427" s="207"/>
      <c r="AC427" s="207"/>
      <c r="AD427" s="207"/>
      <c r="AE427" s="207"/>
      <c r="AF427" s="207"/>
    </row>
    <row r="428" spans="1:32" s="214" customFormat="1" ht="11.65" customHeight="1">
      <c r="A428" s="215"/>
      <c r="B428" s="220">
        <v>52100</v>
      </c>
      <c r="C428" s="205" t="s">
        <v>690</v>
      </c>
      <c r="D428" s="221">
        <f t="shared" si="7"/>
        <v>0</v>
      </c>
      <c r="E428" s="221">
        <v>0</v>
      </c>
      <c r="F428" s="222">
        <f t="shared" si="6"/>
        <v>0</v>
      </c>
      <c r="G428" s="205" t="s">
        <v>691</v>
      </c>
      <c r="H428" s="225" t="s">
        <v>671</v>
      </c>
      <c r="J428" s="207" t="s">
        <v>672</v>
      </c>
      <c r="K428" s="207"/>
      <c r="L428" s="207">
        <f>IFERROR(SUMIF(data!$E:$E,科目余额表!$B428,data!H:H),0)</f>
        <v>0</v>
      </c>
      <c r="M428" s="207">
        <f>IFERROR(SUMIF(data!$E:$E,科目余额表!$B428,data!I:I),0)</f>
        <v>0</v>
      </c>
      <c r="N428" s="207">
        <f>IFERROR(SUMIF(data!$E:$E,科目余额表!$B428,data!J:J),0)</f>
        <v>0</v>
      </c>
      <c r="O428" s="207">
        <f>IFERROR(SUMIF(data!$E:$E,科目余额表!$B428,data!K:K),0)</f>
        <v>0</v>
      </c>
      <c r="P428" s="207">
        <f>IFERROR(SUMIF(data!$E:$E,科目余额表!$B428,data!L:L),0)</f>
        <v>0</v>
      </c>
      <c r="Q428" s="207">
        <f>IFERROR(SUMIF(data!$E:$E,科目余额表!$B428,data!M:M),0)</f>
        <v>0</v>
      </c>
      <c r="R428" s="207">
        <f>IFERROR(SUMIF(data!$E:$E,科目余额表!$B428,data!N:N),0)</f>
        <v>0</v>
      </c>
      <c r="S428" s="207">
        <f>IFERROR(SUMIF(data!$E:$E,科目余额表!$B428,data!O:O),0)</f>
        <v>0</v>
      </c>
      <c r="T428" s="207">
        <f>IFERROR(SUMIF(data!$E:$E,科目余额表!$B428,data!P:P),0)</f>
        <v>0</v>
      </c>
      <c r="U428" s="207">
        <f>IFERROR(SUMIF(data!$E:$E,科目余额表!$B428,data!Q:Q),0)</f>
        <v>0</v>
      </c>
      <c r="V428" s="207">
        <f>IFERROR(SUMIF(data!$E:$E,科目余额表!$B428,data!R:R),0)</f>
        <v>0</v>
      </c>
      <c r="W428" s="207">
        <f>IFERROR(SUMIF(data!$E:$E,科目余额表!$B428,data!S:S),0)</f>
        <v>0</v>
      </c>
      <c r="X428" s="207">
        <f t="shared" si="8"/>
        <v>0</v>
      </c>
      <c r="Y428" s="207"/>
      <c r="Z428" s="207"/>
      <c r="AA428" s="207"/>
      <c r="AB428" s="207"/>
      <c r="AC428" s="207"/>
      <c r="AD428" s="207"/>
      <c r="AE428" s="207"/>
      <c r="AF428" s="207"/>
    </row>
    <row r="429" spans="1:32" s="214" customFormat="1" ht="11.65" customHeight="1">
      <c r="A429" s="215"/>
      <c r="B429" s="220">
        <v>52101</v>
      </c>
      <c r="C429" s="205" t="s">
        <v>692</v>
      </c>
      <c r="D429" s="221">
        <f t="shared" si="7"/>
        <v>0</v>
      </c>
      <c r="E429" s="221">
        <v>0</v>
      </c>
      <c r="F429" s="222">
        <f t="shared" si="6"/>
        <v>0</v>
      </c>
      <c r="G429" s="205" t="s">
        <v>691</v>
      </c>
      <c r="H429" s="225" t="s">
        <v>671</v>
      </c>
      <c r="J429" s="207" t="s">
        <v>672</v>
      </c>
      <c r="K429" s="207"/>
      <c r="L429" s="207">
        <f>IFERROR(SUMIF(data!$E:$E,科目余额表!$B429,data!H:H),0)</f>
        <v>0</v>
      </c>
      <c r="M429" s="207">
        <f>IFERROR(SUMIF(data!$E:$E,科目余额表!$B429,data!I:I),0)</f>
        <v>0</v>
      </c>
      <c r="N429" s="207">
        <f>IFERROR(SUMIF(data!$E:$E,科目余额表!$B429,data!J:J),0)</f>
        <v>0</v>
      </c>
      <c r="O429" s="207">
        <f>IFERROR(SUMIF(data!$E:$E,科目余额表!$B429,data!K:K),0)</f>
        <v>0</v>
      </c>
      <c r="P429" s="207">
        <f>IFERROR(SUMIF(data!$E:$E,科目余额表!$B429,data!L:L),0)</f>
        <v>0</v>
      </c>
      <c r="Q429" s="207">
        <f>IFERROR(SUMIF(data!$E:$E,科目余额表!$B429,data!M:M),0)</f>
        <v>0</v>
      </c>
      <c r="R429" s="207">
        <f>IFERROR(SUMIF(data!$E:$E,科目余额表!$B429,data!N:N),0)</f>
        <v>0</v>
      </c>
      <c r="S429" s="207">
        <f>IFERROR(SUMIF(data!$E:$E,科目余额表!$B429,data!O:O),0)</f>
        <v>0</v>
      </c>
      <c r="T429" s="207">
        <f>IFERROR(SUMIF(data!$E:$E,科目余额表!$B429,data!P:P),0)</f>
        <v>0</v>
      </c>
      <c r="U429" s="207">
        <f>IFERROR(SUMIF(data!$E:$E,科目余额表!$B429,data!Q:Q),0)</f>
        <v>0</v>
      </c>
      <c r="V429" s="207">
        <f>IFERROR(SUMIF(data!$E:$E,科目余额表!$B429,data!R:R),0)</f>
        <v>0</v>
      </c>
      <c r="W429" s="207">
        <f>IFERROR(SUMIF(data!$E:$E,科目余额表!$B429,data!S:S),0)</f>
        <v>0</v>
      </c>
      <c r="X429" s="207">
        <f t="shared" si="8"/>
        <v>0</v>
      </c>
      <c r="Y429" s="207"/>
      <c r="Z429" s="207"/>
      <c r="AA429" s="207"/>
      <c r="AB429" s="207"/>
      <c r="AC429" s="207"/>
      <c r="AD429" s="207"/>
      <c r="AE429" s="207"/>
      <c r="AF429" s="207"/>
    </row>
    <row r="430" spans="1:32" s="214" customFormat="1" ht="11.65" customHeight="1">
      <c r="A430" s="215"/>
      <c r="B430" s="220">
        <v>52200</v>
      </c>
      <c r="C430" s="205" t="s">
        <v>693</v>
      </c>
      <c r="D430" s="221">
        <f t="shared" si="7"/>
        <v>5779478.8500000006</v>
      </c>
      <c r="E430" s="221">
        <v>500147.32000000007</v>
      </c>
      <c r="F430" s="222">
        <f t="shared" si="6"/>
        <v>6279626.1700000009</v>
      </c>
      <c r="G430" s="205" t="s">
        <v>694</v>
      </c>
      <c r="H430" s="225" t="s">
        <v>671</v>
      </c>
      <c r="J430" s="207" t="s">
        <v>672</v>
      </c>
      <c r="K430" s="207"/>
      <c r="L430" s="207">
        <f>IFERROR(SUMIF(data!$E:$E,科目余额表!$B430,data!H:H),0)</f>
        <v>-573922.83000000007</v>
      </c>
      <c r="M430" s="207">
        <f>IFERROR(SUMIF(data!$E:$E,科目余额表!$B430,data!I:I),0)</f>
        <v>-548478.33000000007</v>
      </c>
      <c r="N430" s="207">
        <f>IFERROR(SUMIF(data!$E:$E,科目余额表!$B430,data!J:J),0)</f>
        <v>-561304.59000000008</v>
      </c>
      <c r="O430" s="207">
        <f>IFERROR(SUMIF(data!$E:$E,科目余额表!$B430,data!K:K),0)</f>
        <v>-545370.7300000001</v>
      </c>
      <c r="P430" s="207">
        <f>IFERROR(SUMIF(data!$E:$E,科目余额表!$B430,data!L:L),0)</f>
        <v>-541878.64</v>
      </c>
      <c r="Q430" s="207">
        <f>IFERROR(SUMIF(data!$E:$E,科目余额表!$B430,data!M:M),0)</f>
        <v>-556049.64999999991</v>
      </c>
      <c r="R430" s="207">
        <f>IFERROR(SUMIF(data!$E:$E,科目余额表!$B430,data!N:N),0)</f>
        <v>-484262.11999999994</v>
      </c>
      <c r="S430" s="207">
        <f>IFERROR(SUMIF(data!$E:$E,科目余额表!$B430,data!O:O),0)</f>
        <v>-467421.94</v>
      </c>
      <c r="T430" s="207">
        <f>IFERROR(SUMIF(data!$E:$E,科目余额表!$B430,data!P:P),0)</f>
        <v>-483438.74999999994</v>
      </c>
      <c r="U430" s="207">
        <f>IFERROR(SUMIF(data!$E:$E,科目余额表!$B430,data!Q:Q),0)</f>
        <v>-475736.01000000018</v>
      </c>
      <c r="V430" s="207">
        <f>IFERROR(SUMIF(data!$E:$E,科目余额表!$B430,data!R:R),0)</f>
        <v>-541615.26</v>
      </c>
      <c r="W430" s="207">
        <f>IFERROR(SUMIF(data!$E:$E,科目余额表!$B430,data!S:S),0)</f>
        <v>-500147.32000000007</v>
      </c>
      <c r="X430" s="207">
        <f t="shared" si="8"/>
        <v>-6279626.1700000009</v>
      </c>
      <c r="Y430" s="207"/>
      <c r="Z430" s="207"/>
      <c r="AA430" s="207"/>
      <c r="AB430" s="207"/>
      <c r="AC430" s="207"/>
      <c r="AD430" s="207"/>
      <c r="AE430" s="207"/>
      <c r="AF430" s="207"/>
    </row>
    <row r="431" spans="1:32" s="214" customFormat="1" ht="11.65" customHeight="1">
      <c r="A431" s="215"/>
      <c r="B431" s="220">
        <v>52201</v>
      </c>
      <c r="C431" s="205" t="s">
        <v>695</v>
      </c>
      <c r="D431" s="221">
        <f t="shared" si="7"/>
        <v>1187711.2</v>
      </c>
      <c r="E431" s="221">
        <v>100737.52</v>
      </c>
      <c r="F431" s="222">
        <f t="shared" si="6"/>
        <v>1288448.72</v>
      </c>
      <c r="G431" s="205" t="s">
        <v>694</v>
      </c>
      <c r="H431" s="225" t="s">
        <v>671</v>
      </c>
      <c r="J431" s="207" t="s">
        <v>672</v>
      </c>
      <c r="K431" s="207"/>
      <c r="L431" s="207">
        <f>IFERROR(SUMIF(data!$E:$E,科目余额表!$B431,data!H:H),0)</f>
        <v>-112556.44</v>
      </c>
      <c r="M431" s="207">
        <f>IFERROR(SUMIF(data!$E:$E,科目余额表!$B431,data!I:I),0)</f>
        <v>-112556.44</v>
      </c>
      <c r="N431" s="207">
        <f>IFERROR(SUMIF(data!$E:$E,科目余额表!$B431,data!J:J),0)</f>
        <v>-114024.22</v>
      </c>
      <c r="O431" s="207">
        <f>IFERROR(SUMIF(data!$E:$E,科目余额表!$B431,data!K:K),0)</f>
        <v>-114024.22</v>
      </c>
      <c r="P431" s="207">
        <f>IFERROR(SUMIF(data!$E:$E,科目余额表!$B431,data!L:L),0)</f>
        <v>-114024.22</v>
      </c>
      <c r="Q431" s="207">
        <f>IFERROR(SUMIF(data!$E:$E,科目余额表!$B431,data!M:M),0)</f>
        <v>-106960.75</v>
      </c>
      <c r="R431" s="207">
        <f>IFERROR(SUMIF(data!$E:$E,科目余额表!$B431,data!N:N),0)</f>
        <v>-106960.75</v>
      </c>
      <c r="S431" s="207">
        <f>IFERROR(SUMIF(data!$E:$E,科目余额表!$B431,data!O:O),0)</f>
        <v>-104009.59</v>
      </c>
      <c r="T431" s="207">
        <f>IFERROR(SUMIF(data!$E:$E,科目余额表!$B431,data!P:P),0)</f>
        <v>-104009.59</v>
      </c>
      <c r="U431" s="207">
        <f>IFERROR(SUMIF(data!$E:$E,科目余额表!$B431,data!Q:Q),0)</f>
        <v>-100147.46</v>
      </c>
      <c r="V431" s="207">
        <f>IFERROR(SUMIF(data!$E:$E,科目余额表!$B431,data!R:R),0)</f>
        <v>-98437.52</v>
      </c>
      <c r="W431" s="207">
        <f>IFERROR(SUMIF(data!$E:$E,科目余额表!$B431,data!S:S),0)</f>
        <v>-100737.52</v>
      </c>
      <c r="X431" s="207">
        <f t="shared" si="8"/>
        <v>-1288448.72</v>
      </c>
      <c r="Y431" s="207"/>
      <c r="Z431" s="207"/>
      <c r="AA431" s="207"/>
      <c r="AB431" s="207"/>
      <c r="AC431" s="207"/>
      <c r="AD431" s="207"/>
      <c r="AE431" s="207"/>
      <c r="AF431" s="207"/>
    </row>
    <row r="432" spans="1:32" s="214" customFormat="1" ht="11.65" customHeight="1">
      <c r="A432" s="215"/>
      <c r="B432" s="220">
        <v>52300</v>
      </c>
      <c r="C432" s="205" t="s">
        <v>696</v>
      </c>
      <c r="D432" s="221">
        <f t="shared" si="7"/>
        <v>0</v>
      </c>
      <c r="E432" s="221">
        <v>0</v>
      </c>
      <c r="F432" s="222">
        <f t="shared" si="6"/>
        <v>0</v>
      </c>
      <c r="G432" s="205" t="s">
        <v>694</v>
      </c>
      <c r="H432" s="225" t="s">
        <v>671</v>
      </c>
      <c r="J432" s="207" t="s">
        <v>672</v>
      </c>
      <c r="K432" s="207"/>
      <c r="L432" s="207">
        <f>IFERROR(SUMIF(data!$E:$E,科目余额表!$B432,data!H:H),0)</f>
        <v>0</v>
      </c>
      <c r="M432" s="207">
        <f>IFERROR(SUMIF(data!$E:$E,科目余额表!$B432,data!I:I),0)</f>
        <v>0</v>
      </c>
      <c r="N432" s="207">
        <f>IFERROR(SUMIF(data!$E:$E,科目余额表!$B432,data!J:J),0)</f>
        <v>0</v>
      </c>
      <c r="O432" s="207">
        <f>IFERROR(SUMIF(data!$E:$E,科目余额表!$B432,data!K:K),0)</f>
        <v>0</v>
      </c>
      <c r="P432" s="207">
        <f>IFERROR(SUMIF(data!$E:$E,科目余额表!$B432,data!L:L),0)</f>
        <v>0</v>
      </c>
      <c r="Q432" s="207">
        <f>IFERROR(SUMIF(data!$E:$E,科目余额表!$B432,data!M:M),0)</f>
        <v>0</v>
      </c>
      <c r="R432" s="207">
        <f>IFERROR(SUMIF(data!$E:$E,科目余额表!$B432,data!N:N),0)</f>
        <v>0</v>
      </c>
      <c r="S432" s="207">
        <f>IFERROR(SUMIF(data!$E:$E,科目余额表!$B432,data!O:O),0)</f>
        <v>0</v>
      </c>
      <c r="T432" s="207">
        <f>IFERROR(SUMIF(data!$E:$E,科目余额表!$B432,data!P:P),0)</f>
        <v>0</v>
      </c>
      <c r="U432" s="207">
        <f>IFERROR(SUMIF(data!$E:$E,科目余额表!$B432,data!Q:Q),0)</f>
        <v>0</v>
      </c>
      <c r="V432" s="207">
        <f>IFERROR(SUMIF(data!$E:$E,科目余额表!$B432,data!R:R),0)</f>
        <v>0</v>
      </c>
      <c r="W432" s="207">
        <f>IFERROR(SUMIF(data!$E:$E,科目余额表!$B432,data!S:S),0)</f>
        <v>0</v>
      </c>
      <c r="X432" s="207">
        <f t="shared" si="8"/>
        <v>0</v>
      </c>
      <c r="Y432" s="207"/>
      <c r="Z432" s="207"/>
      <c r="AA432" s="207"/>
      <c r="AB432" s="207"/>
      <c r="AC432" s="207"/>
      <c r="AD432" s="207"/>
      <c r="AE432" s="207"/>
      <c r="AF432" s="207"/>
    </row>
    <row r="433" spans="1:32" s="214" customFormat="1" ht="11.65" customHeight="1">
      <c r="A433" s="215"/>
      <c r="B433" s="220">
        <v>52301</v>
      </c>
      <c r="C433" s="205" t="s">
        <v>697</v>
      </c>
      <c r="D433" s="221">
        <f t="shared" si="7"/>
        <v>0</v>
      </c>
      <c r="E433" s="221">
        <v>0</v>
      </c>
      <c r="F433" s="222">
        <f t="shared" si="6"/>
        <v>0</v>
      </c>
      <c r="G433" s="205" t="s">
        <v>694</v>
      </c>
      <c r="H433" s="225" t="s">
        <v>671</v>
      </c>
      <c r="J433" s="207" t="s">
        <v>672</v>
      </c>
      <c r="K433" s="207"/>
      <c r="L433" s="207">
        <f>IFERROR(SUMIF(data!$E:$E,科目余额表!$B433,data!H:H),0)</f>
        <v>0</v>
      </c>
      <c r="M433" s="207">
        <f>IFERROR(SUMIF(data!$E:$E,科目余额表!$B433,data!I:I),0)</f>
        <v>0</v>
      </c>
      <c r="N433" s="207">
        <f>IFERROR(SUMIF(data!$E:$E,科目余额表!$B433,data!J:J),0)</f>
        <v>0</v>
      </c>
      <c r="O433" s="207">
        <f>IFERROR(SUMIF(data!$E:$E,科目余额表!$B433,data!K:K),0)</f>
        <v>0</v>
      </c>
      <c r="P433" s="207">
        <f>IFERROR(SUMIF(data!$E:$E,科目余额表!$B433,data!L:L),0)</f>
        <v>0</v>
      </c>
      <c r="Q433" s="207">
        <f>IFERROR(SUMIF(data!$E:$E,科目余额表!$B433,data!M:M),0)</f>
        <v>0</v>
      </c>
      <c r="R433" s="207">
        <f>IFERROR(SUMIF(data!$E:$E,科目余额表!$B433,data!N:N),0)</f>
        <v>0</v>
      </c>
      <c r="S433" s="207">
        <f>IFERROR(SUMIF(data!$E:$E,科目余额表!$B433,data!O:O),0)</f>
        <v>0</v>
      </c>
      <c r="T433" s="207">
        <f>IFERROR(SUMIF(data!$E:$E,科目余额表!$B433,data!P:P),0)</f>
        <v>0</v>
      </c>
      <c r="U433" s="207">
        <f>IFERROR(SUMIF(data!$E:$E,科目余额表!$B433,data!Q:Q),0)</f>
        <v>0</v>
      </c>
      <c r="V433" s="207">
        <f>IFERROR(SUMIF(data!$E:$E,科目余额表!$B433,data!R:R),0)</f>
        <v>0</v>
      </c>
      <c r="W433" s="207">
        <f>IFERROR(SUMIF(data!$E:$E,科目余额表!$B433,data!S:S),0)</f>
        <v>0</v>
      </c>
      <c r="X433" s="207">
        <f t="shared" si="8"/>
        <v>0</v>
      </c>
      <c r="Y433" s="207"/>
      <c r="Z433" s="207"/>
      <c r="AA433" s="207"/>
      <c r="AB433" s="207"/>
      <c r="AC433" s="207"/>
      <c r="AD433" s="207"/>
      <c r="AE433" s="207"/>
      <c r="AF433" s="207"/>
    </row>
    <row r="434" spans="1:32" s="214" customFormat="1" ht="11.65" customHeight="1">
      <c r="A434" s="215"/>
      <c r="B434" s="220">
        <v>52302</v>
      </c>
      <c r="C434" s="205" t="s">
        <v>698</v>
      </c>
      <c r="D434" s="221">
        <f t="shared" si="7"/>
        <v>0</v>
      </c>
      <c r="E434" s="221">
        <v>0</v>
      </c>
      <c r="F434" s="222">
        <f t="shared" si="6"/>
        <v>0</v>
      </c>
      <c r="G434" s="205" t="s">
        <v>694</v>
      </c>
      <c r="H434" s="225" t="s">
        <v>671</v>
      </c>
      <c r="J434" s="207" t="s">
        <v>672</v>
      </c>
      <c r="K434" s="207"/>
      <c r="L434" s="207">
        <f>IFERROR(SUMIF(data!$E:$E,科目余额表!$B434,data!H:H),0)</f>
        <v>0</v>
      </c>
      <c r="M434" s="207">
        <f>IFERROR(SUMIF(data!$E:$E,科目余额表!$B434,data!I:I),0)</f>
        <v>0</v>
      </c>
      <c r="N434" s="207">
        <f>IFERROR(SUMIF(data!$E:$E,科目余额表!$B434,data!J:J),0)</f>
        <v>0</v>
      </c>
      <c r="O434" s="207">
        <f>IFERROR(SUMIF(data!$E:$E,科目余额表!$B434,data!K:K),0)</f>
        <v>0</v>
      </c>
      <c r="P434" s="207">
        <f>IFERROR(SUMIF(data!$E:$E,科目余额表!$B434,data!L:L),0)</f>
        <v>0</v>
      </c>
      <c r="Q434" s="207">
        <f>IFERROR(SUMIF(data!$E:$E,科目余额表!$B434,data!M:M),0)</f>
        <v>0</v>
      </c>
      <c r="R434" s="207">
        <f>IFERROR(SUMIF(data!$E:$E,科目余额表!$B434,data!N:N),0)</f>
        <v>0</v>
      </c>
      <c r="S434" s="207">
        <f>IFERROR(SUMIF(data!$E:$E,科目余额表!$B434,data!O:O),0)</f>
        <v>0</v>
      </c>
      <c r="T434" s="207">
        <f>IFERROR(SUMIF(data!$E:$E,科目余额表!$B434,data!P:P),0)</f>
        <v>0</v>
      </c>
      <c r="U434" s="207">
        <f>IFERROR(SUMIF(data!$E:$E,科目余额表!$B434,data!Q:Q),0)</f>
        <v>0</v>
      </c>
      <c r="V434" s="207">
        <f>IFERROR(SUMIF(data!$E:$E,科目余额表!$B434,data!R:R),0)</f>
        <v>0</v>
      </c>
      <c r="W434" s="207">
        <f>IFERROR(SUMIF(data!$E:$E,科目余额表!$B434,data!S:S),0)</f>
        <v>0</v>
      </c>
      <c r="X434" s="207">
        <f t="shared" si="8"/>
        <v>0</v>
      </c>
      <c r="Y434" s="207"/>
      <c r="Z434" s="207"/>
      <c r="AA434" s="207"/>
      <c r="AB434" s="207"/>
      <c r="AC434" s="207"/>
      <c r="AD434" s="207"/>
      <c r="AE434" s="207"/>
      <c r="AF434" s="207"/>
    </row>
    <row r="435" spans="1:32" s="214" customFormat="1" ht="11.65" customHeight="1">
      <c r="A435" s="215"/>
      <c r="B435" s="220">
        <v>52303</v>
      </c>
      <c r="C435" s="205" t="s">
        <v>699</v>
      </c>
      <c r="D435" s="221">
        <f t="shared" si="7"/>
        <v>0</v>
      </c>
      <c r="E435" s="221">
        <v>0</v>
      </c>
      <c r="F435" s="222">
        <f t="shared" si="6"/>
        <v>0</v>
      </c>
      <c r="G435" s="205" t="s">
        <v>694</v>
      </c>
      <c r="H435" s="225" t="s">
        <v>671</v>
      </c>
      <c r="J435" s="207" t="s">
        <v>672</v>
      </c>
      <c r="K435" s="207"/>
      <c r="L435" s="207">
        <f>IFERROR(SUMIF(data!$E:$E,科目余额表!$B435,data!H:H),0)</f>
        <v>0</v>
      </c>
      <c r="M435" s="207">
        <f>IFERROR(SUMIF(data!$E:$E,科目余额表!$B435,data!I:I),0)</f>
        <v>0</v>
      </c>
      <c r="N435" s="207">
        <f>IFERROR(SUMIF(data!$E:$E,科目余额表!$B435,data!J:J),0)</f>
        <v>0</v>
      </c>
      <c r="O435" s="207">
        <f>IFERROR(SUMIF(data!$E:$E,科目余额表!$B435,data!K:K),0)</f>
        <v>0</v>
      </c>
      <c r="P435" s="207">
        <f>IFERROR(SUMIF(data!$E:$E,科目余额表!$B435,data!L:L),0)</f>
        <v>0</v>
      </c>
      <c r="Q435" s="207">
        <f>IFERROR(SUMIF(data!$E:$E,科目余额表!$B435,data!M:M),0)</f>
        <v>0</v>
      </c>
      <c r="R435" s="207">
        <f>IFERROR(SUMIF(data!$E:$E,科目余额表!$B435,data!N:N),0)</f>
        <v>0</v>
      </c>
      <c r="S435" s="207">
        <f>IFERROR(SUMIF(data!$E:$E,科目余额表!$B435,data!O:O),0)</f>
        <v>0</v>
      </c>
      <c r="T435" s="207">
        <f>IFERROR(SUMIF(data!$E:$E,科目余额表!$B435,data!P:P),0)</f>
        <v>0</v>
      </c>
      <c r="U435" s="207">
        <f>IFERROR(SUMIF(data!$E:$E,科目余额表!$B435,data!Q:Q),0)</f>
        <v>0</v>
      </c>
      <c r="V435" s="207">
        <f>IFERROR(SUMIF(data!$E:$E,科目余额表!$B435,data!R:R),0)</f>
        <v>0</v>
      </c>
      <c r="W435" s="207">
        <f>IFERROR(SUMIF(data!$E:$E,科目余额表!$B435,data!S:S),0)</f>
        <v>0</v>
      </c>
      <c r="X435" s="207">
        <f t="shared" si="8"/>
        <v>0</v>
      </c>
      <c r="Y435" s="207"/>
      <c r="Z435" s="207"/>
      <c r="AA435" s="207"/>
      <c r="AB435" s="207"/>
      <c r="AC435" s="207"/>
      <c r="AD435" s="207"/>
      <c r="AE435" s="207"/>
      <c r="AF435" s="207"/>
    </row>
    <row r="436" spans="1:32" s="214" customFormat="1" ht="11.65" customHeight="1">
      <c r="A436" s="215"/>
      <c r="B436" s="220">
        <v>52304</v>
      </c>
      <c r="C436" s="205" t="s">
        <v>700</v>
      </c>
      <c r="D436" s="221">
        <f t="shared" si="7"/>
        <v>0</v>
      </c>
      <c r="E436" s="221">
        <v>0</v>
      </c>
      <c r="F436" s="222">
        <f t="shared" si="6"/>
        <v>0</v>
      </c>
      <c r="G436" s="205" t="s">
        <v>694</v>
      </c>
      <c r="H436" s="225" t="s">
        <v>671</v>
      </c>
      <c r="J436" s="207" t="s">
        <v>672</v>
      </c>
      <c r="K436" s="207"/>
      <c r="L436" s="207">
        <f>IFERROR(SUMIF(data!$E:$E,科目余额表!$B436,data!H:H),0)</f>
        <v>0</v>
      </c>
      <c r="M436" s="207">
        <f>IFERROR(SUMIF(data!$E:$E,科目余额表!$B436,data!I:I),0)</f>
        <v>0</v>
      </c>
      <c r="N436" s="207">
        <f>IFERROR(SUMIF(data!$E:$E,科目余额表!$B436,data!J:J),0)</f>
        <v>0</v>
      </c>
      <c r="O436" s="207">
        <f>IFERROR(SUMIF(data!$E:$E,科目余额表!$B436,data!K:K),0)</f>
        <v>0</v>
      </c>
      <c r="P436" s="207">
        <f>IFERROR(SUMIF(data!$E:$E,科目余额表!$B436,data!L:L),0)</f>
        <v>0</v>
      </c>
      <c r="Q436" s="207">
        <f>IFERROR(SUMIF(data!$E:$E,科目余额表!$B436,data!M:M),0)</f>
        <v>0</v>
      </c>
      <c r="R436" s="207">
        <f>IFERROR(SUMIF(data!$E:$E,科目余额表!$B436,data!N:N),0)</f>
        <v>0</v>
      </c>
      <c r="S436" s="207">
        <f>IFERROR(SUMIF(data!$E:$E,科目余额表!$B436,data!O:O),0)</f>
        <v>0</v>
      </c>
      <c r="T436" s="207">
        <f>IFERROR(SUMIF(data!$E:$E,科目余额表!$B436,data!P:P),0)</f>
        <v>0</v>
      </c>
      <c r="U436" s="207">
        <f>IFERROR(SUMIF(data!$E:$E,科目余额表!$B436,data!Q:Q),0)</f>
        <v>0</v>
      </c>
      <c r="V436" s="207">
        <f>IFERROR(SUMIF(data!$E:$E,科目余额表!$B436,data!R:R),0)</f>
        <v>0</v>
      </c>
      <c r="W436" s="207">
        <f>IFERROR(SUMIF(data!$E:$E,科目余额表!$B436,data!S:S),0)</f>
        <v>0</v>
      </c>
      <c r="X436" s="207">
        <f t="shared" si="8"/>
        <v>0</v>
      </c>
      <c r="Y436" s="207"/>
      <c r="Z436" s="207"/>
      <c r="AA436" s="207"/>
      <c r="AB436" s="207"/>
      <c r="AC436" s="207"/>
      <c r="AD436" s="207"/>
      <c r="AE436" s="207"/>
      <c r="AF436" s="207"/>
    </row>
    <row r="437" spans="1:32" s="214" customFormat="1" ht="11.65" customHeight="1">
      <c r="A437" s="215"/>
      <c r="B437" s="220">
        <v>52305</v>
      </c>
      <c r="C437" s="205" t="s">
        <v>701</v>
      </c>
      <c r="D437" s="221">
        <f t="shared" si="7"/>
        <v>0</v>
      </c>
      <c r="E437" s="221">
        <v>0</v>
      </c>
      <c r="F437" s="222">
        <f t="shared" si="6"/>
        <v>0</v>
      </c>
      <c r="G437" s="205" t="s">
        <v>694</v>
      </c>
      <c r="H437" s="225" t="s">
        <v>671</v>
      </c>
      <c r="J437" s="207" t="s">
        <v>672</v>
      </c>
      <c r="K437" s="207"/>
      <c r="L437" s="207">
        <f>IFERROR(SUMIF(data!$E:$E,科目余额表!$B437,data!H:H),0)</f>
        <v>0</v>
      </c>
      <c r="M437" s="207">
        <f>IFERROR(SUMIF(data!$E:$E,科目余额表!$B437,data!I:I),0)</f>
        <v>0</v>
      </c>
      <c r="N437" s="207">
        <f>IFERROR(SUMIF(data!$E:$E,科目余额表!$B437,data!J:J),0)</f>
        <v>0</v>
      </c>
      <c r="O437" s="207">
        <f>IFERROR(SUMIF(data!$E:$E,科目余额表!$B437,data!K:K),0)</f>
        <v>0</v>
      </c>
      <c r="P437" s="207">
        <f>IFERROR(SUMIF(data!$E:$E,科目余额表!$B437,data!L:L),0)</f>
        <v>0</v>
      </c>
      <c r="Q437" s="207">
        <f>IFERROR(SUMIF(data!$E:$E,科目余额表!$B437,data!M:M),0)</f>
        <v>0</v>
      </c>
      <c r="R437" s="207">
        <f>IFERROR(SUMIF(data!$E:$E,科目余额表!$B437,data!N:N),0)</f>
        <v>0</v>
      </c>
      <c r="S437" s="207">
        <f>IFERROR(SUMIF(data!$E:$E,科目余额表!$B437,data!O:O),0)</f>
        <v>0</v>
      </c>
      <c r="T437" s="207">
        <f>IFERROR(SUMIF(data!$E:$E,科目余额表!$B437,data!P:P),0)</f>
        <v>0</v>
      </c>
      <c r="U437" s="207">
        <f>IFERROR(SUMIF(data!$E:$E,科目余额表!$B437,data!Q:Q),0)</f>
        <v>0</v>
      </c>
      <c r="V437" s="207">
        <f>IFERROR(SUMIF(data!$E:$E,科目余额表!$B437,data!R:R),0)</f>
        <v>0</v>
      </c>
      <c r="W437" s="207">
        <f>IFERROR(SUMIF(data!$E:$E,科目余额表!$B437,data!S:S),0)</f>
        <v>0</v>
      </c>
      <c r="X437" s="207">
        <f t="shared" si="8"/>
        <v>0</v>
      </c>
      <c r="Y437" s="207"/>
      <c r="Z437" s="207"/>
      <c r="AA437" s="207"/>
      <c r="AB437" s="207"/>
      <c r="AC437" s="207"/>
      <c r="AD437" s="207"/>
      <c r="AE437" s="207"/>
      <c r="AF437" s="207"/>
    </row>
    <row r="438" spans="1:32" s="214" customFormat="1" ht="11.65" customHeight="1">
      <c r="A438" s="215"/>
      <c r="B438" s="220">
        <v>52306</v>
      </c>
      <c r="C438" s="205" t="s">
        <v>702</v>
      </c>
      <c r="D438" s="221">
        <f t="shared" si="7"/>
        <v>0</v>
      </c>
      <c r="E438" s="221">
        <v>0</v>
      </c>
      <c r="F438" s="222">
        <f t="shared" si="6"/>
        <v>0</v>
      </c>
      <c r="G438" s="205" t="s">
        <v>694</v>
      </c>
      <c r="H438" s="225" t="s">
        <v>671</v>
      </c>
      <c r="J438" s="207" t="s">
        <v>672</v>
      </c>
      <c r="K438" s="207"/>
      <c r="L438" s="207">
        <f>IFERROR(SUMIF(data!$E:$E,科目余额表!$B438,data!H:H),0)</f>
        <v>0</v>
      </c>
      <c r="M438" s="207">
        <f>IFERROR(SUMIF(data!$E:$E,科目余额表!$B438,data!I:I),0)</f>
        <v>0</v>
      </c>
      <c r="N438" s="207">
        <f>IFERROR(SUMIF(data!$E:$E,科目余额表!$B438,data!J:J),0)</f>
        <v>0</v>
      </c>
      <c r="O438" s="207">
        <f>IFERROR(SUMIF(data!$E:$E,科目余额表!$B438,data!K:K),0)</f>
        <v>0</v>
      </c>
      <c r="P438" s="207">
        <f>IFERROR(SUMIF(data!$E:$E,科目余额表!$B438,data!L:L),0)</f>
        <v>0</v>
      </c>
      <c r="Q438" s="207">
        <f>IFERROR(SUMIF(data!$E:$E,科目余额表!$B438,data!M:M),0)</f>
        <v>0</v>
      </c>
      <c r="R438" s="207">
        <f>IFERROR(SUMIF(data!$E:$E,科目余额表!$B438,data!N:N),0)</f>
        <v>0</v>
      </c>
      <c r="S438" s="207">
        <f>IFERROR(SUMIF(data!$E:$E,科目余额表!$B438,data!O:O),0)</f>
        <v>0</v>
      </c>
      <c r="T438" s="207">
        <f>IFERROR(SUMIF(data!$E:$E,科目余额表!$B438,data!P:P),0)</f>
        <v>0</v>
      </c>
      <c r="U438" s="207">
        <f>IFERROR(SUMIF(data!$E:$E,科目余额表!$B438,data!Q:Q),0)</f>
        <v>0</v>
      </c>
      <c r="V438" s="207">
        <f>IFERROR(SUMIF(data!$E:$E,科目余额表!$B438,data!R:R),0)</f>
        <v>0</v>
      </c>
      <c r="W438" s="207">
        <f>IFERROR(SUMIF(data!$E:$E,科目余额表!$B438,data!S:S),0)</f>
        <v>0</v>
      </c>
      <c r="X438" s="207">
        <f t="shared" si="8"/>
        <v>0</v>
      </c>
      <c r="Y438" s="207"/>
      <c r="Z438" s="207"/>
      <c r="AA438" s="207"/>
      <c r="AB438" s="207"/>
      <c r="AC438" s="207"/>
      <c r="AD438" s="207"/>
      <c r="AE438" s="207"/>
      <c r="AF438" s="207"/>
    </row>
    <row r="439" spans="1:32" s="214" customFormat="1" ht="11.65" customHeight="1">
      <c r="A439" s="215"/>
      <c r="B439" s="220">
        <v>52307</v>
      </c>
      <c r="C439" s="205" t="s">
        <v>703</v>
      </c>
      <c r="D439" s="221">
        <f t="shared" si="7"/>
        <v>0.97999999999956344</v>
      </c>
      <c r="E439" s="221">
        <v>13584.91</v>
      </c>
      <c r="F439" s="222">
        <f t="shared" si="6"/>
        <v>13585.89</v>
      </c>
      <c r="G439" s="205" t="s">
        <v>694</v>
      </c>
      <c r="H439" s="225" t="s">
        <v>671</v>
      </c>
      <c r="J439" s="207" t="s">
        <v>672</v>
      </c>
      <c r="K439" s="207"/>
      <c r="L439" s="207">
        <f>IFERROR(SUMIF(data!$E:$E,科目余额表!$B439,data!H:H),0)</f>
        <v>-0.97999999999956344</v>
      </c>
      <c r="M439" s="207">
        <f>IFERROR(SUMIF(data!$E:$E,科目余额表!$B439,data!I:I),0)</f>
        <v>0</v>
      </c>
      <c r="N439" s="207">
        <f>IFERROR(SUMIF(data!$E:$E,科目余额表!$B439,data!J:J),0)</f>
        <v>0</v>
      </c>
      <c r="O439" s="207">
        <f>IFERROR(SUMIF(data!$E:$E,科目余额表!$B439,data!K:K),0)</f>
        <v>0</v>
      </c>
      <c r="P439" s="207">
        <f>IFERROR(SUMIF(data!$E:$E,科目余额表!$B439,data!L:L),0)</f>
        <v>0</v>
      </c>
      <c r="Q439" s="207">
        <f>IFERROR(SUMIF(data!$E:$E,科目余额表!$B439,data!M:M),0)</f>
        <v>0</v>
      </c>
      <c r="R439" s="207">
        <f>IFERROR(SUMIF(data!$E:$E,科目余额表!$B439,data!N:N),0)</f>
        <v>0</v>
      </c>
      <c r="S439" s="207">
        <f>IFERROR(SUMIF(data!$E:$E,科目余额表!$B439,data!O:O),0)</f>
        <v>0</v>
      </c>
      <c r="T439" s="207">
        <f>IFERROR(SUMIF(data!$E:$E,科目余额表!$B439,data!P:P),0)</f>
        <v>0</v>
      </c>
      <c r="U439" s="207">
        <f>IFERROR(SUMIF(data!$E:$E,科目余额表!$B439,data!Q:Q),0)</f>
        <v>0</v>
      </c>
      <c r="V439" s="207">
        <f>IFERROR(SUMIF(data!$E:$E,科目余额表!$B439,data!R:R),0)</f>
        <v>0</v>
      </c>
      <c r="W439" s="207">
        <f>IFERROR(SUMIF(data!$E:$E,科目余额表!$B439,data!S:S),0)</f>
        <v>-13584.91</v>
      </c>
      <c r="X439" s="207">
        <f t="shared" si="8"/>
        <v>-13585.89</v>
      </c>
      <c r="Y439" s="207"/>
      <c r="Z439" s="207"/>
      <c r="AA439" s="207"/>
      <c r="AB439" s="207"/>
      <c r="AC439" s="207"/>
      <c r="AD439" s="207"/>
      <c r="AE439" s="207"/>
      <c r="AF439" s="207"/>
    </row>
    <row r="440" spans="1:32" s="214" customFormat="1" ht="11.65" customHeight="1">
      <c r="A440" s="215"/>
      <c r="B440" s="220">
        <v>52308</v>
      </c>
      <c r="C440" s="205" t="s">
        <v>704</v>
      </c>
      <c r="D440" s="221">
        <f t="shared" si="7"/>
        <v>188386.40999999997</v>
      </c>
      <c r="E440" s="221">
        <v>18219.62</v>
      </c>
      <c r="F440" s="222">
        <f t="shared" si="6"/>
        <v>206606.02999999997</v>
      </c>
      <c r="G440" s="205" t="s">
        <v>694</v>
      </c>
      <c r="H440" s="225" t="s">
        <v>671</v>
      </c>
      <c r="J440" s="207" t="s">
        <v>672</v>
      </c>
      <c r="K440" s="207"/>
      <c r="L440" s="207">
        <f>IFERROR(SUMIF(data!$E:$E,科目余额表!$B440,data!H:H),0)</f>
        <v>-19727.240000000002</v>
      </c>
      <c r="M440" s="207">
        <f>IFERROR(SUMIF(data!$E:$E,科目余额表!$B440,data!I:I),0)</f>
        <v>-15197.509999999998</v>
      </c>
      <c r="N440" s="207">
        <f>IFERROR(SUMIF(data!$E:$E,科目余额表!$B440,data!J:J),0)</f>
        <v>-21854.839999999997</v>
      </c>
      <c r="O440" s="207">
        <f>IFERROR(SUMIF(data!$E:$E,科目余额表!$B440,data!K:K),0)</f>
        <v>-16440.599999999999</v>
      </c>
      <c r="P440" s="207">
        <f>IFERROR(SUMIF(data!$E:$E,科目余额表!$B440,data!L:L),0)</f>
        <v>-18757.46</v>
      </c>
      <c r="Q440" s="207">
        <f>IFERROR(SUMIF(data!$E:$E,科目余额表!$B440,data!M:M),0)</f>
        <v>-16809.999999999996</v>
      </c>
      <c r="R440" s="207">
        <f>IFERROR(SUMIF(data!$E:$E,科目余额表!$B440,data!N:N),0)</f>
        <v>-15508.7</v>
      </c>
      <c r="S440" s="207">
        <f>IFERROR(SUMIF(data!$E:$E,科目余额表!$B440,data!O:O),0)</f>
        <v>-15261.469999999998</v>
      </c>
      <c r="T440" s="207">
        <f>IFERROR(SUMIF(data!$E:$E,科目余额表!$B440,data!P:P),0)</f>
        <v>-19336.930000000004</v>
      </c>
      <c r="U440" s="207">
        <f>IFERROR(SUMIF(data!$E:$E,科目余额表!$B440,data!Q:Q),0)</f>
        <v>-14186.96</v>
      </c>
      <c r="V440" s="207">
        <f>IFERROR(SUMIF(data!$E:$E,科目余额表!$B440,data!R:R),0)</f>
        <v>-15304.7</v>
      </c>
      <c r="W440" s="207">
        <f>IFERROR(SUMIF(data!$E:$E,科目余额表!$B440,data!S:S),0)</f>
        <v>-18219.62</v>
      </c>
      <c r="X440" s="207">
        <f t="shared" si="8"/>
        <v>-206606.02999999997</v>
      </c>
      <c r="Y440" s="207"/>
      <c r="Z440" s="207"/>
      <c r="AA440" s="207"/>
      <c r="AB440" s="207"/>
      <c r="AC440" s="207"/>
      <c r="AD440" s="207"/>
      <c r="AE440" s="207"/>
      <c r="AF440" s="207"/>
    </row>
    <row r="441" spans="1:32" s="214" customFormat="1" ht="11.65" customHeight="1">
      <c r="A441" s="215"/>
      <c r="B441" s="220">
        <v>52309</v>
      </c>
      <c r="C441" s="205" t="s">
        <v>705</v>
      </c>
      <c r="D441" s="221">
        <f t="shared" si="7"/>
        <v>0</v>
      </c>
      <c r="E441" s="221">
        <v>0</v>
      </c>
      <c r="F441" s="222">
        <f t="shared" si="6"/>
        <v>0</v>
      </c>
      <c r="G441" s="205" t="s">
        <v>694</v>
      </c>
      <c r="H441" s="225" t="s">
        <v>671</v>
      </c>
      <c r="J441" s="207" t="s">
        <v>672</v>
      </c>
      <c r="K441" s="207"/>
      <c r="L441" s="207">
        <f>IFERROR(SUMIF(data!$E:$E,科目余额表!$B441,data!H:H),0)</f>
        <v>0</v>
      </c>
      <c r="M441" s="207">
        <f>IFERROR(SUMIF(data!$E:$E,科目余额表!$B441,data!I:I),0)</f>
        <v>0</v>
      </c>
      <c r="N441" s="207">
        <f>IFERROR(SUMIF(data!$E:$E,科目余额表!$B441,data!J:J),0)</f>
        <v>0</v>
      </c>
      <c r="O441" s="207">
        <f>IFERROR(SUMIF(data!$E:$E,科目余额表!$B441,data!K:K),0)</f>
        <v>0</v>
      </c>
      <c r="P441" s="207">
        <f>IFERROR(SUMIF(data!$E:$E,科目余额表!$B441,data!L:L),0)</f>
        <v>0</v>
      </c>
      <c r="Q441" s="207">
        <f>IFERROR(SUMIF(data!$E:$E,科目余额表!$B441,data!M:M),0)</f>
        <v>0</v>
      </c>
      <c r="R441" s="207">
        <f>IFERROR(SUMIF(data!$E:$E,科目余额表!$B441,data!N:N),0)</f>
        <v>0</v>
      </c>
      <c r="S441" s="207">
        <f>IFERROR(SUMIF(data!$E:$E,科目余额表!$B441,data!O:O),0)</f>
        <v>0</v>
      </c>
      <c r="T441" s="207">
        <f>IFERROR(SUMIF(data!$E:$E,科目余额表!$B441,data!P:P),0)</f>
        <v>0</v>
      </c>
      <c r="U441" s="207">
        <f>IFERROR(SUMIF(data!$E:$E,科目余额表!$B441,data!Q:Q),0)</f>
        <v>0</v>
      </c>
      <c r="V441" s="207">
        <f>IFERROR(SUMIF(data!$E:$E,科目余额表!$B441,data!R:R),0)</f>
        <v>0</v>
      </c>
      <c r="W441" s="207">
        <f>IFERROR(SUMIF(data!$E:$E,科目余额表!$B441,data!S:S),0)</f>
        <v>0</v>
      </c>
      <c r="X441" s="207">
        <f t="shared" si="8"/>
        <v>0</v>
      </c>
      <c r="Y441" s="207"/>
      <c r="Z441" s="207"/>
      <c r="AA441" s="207"/>
      <c r="AB441" s="207"/>
      <c r="AC441" s="207"/>
      <c r="AD441" s="207"/>
      <c r="AE441" s="207"/>
      <c r="AF441" s="207"/>
    </row>
    <row r="442" spans="1:32" s="214" customFormat="1" ht="11.65" customHeight="1">
      <c r="A442" s="215"/>
      <c r="B442" s="220">
        <v>52310</v>
      </c>
      <c r="C442" s="205" t="s">
        <v>706</v>
      </c>
      <c r="D442" s="221">
        <f t="shared" si="7"/>
        <v>142653.03</v>
      </c>
      <c r="E442" s="221">
        <v>14767.05</v>
      </c>
      <c r="F442" s="222">
        <f t="shared" si="6"/>
        <v>157420.07999999999</v>
      </c>
      <c r="G442" s="205" t="s">
        <v>694</v>
      </c>
      <c r="H442" s="225" t="s">
        <v>671</v>
      </c>
      <c r="J442" s="207" t="s">
        <v>672</v>
      </c>
      <c r="K442" s="207"/>
      <c r="L442" s="207">
        <f>IFERROR(SUMIF(data!$E:$E,科目余额表!$B442,data!H:H),0)</f>
        <v>-12935.23</v>
      </c>
      <c r="M442" s="207">
        <f>IFERROR(SUMIF(data!$E:$E,科目余额表!$B442,data!I:I),0)</f>
        <v>-9757.2699999999986</v>
      </c>
      <c r="N442" s="207">
        <f>IFERROR(SUMIF(data!$E:$E,科目余额表!$B442,data!J:J),0)</f>
        <v>-14158.32</v>
      </c>
      <c r="O442" s="207">
        <f>IFERROR(SUMIF(data!$E:$E,科目余额表!$B442,data!K:K),0)</f>
        <v>-14967.669999999998</v>
      </c>
      <c r="P442" s="207">
        <f>IFERROR(SUMIF(data!$E:$E,科目余额表!$B442,data!L:L),0)</f>
        <v>-12652.489999999998</v>
      </c>
      <c r="Q442" s="207">
        <f>IFERROR(SUMIF(data!$E:$E,科目余额表!$B442,data!M:M),0)</f>
        <v>-12971.410000000002</v>
      </c>
      <c r="R442" s="207">
        <f>IFERROR(SUMIF(data!$E:$E,科目余额表!$B442,data!N:N),0)</f>
        <v>-11716.81</v>
      </c>
      <c r="S442" s="207">
        <f>IFERROR(SUMIF(data!$E:$E,科目余额表!$B442,data!O:O),0)</f>
        <v>-16770.200000000004</v>
      </c>
      <c r="T442" s="207">
        <f>IFERROR(SUMIF(data!$E:$E,科目余额表!$B442,data!P:P),0)</f>
        <v>-13119.23</v>
      </c>
      <c r="U442" s="207">
        <f>IFERROR(SUMIF(data!$E:$E,科目余额表!$B442,data!Q:Q),0)</f>
        <v>-12178.699999999999</v>
      </c>
      <c r="V442" s="207">
        <f>IFERROR(SUMIF(data!$E:$E,科目余额表!$B442,data!R:R),0)</f>
        <v>-11425.7</v>
      </c>
      <c r="W442" s="207">
        <f>IFERROR(SUMIF(data!$E:$E,科目余额表!$B442,data!S:S),0)</f>
        <v>-14767.05</v>
      </c>
      <c r="X442" s="207">
        <f t="shared" si="8"/>
        <v>-157420.07999999999</v>
      </c>
      <c r="Y442" s="207"/>
      <c r="Z442" s="207"/>
      <c r="AA442" s="207"/>
      <c r="AB442" s="207"/>
      <c r="AC442" s="207"/>
      <c r="AD442" s="207"/>
      <c r="AE442" s="207"/>
      <c r="AF442" s="207"/>
    </row>
    <row r="443" spans="1:32" s="214" customFormat="1" ht="11.65" customHeight="1">
      <c r="A443" s="215"/>
      <c r="B443" s="220">
        <v>52311</v>
      </c>
      <c r="C443" s="205" t="s">
        <v>707</v>
      </c>
      <c r="D443" s="221">
        <f t="shared" si="7"/>
        <v>0</v>
      </c>
      <c r="E443" s="221">
        <v>0</v>
      </c>
      <c r="F443" s="222">
        <f t="shared" si="6"/>
        <v>0</v>
      </c>
      <c r="G443" s="205" t="s">
        <v>694</v>
      </c>
      <c r="H443" s="225" t="s">
        <v>671</v>
      </c>
      <c r="J443" s="207" t="s">
        <v>672</v>
      </c>
      <c r="K443" s="207"/>
      <c r="L443" s="207">
        <f>IFERROR(SUMIF(data!$E:$E,科目余额表!$B443,data!H:H),0)</f>
        <v>0</v>
      </c>
      <c r="M443" s="207">
        <f>IFERROR(SUMIF(data!$E:$E,科目余额表!$B443,data!I:I),0)</f>
        <v>0</v>
      </c>
      <c r="N443" s="207">
        <f>IFERROR(SUMIF(data!$E:$E,科目余额表!$B443,data!J:J),0)</f>
        <v>0</v>
      </c>
      <c r="O443" s="207">
        <f>IFERROR(SUMIF(data!$E:$E,科目余额表!$B443,data!K:K),0)</f>
        <v>0</v>
      </c>
      <c r="P443" s="207">
        <f>IFERROR(SUMIF(data!$E:$E,科目余额表!$B443,data!L:L),0)</f>
        <v>0</v>
      </c>
      <c r="Q443" s="207">
        <f>IFERROR(SUMIF(data!$E:$E,科目余额表!$B443,data!M:M),0)</f>
        <v>0</v>
      </c>
      <c r="R443" s="207">
        <f>IFERROR(SUMIF(data!$E:$E,科目余额表!$B443,data!N:N),0)</f>
        <v>0</v>
      </c>
      <c r="S443" s="207">
        <f>IFERROR(SUMIF(data!$E:$E,科目余额表!$B443,data!O:O),0)</f>
        <v>0</v>
      </c>
      <c r="T443" s="207">
        <f>IFERROR(SUMIF(data!$E:$E,科目余额表!$B443,data!P:P),0)</f>
        <v>0</v>
      </c>
      <c r="U443" s="207">
        <f>IFERROR(SUMIF(data!$E:$E,科目余额表!$B443,data!Q:Q),0)</f>
        <v>0</v>
      </c>
      <c r="V443" s="207">
        <f>IFERROR(SUMIF(data!$E:$E,科目余额表!$B443,data!R:R),0)</f>
        <v>0</v>
      </c>
      <c r="W443" s="207">
        <f>IFERROR(SUMIF(data!$E:$E,科目余额表!$B443,data!S:S),0)</f>
        <v>0</v>
      </c>
      <c r="X443" s="207">
        <f t="shared" si="8"/>
        <v>0</v>
      </c>
      <c r="Y443" s="207"/>
      <c r="Z443" s="207"/>
      <c r="AA443" s="207"/>
      <c r="AB443" s="207"/>
      <c r="AC443" s="207"/>
      <c r="AD443" s="207"/>
      <c r="AE443" s="207"/>
      <c r="AF443" s="207"/>
    </row>
    <row r="444" spans="1:32" s="214" customFormat="1" ht="11.65" customHeight="1">
      <c r="A444" s="215"/>
      <c r="B444" s="220">
        <v>52312</v>
      </c>
      <c r="C444" s="205" t="s">
        <v>708</v>
      </c>
      <c r="D444" s="221">
        <f t="shared" si="7"/>
        <v>0</v>
      </c>
      <c r="E444" s="221">
        <v>0</v>
      </c>
      <c r="F444" s="222">
        <f t="shared" si="6"/>
        <v>0</v>
      </c>
      <c r="G444" s="205" t="s">
        <v>694</v>
      </c>
      <c r="H444" s="225" t="s">
        <v>671</v>
      </c>
      <c r="J444" s="207" t="s">
        <v>672</v>
      </c>
      <c r="K444" s="207"/>
      <c r="L444" s="207">
        <f>IFERROR(SUMIF(data!$E:$E,科目余额表!$B444,data!H:H),0)</f>
        <v>0</v>
      </c>
      <c r="M444" s="207">
        <f>IFERROR(SUMIF(data!$E:$E,科目余额表!$B444,data!I:I),0)</f>
        <v>0</v>
      </c>
      <c r="N444" s="207">
        <f>IFERROR(SUMIF(data!$E:$E,科目余额表!$B444,data!J:J),0)</f>
        <v>0</v>
      </c>
      <c r="O444" s="207">
        <f>IFERROR(SUMIF(data!$E:$E,科目余额表!$B444,data!K:K),0)</f>
        <v>0</v>
      </c>
      <c r="P444" s="207">
        <f>IFERROR(SUMIF(data!$E:$E,科目余额表!$B444,data!L:L),0)</f>
        <v>0</v>
      </c>
      <c r="Q444" s="207">
        <f>IFERROR(SUMIF(data!$E:$E,科目余额表!$B444,data!M:M),0)</f>
        <v>0</v>
      </c>
      <c r="R444" s="207">
        <f>IFERROR(SUMIF(data!$E:$E,科目余额表!$B444,data!N:N),0)</f>
        <v>0</v>
      </c>
      <c r="S444" s="207">
        <f>IFERROR(SUMIF(data!$E:$E,科目余额表!$B444,data!O:O),0)</f>
        <v>0</v>
      </c>
      <c r="T444" s="207">
        <f>IFERROR(SUMIF(data!$E:$E,科目余额表!$B444,data!P:P),0)</f>
        <v>0</v>
      </c>
      <c r="U444" s="207">
        <f>IFERROR(SUMIF(data!$E:$E,科目余额表!$B444,data!Q:Q),0)</f>
        <v>0</v>
      </c>
      <c r="V444" s="207">
        <f>IFERROR(SUMIF(data!$E:$E,科目余额表!$B444,data!R:R),0)</f>
        <v>0</v>
      </c>
      <c r="W444" s="207">
        <f>IFERROR(SUMIF(data!$E:$E,科目余额表!$B444,data!S:S),0)</f>
        <v>0</v>
      </c>
      <c r="X444" s="207">
        <f t="shared" si="8"/>
        <v>0</v>
      </c>
      <c r="Y444" s="207"/>
      <c r="Z444" s="207"/>
      <c r="AA444" s="207"/>
      <c r="AB444" s="207"/>
      <c r="AC444" s="207"/>
      <c r="AD444" s="207"/>
      <c r="AE444" s="207"/>
      <c r="AF444" s="207"/>
    </row>
    <row r="445" spans="1:32" s="214" customFormat="1" ht="11.65" customHeight="1">
      <c r="A445" s="215"/>
      <c r="B445" s="220">
        <v>52313</v>
      </c>
      <c r="C445" s="205" t="s">
        <v>709</v>
      </c>
      <c r="D445" s="221">
        <f t="shared" si="7"/>
        <v>0</v>
      </c>
      <c r="E445" s="221">
        <v>0</v>
      </c>
      <c r="F445" s="222">
        <f t="shared" si="6"/>
        <v>0</v>
      </c>
      <c r="G445" s="205" t="s">
        <v>694</v>
      </c>
      <c r="H445" s="225" t="s">
        <v>671</v>
      </c>
      <c r="J445" s="207" t="s">
        <v>672</v>
      </c>
      <c r="K445" s="207"/>
      <c r="L445" s="207">
        <f>IFERROR(SUMIF(data!$E:$E,科目余额表!$B445,data!H:H),0)</f>
        <v>0</v>
      </c>
      <c r="M445" s="207">
        <f>IFERROR(SUMIF(data!$E:$E,科目余额表!$B445,data!I:I),0)</f>
        <v>0</v>
      </c>
      <c r="N445" s="207">
        <f>IFERROR(SUMIF(data!$E:$E,科目余额表!$B445,data!J:J),0)</f>
        <v>0</v>
      </c>
      <c r="O445" s="207">
        <f>IFERROR(SUMIF(data!$E:$E,科目余额表!$B445,data!K:K),0)</f>
        <v>0</v>
      </c>
      <c r="P445" s="207">
        <f>IFERROR(SUMIF(data!$E:$E,科目余额表!$B445,data!L:L),0)</f>
        <v>0</v>
      </c>
      <c r="Q445" s="207">
        <f>IFERROR(SUMIF(data!$E:$E,科目余额表!$B445,data!M:M),0)</f>
        <v>0</v>
      </c>
      <c r="R445" s="207">
        <f>IFERROR(SUMIF(data!$E:$E,科目余额表!$B445,data!N:N),0)</f>
        <v>0</v>
      </c>
      <c r="S445" s="207">
        <f>IFERROR(SUMIF(data!$E:$E,科目余额表!$B445,data!O:O),0)</f>
        <v>0</v>
      </c>
      <c r="T445" s="207">
        <f>IFERROR(SUMIF(data!$E:$E,科目余额表!$B445,data!P:P),0)</f>
        <v>0</v>
      </c>
      <c r="U445" s="207">
        <f>IFERROR(SUMIF(data!$E:$E,科目余额表!$B445,data!Q:Q),0)</f>
        <v>0</v>
      </c>
      <c r="V445" s="207">
        <f>IFERROR(SUMIF(data!$E:$E,科目余额表!$B445,data!R:R),0)</f>
        <v>0</v>
      </c>
      <c r="W445" s="207">
        <f>IFERROR(SUMIF(data!$E:$E,科目余额表!$B445,data!S:S),0)</f>
        <v>0</v>
      </c>
      <c r="X445" s="207">
        <f t="shared" si="8"/>
        <v>0</v>
      </c>
      <c r="Y445" s="207"/>
      <c r="Z445" s="207"/>
      <c r="AA445" s="207"/>
      <c r="AB445" s="207"/>
      <c r="AC445" s="207"/>
      <c r="AD445" s="207"/>
      <c r="AE445" s="207"/>
      <c r="AF445" s="207"/>
    </row>
    <row r="446" spans="1:32" s="214" customFormat="1" ht="11.65" customHeight="1">
      <c r="A446" s="215"/>
      <c r="B446" s="220">
        <v>52314</v>
      </c>
      <c r="C446" s="205" t="s">
        <v>710</v>
      </c>
      <c r="D446" s="221">
        <f t="shared" si="7"/>
        <v>268208.57999999996</v>
      </c>
      <c r="E446" s="221">
        <v>6550</v>
      </c>
      <c r="F446" s="222">
        <f t="shared" si="6"/>
        <v>274758.57999999996</v>
      </c>
      <c r="G446" s="205" t="s">
        <v>694</v>
      </c>
      <c r="H446" s="225" t="s">
        <v>671</v>
      </c>
      <c r="J446" s="207" t="s">
        <v>672</v>
      </c>
      <c r="K446" s="207"/>
      <c r="L446" s="207">
        <f>IFERROR(SUMIF(data!$E:$E,科目余额表!$B446,data!H:H),0)</f>
        <v>-35185.599999999999</v>
      </c>
      <c r="M446" s="207">
        <f>IFERROR(SUMIF(data!$E:$E,科目余额表!$B446,data!I:I),0)</f>
        <v>-36247.270000000004</v>
      </c>
      <c r="N446" s="207">
        <f>IFERROR(SUMIF(data!$E:$E,科目余额表!$B446,data!J:J),0)</f>
        <v>-9566</v>
      </c>
      <c r="O446" s="207">
        <f>IFERROR(SUMIF(data!$E:$E,科目余额表!$B446,data!K:K),0)</f>
        <v>-7000</v>
      </c>
      <c r="P446" s="207">
        <f>IFERROR(SUMIF(data!$E:$E,科目余额表!$B446,data!L:L),0)</f>
        <v>-15473.810000000001</v>
      </c>
      <c r="Q446" s="207">
        <f>IFERROR(SUMIF(data!$E:$E,科目余额表!$B446,data!M:M),0)</f>
        <v>-9157.73</v>
      </c>
      <c r="R446" s="207">
        <f>IFERROR(SUMIF(data!$E:$E,科目余额表!$B446,data!N:N),0)</f>
        <v>-40780.17</v>
      </c>
      <c r="S446" s="207">
        <f>IFERROR(SUMIF(data!$E:$E,科目余额表!$B446,data!O:O),0)</f>
        <v>-14500</v>
      </c>
      <c r="T446" s="207">
        <f>IFERROR(SUMIF(data!$E:$E,科目余额表!$B446,data!P:P),0)</f>
        <v>-94998</v>
      </c>
      <c r="U446" s="207">
        <f>IFERROR(SUMIF(data!$E:$E,科目余额表!$B446,data!Q:Q),0)</f>
        <v>1250</v>
      </c>
      <c r="V446" s="207">
        <f>IFERROR(SUMIF(data!$E:$E,科目余额表!$B446,data!R:R),0)</f>
        <v>-6550</v>
      </c>
      <c r="W446" s="207">
        <f>IFERROR(SUMIF(data!$E:$E,科目余额表!$B446,data!S:S),0)</f>
        <v>-6550</v>
      </c>
      <c r="X446" s="207">
        <f t="shared" si="8"/>
        <v>-274758.57999999996</v>
      </c>
      <c r="Y446" s="207"/>
      <c r="Z446" s="207"/>
      <c r="AA446" s="207"/>
      <c r="AB446" s="207"/>
      <c r="AC446" s="207"/>
      <c r="AD446" s="207"/>
      <c r="AE446" s="207"/>
      <c r="AF446" s="207"/>
    </row>
    <row r="447" spans="1:32" s="214" customFormat="1" ht="11.65" customHeight="1">
      <c r="A447" s="215"/>
      <c r="B447" s="220">
        <v>52315</v>
      </c>
      <c r="C447" s="205" t="s">
        <v>711</v>
      </c>
      <c r="D447" s="221">
        <f t="shared" si="7"/>
        <v>0</v>
      </c>
      <c r="E447" s="221">
        <v>0</v>
      </c>
      <c r="F447" s="222">
        <f t="shared" si="6"/>
        <v>0</v>
      </c>
      <c r="G447" s="205" t="s">
        <v>694</v>
      </c>
      <c r="H447" s="225" t="s">
        <v>671</v>
      </c>
      <c r="J447" s="207" t="s">
        <v>672</v>
      </c>
      <c r="K447" s="207"/>
      <c r="L447" s="207">
        <f>IFERROR(SUMIF(data!$E:$E,科目余额表!$B447,data!H:H),0)</f>
        <v>0</v>
      </c>
      <c r="M447" s="207">
        <f>IFERROR(SUMIF(data!$E:$E,科目余额表!$B447,data!I:I),0)</f>
        <v>0</v>
      </c>
      <c r="N447" s="207">
        <f>IFERROR(SUMIF(data!$E:$E,科目余额表!$B447,data!J:J),0)</f>
        <v>0</v>
      </c>
      <c r="O447" s="207">
        <f>IFERROR(SUMIF(data!$E:$E,科目余额表!$B447,data!K:K),0)</f>
        <v>0</v>
      </c>
      <c r="P447" s="207">
        <f>IFERROR(SUMIF(data!$E:$E,科目余额表!$B447,data!L:L),0)</f>
        <v>0</v>
      </c>
      <c r="Q447" s="207">
        <f>IFERROR(SUMIF(data!$E:$E,科目余额表!$B447,data!M:M),0)</f>
        <v>0</v>
      </c>
      <c r="R447" s="207">
        <f>IFERROR(SUMIF(data!$E:$E,科目余额表!$B447,data!N:N),0)</f>
        <v>0</v>
      </c>
      <c r="S447" s="207">
        <f>IFERROR(SUMIF(data!$E:$E,科目余额表!$B447,data!O:O),0)</f>
        <v>0</v>
      </c>
      <c r="T447" s="207">
        <f>IFERROR(SUMIF(data!$E:$E,科目余额表!$B447,data!P:P),0)</f>
        <v>0</v>
      </c>
      <c r="U447" s="207">
        <f>IFERROR(SUMIF(data!$E:$E,科目余额表!$B447,data!Q:Q),0)</f>
        <v>0</v>
      </c>
      <c r="V447" s="207">
        <f>IFERROR(SUMIF(data!$E:$E,科目余额表!$B447,data!R:R),0)</f>
        <v>0</v>
      </c>
      <c r="W447" s="207">
        <f>IFERROR(SUMIF(data!$E:$E,科目余额表!$B447,data!S:S),0)</f>
        <v>0</v>
      </c>
      <c r="X447" s="207">
        <f t="shared" si="8"/>
        <v>0</v>
      </c>
      <c r="Y447" s="207"/>
      <c r="Z447" s="207"/>
      <c r="AA447" s="207"/>
      <c r="AB447" s="207"/>
      <c r="AC447" s="207"/>
      <c r="AD447" s="207"/>
      <c r="AE447" s="207"/>
      <c r="AF447" s="207"/>
    </row>
    <row r="448" spans="1:32" s="214" customFormat="1" ht="11.65" customHeight="1">
      <c r="A448" s="215"/>
      <c r="B448" s="220">
        <v>52316</v>
      </c>
      <c r="C448" s="205" t="s">
        <v>712</v>
      </c>
      <c r="D448" s="221">
        <f t="shared" si="7"/>
        <v>0</v>
      </c>
      <c r="E448" s="221">
        <v>0</v>
      </c>
      <c r="F448" s="222">
        <f t="shared" si="6"/>
        <v>0</v>
      </c>
      <c r="G448" s="205" t="s">
        <v>694</v>
      </c>
      <c r="H448" s="225" t="s">
        <v>671</v>
      </c>
      <c r="J448" s="207" t="s">
        <v>672</v>
      </c>
      <c r="K448" s="207"/>
      <c r="L448" s="207">
        <f>IFERROR(SUMIF(data!$E:$E,科目余额表!$B448,data!H:H),0)</f>
        <v>0</v>
      </c>
      <c r="M448" s="207">
        <f>IFERROR(SUMIF(data!$E:$E,科目余额表!$B448,data!I:I),0)</f>
        <v>0</v>
      </c>
      <c r="N448" s="207">
        <f>IFERROR(SUMIF(data!$E:$E,科目余额表!$B448,data!J:J),0)</f>
        <v>0</v>
      </c>
      <c r="O448" s="207">
        <f>IFERROR(SUMIF(data!$E:$E,科目余额表!$B448,data!K:K),0)</f>
        <v>0</v>
      </c>
      <c r="P448" s="207">
        <f>IFERROR(SUMIF(data!$E:$E,科目余额表!$B448,data!L:L),0)</f>
        <v>0</v>
      </c>
      <c r="Q448" s="207">
        <f>IFERROR(SUMIF(data!$E:$E,科目余额表!$B448,data!M:M),0)</f>
        <v>0</v>
      </c>
      <c r="R448" s="207">
        <f>IFERROR(SUMIF(data!$E:$E,科目余额表!$B448,data!N:N),0)</f>
        <v>0</v>
      </c>
      <c r="S448" s="207">
        <f>IFERROR(SUMIF(data!$E:$E,科目余额表!$B448,data!O:O),0)</f>
        <v>0</v>
      </c>
      <c r="T448" s="207">
        <f>IFERROR(SUMIF(data!$E:$E,科目余额表!$B448,data!P:P),0)</f>
        <v>0</v>
      </c>
      <c r="U448" s="207">
        <f>IFERROR(SUMIF(data!$E:$E,科目余额表!$B448,data!Q:Q),0)</f>
        <v>0</v>
      </c>
      <c r="V448" s="207">
        <f>IFERROR(SUMIF(data!$E:$E,科目余额表!$B448,data!R:R),0)</f>
        <v>0</v>
      </c>
      <c r="W448" s="207">
        <f>IFERROR(SUMIF(data!$E:$E,科目余额表!$B448,data!S:S),0)</f>
        <v>0</v>
      </c>
      <c r="X448" s="207">
        <f t="shared" si="8"/>
        <v>0</v>
      </c>
      <c r="Y448" s="207"/>
      <c r="Z448" s="207"/>
      <c r="AA448" s="207"/>
      <c r="AB448" s="207"/>
      <c r="AC448" s="207"/>
      <c r="AD448" s="207"/>
      <c r="AE448" s="207"/>
      <c r="AF448" s="207"/>
    </row>
    <row r="449" spans="1:32" s="214" customFormat="1" ht="11.65" customHeight="1">
      <c r="A449" s="215"/>
      <c r="B449" s="220">
        <v>52317</v>
      </c>
      <c r="C449" s="205" t="s">
        <v>713</v>
      </c>
      <c r="D449" s="221">
        <f t="shared" si="7"/>
        <v>0</v>
      </c>
      <c r="E449" s="221">
        <v>0</v>
      </c>
      <c r="F449" s="222">
        <f t="shared" si="6"/>
        <v>0</v>
      </c>
      <c r="G449" s="205" t="s">
        <v>694</v>
      </c>
      <c r="H449" s="225" t="s">
        <v>671</v>
      </c>
      <c r="J449" s="207" t="s">
        <v>672</v>
      </c>
      <c r="K449" s="207"/>
      <c r="L449" s="207">
        <f>IFERROR(SUMIF(data!$E:$E,科目余额表!$B449,data!H:H),0)</f>
        <v>0</v>
      </c>
      <c r="M449" s="207">
        <f>IFERROR(SUMIF(data!$E:$E,科目余额表!$B449,data!I:I),0)</f>
        <v>0</v>
      </c>
      <c r="N449" s="207">
        <f>IFERROR(SUMIF(data!$E:$E,科目余额表!$B449,data!J:J),0)</f>
        <v>0</v>
      </c>
      <c r="O449" s="207">
        <f>IFERROR(SUMIF(data!$E:$E,科目余额表!$B449,data!K:K),0)</f>
        <v>0</v>
      </c>
      <c r="P449" s="207">
        <f>IFERROR(SUMIF(data!$E:$E,科目余额表!$B449,data!L:L),0)</f>
        <v>0</v>
      </c>
      <c r="Q449" s="207">
        <f>IFERROR(SUMIF(data!$E:$E,科目余额表!$B449,data!M:M),0)</f>
        <v>0</v>
      </c>
      <c r="R449" s="207">
        <f>IFERROR(SUMIF(data!$E:$E,科目余额表!$B449,data!N:N),0)</f>
        <v>0</v>
      </c>
      <c r="S449" s="207">
        <f>IFERROR(SUMIF(data!$E:$E,科目余额表!$B449,data!O:O),0)</f>
        <v>0</v>
      </c>
      <c r="T449" s="207">
        <f>IFERROR(SUMIF(data!$E:$E,科目余额表!$B449,data!P:P),0)</f>
        <v>0</v>
      </c>
      <c r="U449" s="207">
        <f>IFERROR(SUMIF(data!$E:$E,科目余额表!$B449,data!Q:Q),0)</f>
        <v>0</v>
      </c>
      <c r="V449" s="207">
        <f>IFERROR(SUMIF(data!$E:$E,科目余额表!$B449,data!R:R),0)</f>
        <v>0</v>
      </c>
      <c r="W449" s="207">
        <f>IFERROR(SUMIF(data!$E:$E,科目余额表!$B449,data!S:S),0)</f>
        <v>0</v>
      </c>
      <c r="X449" s="207">
        <f t="shared" si="8"/>
        <v>0</v>
      </c>
      <c r="Y449" s="207"/>
      <c r="Z449" s="207"/>
      <c r="AA449" s="207"/>
      <c r="AB449" s="207"/>
      <c r="AC449" s="207"/>
      <c r="AD449" s="207"/>
      <c r="AE449" s="207"/>
      <c r="AF449" s="207"/>
    </row>
    <row r="450" spans="1:32" s="214" customFormat="1" ht="11.65" customHeight="1">
      <c r="A450" s="215"/>
      <c r="B450" s="220">
        <v>52399</v>
      </c>
      <c r="C450" s="205" t="s">
        <v>714</v>
      </c>
      <c r="D450" s="221">
        <f t="shared" si="7"/>
        <v>0</v>
      </c>
      <c r="E450" s="221">
        <v>0</v>
      </c>
      <c r="F450" s="222">
        <f t="shared" si="6"/>
        <v>0</v>
      </c>
      <c r="G450" s="205" t="s">
        <v>694</v>
      </c>
      <c r="H450" s="225" t="s">
        <v>671</v>
      </c>
      <c r="J450" s="207" t="s">
        <v>672</v>
      </c>
      <c r="K450" s="207"/>
      <c r="L450" s="207">
        <f>IFERROR(SUMIF(data!$E:$E,科目余额表!$B450,data!H:H),0)</f>
        <v>0</v>
      </c>
      <c r="M450" s="207">
        <f>IFERROR(SUMIF(data!$E:$E,科目余额表!$B450,data!I:I),0)</f>
        <v>0</v>
      </c>
      <c r="N450" s="207">
        <f>IFERROR(SUMIF(data!$E:$E,科目余额表!$B450,data!J:J),0)</f>
        <v>0</v>
      </c>
      <c r="O450" s="207">
        <f>IFERROR(SUMIF(data!$E:$E,科目余额表!$B450,data!K:K),0)</f>
        <v>0</v>
      </c>
      <c r="P450" s="207">
        <f>IFERROR(SUMIF(data!$E:$E,科目余额表!$B450,data!L:L),0)</f>
        <v>0</v>
      </c>
      <c r="Q450" s="207">
        <f>IFERROR(SUMIF(data!$E:$E,科目余额表!$B450,data!M:M),0)</f>
        <v>0</v>
      </c>
      <c r="R450" s="207">
        <f>IFERROR(SUMIF(data!$E:$E,科目余额表!$B450,data!N:N),0)</f>
        <v>0</v>
      </c>
      <c r="S450" s="207">
        <f>IFERROR(SUMIF(data!$E:$E,科目余额表!$B450,data!O:O),0)</f>
        <v>0</v>
      </c>
      <c r="T450" s="207">
        <f>IFERROR(SUMIF(data!$E:$E,科目余额表!$B450,data!P:P),0)</f>
        <v>0</v>
      </c>
      <c r="U450" s="207">
        <f>IFERROR(SUMIF(data!$E:$E,科目余额表!$B450,data!Q:Q),0)</f>
        <v>0</v>
      </c>
      <c r="V450" s="207">
        <f>IFERROR(SUMIF(data!$E:$E,科目余额表!$B450,data!R:R),0)</f>
        <v>0</v>
      </c>
      <c r="W450" s="207">
        <f>IFERROR(SUMIF(data!$E:$E,科目余额表!$B450,data!S:S),0)</f>
        <v>0</v>
      </c>
      <c r="X450" s="207">
        <f t="shared" si="8"/>
        <v>0</v>
      </c>
      <c r="Y450" s="207"/>
      <c r="Z450" s="207"/>
      <c r="AA450" s="207"/>
      <c r="AB450" s="207"/>
      <c r="AC450" s="207"/>
      <c r="AD450" s="207"/>
      <c r="AE450" s="207"/>
      <c r="AF450" s="207"/>
    </row>
    <row r="451" spans="1:32" s="214" customFormat="1" ht="11.65" customHeight="1">
      <c r="A451" s="215"/>
      <c r="B451" s="220">
        <v>53000</v>
      </c>
      <c r="C451" s="205" t="s">
        <v>715</v>
      </c>
      <c r="D451" s="221">
        <f t="shared" si="7"/>
        <v>6348724.7799999993</v>
      </c>
      <c r="E451" s="221">
        <v>570535.47000000009</v>
      </c>
      <c r="F451" s="222">
        <f t="shared" si="6"/>
        <v>6919260.2499999991</v>
      </c>
      <c r="G451" s="205" t="s">
        <v>715</v>
      </c>
      <c r="H451" s="225" t="s">
        <v>671</v>
      </c>
      <c r="J451" s="207" t="s">
        <v>672</v>
      </c>
      <c r="K451" s="207"/>
      <c r="L451" s="207">
        <f>IFERROR(SUMIF(data!$E:$E,科目余额表!$B451,data!H:H),0)</f>
        <v>-551552.61</v>
      </c>
      <c r="M451" s="207">
        <f>IFERROR(SUMIF(data!$E:$E,科目余额表!$B451,data!I:I),0)</f>
        <v>-511242.44999999995</v>
      </c>
      <c r="N451" s="207">
        <f>IFERROR(SUMIF(data!$E:$E,科目余额表!$B451,data!J:J),0)</f>
        <v>-612016.16</v>
      </c>
      <c r="O451" s="207">
        <f>IFERROR(SUMIF(data!$E:$E,科目余额表!$B451,data!K:K),0)</f>
        <v>-563981.41</v>
      </c>
      <c r="P451" s="207">
        <f>IFERROR(SUMIF(data!$E:$E,科目余额表!$B451,data!L:L),0)</f>
        <v>-577938.66</v>
      </c>
      <c r="Q451" s="207">
        <f>IFERROR(SUMIF(data!$E:$E,科目余额表!$B451,data!M:M),0)</f>
        <v>-573472.59</v>
      </c>
      <c r="R451" s="207">
        <f>IFERROR(SUMIF(data!$E:$E,科目余额表!$B451,data!N:N),0)</f>
        <v>-576471.17000000004</v>
      </c>
      <c r="S451" s="207">
        <f>IFERROR(SUMIF(data!$E:$E,科目余额表!$B451,data!O:O),0)</f>
        <v>-654183.1</v>
      </c>
      <c r="T451" s="207">
        <f>IFERROR(SUMIF(data!$E:$E,科目余额表!$B451,data!P:P),0)</f>
        <v>-579678.25999999989</v>
      </c>
      <c r="U451" s="207">
        <f>IFERROR(SUMIF(data!$E:$E,科目余额表!$B451,data!Q:Q),0)</f>
        <v>-572707.18999999994</v>
      </c>
      <c r="V451" s="207">
        <f>IFERROR(SUMIF(data!$E:$E,科目余额表!$B451,data!R:R),0)</f>
        <v>-575481.18000000005</v>
      </c>
      <c r="W451" s="207">
        <f>IFERROR(SUMIF(data!$E:$E,科目余额表!$B451,data!S:S),0)</f>
        <v>-570535.47000000009</v>
      </c>
      <c r="X451" s="207">
        <f t="shared" si="8"/>
        <v>-6919260.2499999991</v>
      </c>
      <c r="Y451" s="207"/>
      <c r="Z451" s="207"/>
      <c r="AA451" s="207"/>
      <c r="AB451" s="207"/>
      <c r="AC451" s="207"/>
      <c r="AD451" s="207"/>
      <c r="AE451" s="207"/>
      <c r="AF451" s="207"/>
    </row>
    <row r="452" spans="1:32" s="214" customFormat="1" ht="11.65" customHeight="1">
      <c r="A452" s="215"/>
      <c r="B452" s="220">
        <v>53100</v>
      </c>
      <c r="C452" s="205" t="s">
        <v>716</v>
      </c>
      <c r="D452" s="221">
        <f t="shared" si="7"/>
        <v>0</v>
      </c>
      <c r="E452" s="221">
        <v>0</v>
      </c>
      <c r="F452" s="222">
        <f t="shared" si="6"/>
        <v>0</v>
      </c>
      <c r="G452" s="205" t="s">
        <v>717</v>
      </c>
      <c r="H452" s="225" t="s">
        <v>671</v>
      </c>
      <c r="J452" s="207" t="s">
        <v>672</v>
      </c>
      <c r="K452" s="207"/>
      <c r="L452" s="207">
        <f>IFERROR(SUMIF(data!$E:$E,科目余额表!$B452,data!H:H),0)</f>
        <v>0</v>
      </c>
      <c r="M452" s="207">
        <f>IFERROR(SUMIF(data!$E:$E,科目余额表!$B452,data!I:I),0)</f>
        <v>0</v>
      </c>
      <c r="N452" s="207">
        <f>IFERROR(SUMIF(data!$E:$E,科目余额表!$B452,data!J:J),0)</f>
        <v>0</v>
      </c>
      <c r="O452" s="207">
        <f>IFERROR(SUMIF(data!$E:$E,科目余额表!$B452,data!K:K),0)</f>
        <v>0</v>
      </c>
      <c r="P452" s="207">
        <f>IFERROR(SUMIF(data!$E:$E,科目余额表!$B452,data!L:L),0)</f>
        <v>0</v>
      </c>
      <c r="Q452" s="207">
        <f>IFERROR(SUMIF(data!$E:$E,科目余额表!$B452,data!M:M),0)</f>
        <v>0</v>
      </c>
      <c r="R452" s="207">
        <f>IFERROR(SUMIF(data!$E:$E,科目余额表!$B452,data!N:N),0)</f>
        <v>0</v>
      </c>
      <c r="S452" s="207">
        <f>IFERROR(SUMIF(data!$E:$E,科目余额表!$B452,data!O:O),0)</f>
        <v>0</v>
      </c>
      <c r="T452" s="207">
        <f>IFERROR(SUMIF(data!$E:$E,科目余额表!$B452,data!P:P),0)</f>
        <v>0</v>
      </c>
      <c r="U452" s="207">
        <f>IFERROR(SUMIF(data!$E:$E,科目余额表!$B452,data!Q:Q),0)</f>
        <v>0</v>
      </c>
      <c r="V452" s="207">
        <f>IFERROR(SUMIF(data!$E:$E,科目余额表!$B452,data!R:R),0)</f>
        <v>0</v>
      </c>
      <c r="W452" s="207">
        <f>IFERROR(SUMIF(data!$E:$E,科目余额表!$B452,data!S:S),0)</f>
        <v>0</v>
      </c>
      <c r="X452" s="207">
        <f t="shared" si="8"/>
        <v>0</v>
      </c>
      <c r="Y452" s="207"/>
      <c r="Z452" s="207"/>
      <c r="AA452" s="207"/>
      <c r="AB452" s="207"/>
      <c r="AC452" s="207"/>
      <c r="AD452" s="207"/>
      <c r="AE452" s="207"/>
      <c r="AF452" s="207"/>
    </row>
    <row r="453" spans="1:32" s="214" customFormat="1" ht="11.65" customHeight="1">
      <c r="A453" s="215"/>
      <c r="B453" s="220">
        <v>53200</v>
      </c>
      <c r="C453" s="205" t="s">
        <v>718</v>
      </c>
      <c r="D453" s="221">
        <f t="shared" si="7"/>
        <v>0</v>
      </c>
      <c r="E453" s="221">
        <v>0</v>
      </c>
      <c r="F453" s="222">
        <f t="shared" si="6"/>
        <v>0</v>
      </c>
      <c r="G453" s="205" t="s">
        <v>718</v>
      </c>
      <c r="H453" s="225" t="s">
        <v>671</v>
      </c>
      <c r="J453" s="207" t="s">
        <v>672</v>
      </c>
      <c r="K453" s="207"/>
      <c r="L453" s="207">
        <f>IFERROR(SUMIF(data!$E:$E,科目余额表!$B453,data!H:H),0)</f>
        <v>0</v>
      </c>
      <c r="M453" s="207">
        <f>IFERROR(SUMIF(data!$E:$E,科目余额表!$B453,data!I:I),0)</f>
        <v>0</v>
      </c>
      <c r="N453" s="207">
        <f>IFERROR(SUMIF(data!$E:$E,科目余额表!$B453,data!J:J),0)</f>
        <v>0</v>
      </c>
      <c r="O453" s="207">
        <f>IFERROR(SUMIF(data!$E:$E,科目余额表!$B453,data!K:K),0)</f>
        <v>0</v>
      </c>
      <c r="P453" s="207">
        <f>IFERROR(SUMIF(data!$E:$E,科目余额表!$B453,data!L:L),0)</f>
        <v>0</v>
      </c>
      <c r="Q453" s="207">
        <f>IFERROR(SUMIF(data!$E:$E,科目余额表!$B453,data!M:M),0)</f>
        <v>0</v>
      </c>
      <c r="R453" s="207">
        <f>IFERROR(SUMIF(data!$E:$E,科目余额表!$B453,data!N:N),0)</f>
        <v>0</v>
      </c>
      <c r="S453" s="207">
        <f>IFERROR(SUMIF(data!$E:$E,科目余额表!$B453,data!O:O),0)</f>
        <v>0</v>
      </c>
      <c r="T453" s="207">
        <f>IFERROR(SUMIF(data!$E:$E,科目余额表!$B453,data!P:P),0)</f>
        <v>0</v>
      </c>
      <c r="U453" s="207">
        <f>IFERROR(SUMIF(data!$E:$E,科目余额表!$B453,data!Q:Q),0)</f>
        <v>0</v>
      </c>
      <c r="V453" s="207">
        <f>IFERROR(SUMIF(data!$E:$E,科目余额表!$B453,data!R:R),0)</f>
        <v>0</v>
      </c>
      <c r="W453" s="207">
        <f>IFERROR(SUMIF(data!$E:$E,科目余额表!$B453,data!S:S),0)</f>
        <v>0</v>
      </c>
      <c r="X453" s="207">
        <f t="shared" si="8"/>
        <v>0</v>
      </c>
      <c r="Y453" s="207"/>
      <c r="Z453" s="207"/>
      <c r="AA453" s="207"/>
      <c r="AB453" s="207"/>
      <c r="AC453" s="207"/>
      <c r="AD453" s="207"/>
      <c r="AE453" s="207"/>
      <c r="AF453" s="207"/>
    </row>
    <row r="454" spans="1:32" s="214" customFormat="1" ht="11.65" customHeight="1">
      <c r="A454" s="215"/>
      <c r="B454" s="220">
        <v>54000</v>
      </c>
      <c r="C454" s="205" t="s">
        <v>719</v>
      </c>
      <c r="D454" s="221">
        <f t="shared" si="7"/>
        <v>6015912.4600000009</v>
      </c>
      <c r="E454" s="221">
        <v>-948994.59999999986</v>
      </c>
      <c r="F454" s="222">
        <f t="shared" si="6"/>
        <v>5066917.8600000013</v>
      </c>
      <c r="G454" s="205" t="s">
        <v>720</v>
      </c>
      <c r="H454" s="225" t="s">
        <v>671</v>
      </c>
      <c r="J454" s="207" t="s">
        <v>672</v>
      </c>
      <c r="K454" s="207"/>
      <c r="L454" s="207">
        <f>IFERROR(SUMIF(data!$E:$E,科目余额表!$B454,data!H:H),0)</f>
        <v>-633637.35</v>
      </c>
      <c r="M454" s="207">
        <f>IFERROR(SUMIF(data!$E:$E,科目余额表!$B454,data!I:I),0)</f>
        <v>-628423.88</v>
      </c>
      <c r="N454" s="207">
        <f>IFERROR(SUMIF(data!$E:$E,科目余额表!$B454,data!J:J),0)</f>
        <v>-625769.04999999993</v>
      </c>
      <c r="O454" s="207">
        <f>IFERROR(SUMIF(data!$E:$E,科目余额表!$B454,data!K:K),0)</f>
        <v>-626735.62</v>
      </c>
      <c r="P454" s="207">
        <f>IFERROR(SUMIF(data!$E:$E,科目余额表!$B454,data!L:L),0)</f>
        <v>-630673.88</v>
      </c>
      <c r="Q454" s="207">
        <f>IFERROR(SUMIF(data!$E:$E,科目余额表!$B454,data!M:M),0)</f>
        <v>-633263.88</v>
      </c>
      <c r="R454" s="207">
        <f>IFERROR(SUMIF(data!$E:$E,科目余额表!$B454,data!N:N),0)</f>
        <v>-630673.88</v>
      </c>
      <c r="S454" s="207">
        <f>IFERROR(SUMIF(data!$E:$E,科目余额表!$B454,data!O:O),0)</f>
        <v>-401683.73000000004</v>
      </c>
      <c r="T454" s="207">
        <f>IFERROR(SUMIF(data!$E:$E,科目余额表!$B454,data!P:P),0)</f>
        <v>-401683.73000000004</v>
      </c>
      <c r="U454" s="207">
        <f>IFERROR(SUMIF(data!$E:$E,科目余额表!$B454,data!Q:Q),0)</f>
        <v>-401683.73000000004</v>
      </c>
      <c r="V454" s="207">
        <f>IFERROR(SUMIF(data!$E:$E,科目余额表!$B454,data!R:R),0)</f>
        <v>-401683.73</v>
      </c>
      <c r="W454" s="207">
        <f>IFERROR(SUMIF(data!$E:$E,科目余额表!$B454,data!S:S),0)</f>
        <v>948994.59999999986</v>
      </c>
      <c r="X454" s="207">
        <f t="shared" si="8"/>
        <v>-5066917.8600000013</v>
      </c>
      <c r="Y454" s="207"/>
      <c r="Z454" s="207"/>
      <c r="AA454" s="207"/>
      <c r="AB454" s="207"/>
      <c r="AC454" s="207"/>
      <c r="AD454" s="207"/>
      <c r="AE454" s="207"/>
      <c r="AF454" s="207"/>
    </row>
    <row r="455" spans="1:32" s="214" customFormat="1" ht="11.65" customHeight="1">
      <c r="A455" s="215"/>
      <c r="B455" s="220">
        <v>54001</v>
      </c>
      <c r="C455" s="205" t="s">
        <v>721</v>
      </c>
      <c r="D455" s="221">
        <f t="shared" si="7"/>
        <v>320633.03000000003</v>
      </c>
      <c r="E455" s="221">
        <v>31985.920000000006</v>
      </c>
      <c r="F455" s="222">
        <f t="shared" si="6"/>
        <v>352618.95</v>
      </c>
      <c r="G455" s="205" t="s">
        <v>720</v>
      </c>
      <c r="H455" s="225" t="s">
        <v>671</v>
      </c>
      <c r="J455" s="207" t="s">
        <v>672</v>
      </c>
      <c r="K455" s="207"/>
      <c r="L455" s="207">
        <f>IFERROR(SUMIF(data!$E:$E,科目余额表!$B455,data!H:H),0)</f>
        <v>-8724.09</v>
      </c>
      <c r="M455" s="207">
        <f>IFERROR(SUMIF(data!$E:$E,科目余额表!$B455,data!I:I),0)</f>
        <v>26276.47</v>
      </c>
      <c r="N455" s="207">
        <f>IFERROR(SUMIF(data!$E:$E,科目余额表!$B455,data!J:J),0)</f>
        <v>-28486.04</v>
      </c>
      <c r="O455" s="207">
        <f>IFERROR(SUMIF(data!$E:$E,科目余额表!$B455,data!K:K),0)</f>
        <v>-35995.560000000005</v>
      </c>
      <c r="P455" s="207">
        <f>IFERROR(SUMIF(data!$E:$E,科目余额表!$B455,data!L:L),0)</f>
        <v>-19739.479999999996</v>
      </c>
      <c r="Q455" s="207">
        <f>IFERROR(SUMIF(data!$E:$E,科目余额表!$B455,data!M:M),0)</f>
        <v>-10140.02</v>
      </c>
      <c r="R455" s="207">
        <f>IFERROR(SUMIF(data!$E:$E,科目余额表!$B455,data!N:N),0)</f>
        <v>-6840.75</v>
      </c>
      <c r="S455" s="207">
        <f>IFERROR(SUMIF(data!$E:$E,科目余额表!$B455,data!O:O),0)</f>
        <v>-7318.8399999999983</v>
      </c>
      <c r="T455" s="207">
        <f>IFERROR(SUMIF(data!$E:$E,科目余额表!$B455,data!P:P),0)</f>
        <v>-21053.090000000004</v>
      </c>
      <c r="U455" s="207">
        <f>IFERROR(SUMIF(data!$E:$E,科目余额表!$B455,data!Q:Q),0)</f>
        <v>-91779.72</v>
      </c>
      <c r="V455" s="207">
        <f>IFERROR(SUMIF(data!$E:$E,科目余额表!$B455,data!R:R),0)</f>
        <v>-116831.91</v>
      </c>
      <c r="W455" s="207">
        <f>IFERROR(SUMIF(data!$E:$E,科目余额表!$B455,data!S:S),0)</f>
        <v>-31985.920000000006</v>
      </c>
      <c r="X455" s="207">
        <f t="shared" si="8"/>
        <v>-352618.95</v>
      </c>
      <c r="Y455" s="207"/>
      <c r="Z455" s="207"/>
      <c r="AA455" s="207"/>
      <c r="AB455" s="207"/>
      <c r="AC455" s="207"/>
      <c r="AD455" s="207"/>
      <c r="AE455" s="207"/>
      <c r="AF455" s="207"/>
    </row>
    <row r="456" spans="1:32" s="214" customFormat="1" ht="11.65" customHeight="1">
      <c r="A456" s="215"/>
      <c r="B456" s="220">
        <v>54002</v>
      </c>
      <c r="C456" s="205" t="s">
        <v>722</v>
      </c>
      <c r="D456" s="221">
        <f t="shared" si="7"/>
        <v>0</v>
      </c>
      <c r="E456" s="221">
        <v>0</v>
      </c>
      <c r="F456" s="222">
        <f t="shared" ref="F456:F520" si="9">D456+E456</f>
        <v>0</v>
      </c>
      <c r="G456" s="205" t="s">
        <v>720</v>
      </c>
      <c r="H456" s="225" t="s">
        <v>671</v>
      </c>
      <c r="J456" s="207" t="s">
        <v>672</v>
      </c>
      <c r="K456" s="207"/>
      <c r="L456" s="207">
        <f>IFERROR(SUMIF(data!$E:$E,科目余额表!$B456,data!H:H),0)</f>
        <v>0</v>
      </c>
      <c r="M456" s="207">
        <f>IFERROR(SUMIF(data!$E:$E,科目余额表!$B456,data!I:I),0)</f>
        <v>0</v>
      </c>
      <c r="N456" s="207">
        <f>IFERROR(SUMIF(data!$E:$E,科目余额表!$B456,data!J:J),0)</f>
        <v>0</v>
      </c>
      <c r="O456" s="207">
        <f>IFERROR(SUMIF(data!$E:$E,科目余额表!$B456,data!K:K),0)</f>
        <v>0</v>
      </c>
      <c r="P456" s="207">
        <f>IFERROR(SUMIF(data!$E:$E,科目余额表!$B456,data!L:L),0)</f>
        <v>0</v>
      </c>
      <c r="Q456" s="207">
        <f>IFERROR(SUMIF(data!$E:$E,科目余额表!$B456,data!M:M),0)</f>
        <v>0</v>
      </c>
      <c r="R456" s="207">
        <f>IFERROR(SUMIF(data!$E:$E,科目余额表!$B456,data!N:N),0)</f>
        <v>0</v>
      </c>
      <c r="S456" s="207">
        <f>IFERROR(SUMIF(data!$E:$E,科目余额表!$B456,data!O:O),0)</f>
        <v>0</v>
      </c>
      <c r="T456" s="207">
        <f>IFERROR(SUMIF(data!$E:$E,科目余额表!$B456,data!P:P),0)</f>
        <v>0</v>
      </c>
      <c r="U456" s="207">
        <f>IFERROR(SUMIF(data!$E:$E,科目余额表!$B456,data!Q:Q),0)</f>
        <v>0</v>
      </c>
      <c r="V456" s="207">
        <f>IFERROR(SUMIF(data!$E:$E,科目余额表!$B456,data!R:R),0)</f>
        <v>0</v>
      </c>
      <c r="W456" s="207">
        <f>IFERROR(SUMIF(data!$E:$E,科目余额表!$B456,data!S:S),0)</f>
        <v>0</v>
      </c>
      <c r="X456" s="207">
        <f t="shared" si="8"/>
        <v>0</v>
      </c>
      <c r="Y456" s="207"/>
      <c r="Z456" s="207"/>
      <c r="AA456" s="207"/>
      <c r="AB456" s="207"/>
      <c r="AC456" s="207"/>
      <c r="AD456" s="207"/>
      <c r="AE456" s="207"/>
      <c r="AF456" s="207"/>
    </row>
    <row r="457" spans="1:32" s="214" customFormat="1" ht="11.65" customHeight="1">
      <c r="A457" s="215"/>
      <c r="B457" s="220">
        <v>54003</v>
      </c>
      <c r="C457" s="205" t="s">
        <v>723</v>
      </c>
      <c r="D457" s="221">
        <f t="shared" si="7"/>
        <v>86644.549999999988</v>
      </c>
      <c r="E457" s="221">
        <v>51495.329999999994</v>
      </c>
      <c r="F457" s="222">
        <f t="shared" si="9"/>
        <v>138139.87999999998</v>
      </c>
      <c r="G457" s="205" t="s">
        <v>720</v>
      </c>
      <c r="H457" s="225" t="s">
        <v>671</v>
      </c>
      <c r="J457" s="207" t="s">
        <v>672</v>
      </c>
      <c r="K457" s="207"/>
      <c r="L457" s="207">
        <f>IFERROR(SUMIF(data!$E:$E,科目余额表!$B457,data!H:H),0)</f>
        <v>-2802.0300000000007</v>
      </c>
      <c r="M457" s="207">
        <f>IFERROR(SUMIF(data!$E:$E,科目余额表!$B457,data!I:I),0)</f>
        <v>-5588.01</v>
      </c>
      <c r="N457" s="207">
        <f>IFERROR(SUMIF(data!$E:$E,科目余额表!$B457,data!J:J),0)</f>
        <v>-21473.209999999995</v>
      </c>
      <c r="O457" s="207">
        <f>IFERROR(SUMIF(data!$E:$E,科目余额表!$B457,data!K:K),0)</f>
        <v>-4748.6299999999974</v>
      </c>
      <c r="P457" s="207">
        <f>IFERROR(SUMIF(data!$E:$E,科目余额表!$B457,data!L:L),0)</f>
        <v>-10693.03</v>
      </c>
      <c r="Q457" s="207">
        <f>IFERROR(SUMIF(data!$E:$E,科目余额表!$B457,data!M:M),0)</f>
        <v>-6361.9299999999994</v>
      </c>
      <c r="R457" s="207">
        <f>IFERROR(SUMIF(data!$E:$E,科目余额表!$B457,data!N:N),0)</f>
        <v>-4271.3</v>
      </c>
      <c r="S457" s="207">
        <f>IFERROR(SUMIF(data!$E:$E,科目余额表!$B457,data!O:O),0)</f>
        <v>-4082.08</v>
      </c>
      <c r="T457" s="207">
        <f>IFERROR(SUMIF(data!$E:$E,科目余额表!$B457,data!P:P),0)</f>
        <v>-5881.21</v>
      </c>
      <c r="U457" s="207">
        <f>IFERROR(SUMIF(data!$E:$E,科目余额表!$B457,data!Q:Q),0)</f>
        <v>-12288.28</v>
      </c>
      <c r="V457" s="207">
        <f>IFERROR(SUMIF(data!$E:$E,科目余额表!$B457,data!R:R),0)</f>
        <v>-8454.84</v>
      </c>
      <c r="W457" s="207">
        <f>IFERROR(SUMIF(data!$E:$E,科目余额表!$B457,data!S:S),0)</f>
        <v>-51495.329999999994</v>
      </c>
      <c r="X457" s="207">
        <f t="shared" si="8"/>
        <v>-138139.87999999998</v>
      </c>
      <c r="Y457" s="207"/>
      <c r="Z457" s="207"/>
      <c r="AA457" s="207"/>
      <c r="AB457" s="207"/>
      <c r="AC457" s="207"/>
      <c r="AD457" s="207"/>
      <c r="AE457" s="207"/>
      <c r="AF457" s="207"/>
    </row>
    <row r="458" spans="1:32" s="214" customFormat="1" ht="11.65" customHeight="1">
      <c r="A458" s="215"/>
      <c r="B458" s="220">
        <v>54004</v>
      </c>
      <c r="C458" s="205" t="s">
        <v>724</v>
      </c>
      <c r="D458" s="221">
        <f t="shared" si="7"/>
        <v>0</v>
      </c>
      <c r="E458" s="221">
        <v>0</v>
      </c>
      <c r="F458" s="222">
        <f t="shared" si="9"/>
        <v>0</v>
      </c>
      <c r="G458" s="205" t="s">
        <v>720</v>
      </c>
      <c r="H458" s="225" t="s">
        <v>671</v>
      </c>
      <c r="J458" s="207" t="s">
        <v>672</v>
      </c>
      <c r="K458" s="207"/>
      <c r="L458" s="207">
        <f>IFERROR(SUMIF(data!$E:$E,科目余额表!$B458,data!H:H),0)</f>
        <v>0</v>
      </c>
      <c r="M458" s="207">
        <f>IFERROR(SUMIF(data!$E:$E,科目余额表!$B458,data!I:I),0)</f>
        <v>0</v>
      </c>
      <c r="N458" s="207">
        <f>IFERROR(SUMIF(data!$E:$E,科目余额表!$B458,data!J:J),0)</f>
        <v>0</v>
      </c>
      <c r="O458" s="207">
        <f>IFERROR(SUMIF(data!$E:$E,科目余额表!$B458,data!K:K),0)</f>
        <v>0</v>
      </c>
      <c r="P458" s="207">
        <f>IFERROR(SUMIF(data!$E:$E,科目余额表!$B458,data!L:L),0)</f>
        <v>0</v>
      </c>
      <c r="Q458" s="207">
        <f>IFERROR(SUMIF(data!$E:$E,科目余额表!$B458,data!M:M),0)</f>
        <v>0</v>
      </c>
      <c r="R458" s="207">
        <f>IFERROR(SUMIF(data!$E:$E,科目余额表!$B458,data!N:N),0)</f>
        <v>0</v>
      </c>
      <c r="S458" s="207">
        <f>IFERROR(SUMIF(data!$E:$E,科目余额表!$B458,data!O:O),0)</f>
        <v>0</v>
      </c>
      <c r="T458" s="207">
        <f>IFERROR(SUMIF(data!$E:$E,科目余额表!$B458,data!P:P),0)</f>
        <v>0</v>
      </c>
      <c r="U458" s="207">
        <f>IFERROR(SUMIF(data!$E:$E,科目余额表!$B458,data!Q:Q),0)</f>
        <v>0</v>
      </c>
      <c r="V458" s="207">
        <f>IFERROR(SUMIF(data!$E:$E,科目余额表!$B458,data!R:R),0)</f>
        <v>0</v>
      </c>
      <c r="W458" s="207">
        <f>IFERROR(SUMIF(data!$E:$E,科目余额表!$B458,data!S:S),0)</f>
        <v>0</v>
      </c>
      <c r="X458" s="207">
        <f t="shared" si="8"/>
        <v>0</v>
      </c>
      <c r="Y458" s="207"/>
      <c r="Z458" s="207"/>
      <c r="AA458" s="207"/>
      <c r="AB458" s="207"/>
      <c r="AC458" s="207"/>
      <c r="AD458" s="207"/>
      <c r="AE458" s="207"/>
      <c r="AF458" s="207"/>
    </row>
    <row r="459" spans="1:32" s="214" customFormat="1" ht="11.65" customHeight="1">
      <c r="A459" s="215"/>
      <c r="B459" s="220">
        <v>54005</v>
      </c>
      <c r="C459" s="205" t="s">
        <v>725</v>
      </c>
      <c r="D459" s="221">
        <f t="shared" si="7"/>
        <v>0</v>
      </c>
      <c r="E459" s="221">
        <v>0</v>
      </c>
      <c r="F459" s="222">
        <f t="shared" si="9"/>
        <v>0</v>
      </c>
      <c r="G459" s="205" t="s">
        <v>720</v>
      </c>
      <c r="H459" s="225" t="s">
        <v>671</v>
      </c>
      <c r="J459" s="207" t="s">
        <v>672</v>
      </c>
      <c r="K459" s="207"/>
      <c r="L459" s="207">
        <f>IFERROR(SUMIF(data!$E:$E,科目余额表!$B459,data!H:H),0)</f>
        <v>0</v>
      </c>
      <c r="M459" s="207">
        <f>IFERROR(SUMIF(data!$E:$E,科目余额表!$B459,data!I:I),0)</f>
        <v>0</v>
      </c>
      <c r="N459" s="207">
        <f>IFERROR(SUMIF(data!$E:$E,科目余额表!$B459,data!J:J),0)</f>
        <v>0</v>
      </c>
      <c r="O459" s="207">
        <f>IFERROR(SUMIF(data!$E:$E,科目余额表!$B459,data!K:K),0)</f>
        <v>0</v>
      </c>
      <c r="P459" s="207">
        <f>IFERROR(SUMIF(data!$E:$E,科目余额表!$B459,data!L:L),0)</f>
        <v>0</v>
      </c>
      <c r="Q459" s="207">
        <f>IFERROR(SUMIF(data!$E:$E,科目余额表!$B459,data!M:M),0)</f>
        <v>0</v>
      </c>
      <c r="R459" s="207">
        <f>IFERROR(SUMIF(data!$E:$E,科目余额表!$B459,data!N:N),0)</f>
        <v>0</v>
      </c>
      <c r="S459" s="207">
        <f>IFERROR(SUMIF(data!$E:$E,科目余额表!$B459,data!O:O),0)</f>
        <v>0</v>
      </c>
      <c r="T459" s="207">
        <f>IFERROR(SUMIF(data!$E:$E,科目余额表!$B459,data!P:P),0)</f>
        <v>0</v>
      </c>
      <c r="U459" s="207">
        <f>IFERROR(SUMIF(data!$E:$E,科目余额表!$B459,data!Q:Q),0)</f>
        <v>0</v>
      </c>
      <c r="V459" s="207">
        <f>IFERROR(SUMIF(data!$E:$E,科目余额表!$B459,data!R:R),0)</f>
        <v>0</v>
      </c>
      <c r="W459" s="207">
        <f>IFERROR(SUMIF(data!$E:$E,科目余额表!$B459,data!S:S),0)</f>
        <v>0</v>
      </c>
      <c r="X459" s="207">
        <f t="shared" si="8"/>
        <v>0</v>
      </c>
      <c r="Y459" s="207"/>
      <c r="Z459" s="207"/>
      <c r="AA459" s="207"/>
      <c r="AB459" s="207"/>
      <c r="AC459" s="207"/>
      <c r="AD459" s="207"/>
      <c r="AE459" s="207"/>
      <c r="AF459" s="207"/>
    </row>
    <row r="460" spans="1:32" s="214" customFormat="1" ht="11.65" customHeight="1">
      <c r="A460" s="215"/>
      <c r="B460" s="220">
        <v>54006</v>
      </c>
      <c r="C460" s="205" t="s">
        <v>726</v>
      </c>
      <c r="D460" s="221">
        <f t="shared" si="7"/>
        <v>836373.63000000012</v>
      </c>
      <c r="E460" s="221">
        <v>91003.92</v>
      </c>
      <c r="F460" s="222">
        <f t="shared" si="9"/>
        <v>927377.55000000016</v>
      </c>
      <c r="G460" s="205" t="s">
        <v>720</v>
      </c>
      <c r="H460" s="225" t="s">
        <v>671</v>
      </c>
      <c r="J460" s="207" t="s">
        <v>672</v>
      </c>
      <c r="K460" s="207"/>
      <c r="L460" s="207">
        <f>IFERROR(SUMIF(data!$E:$E,科目余额表!$B460,data!H:H),0)</f>
        <v>-158698.72</v>
      </c>
      <c r="M460" s="207">
        <f>IFERROR(SUMIF(data!$E:$E,科目余额表!$B460,data!I:I),0)</f>
        <v>-158479.35999999999</v>
      </c>
      <c r="N460" s="207">
        <f>IFERROR(SUMIF(data!$E:$E,科目余额表!$B460,data!J:J),0)</f>
        <v>-84467.41</v>
      </c>
      <c r="O460" s="207">
        <f>IFERROR(SUMIF(data!$E:$E,科目余额表!$B460,data!K:K),0)</f>
        <v>-50890.01999999999</v>
      </c>
      <c r="P460" s="207">
        <f>IFERROR(SUMIF(data!$E:$E,科目余额表!$B460,data!L:L),0)</f>
        <v>-43045.83</v>
      </c>
      <c r="Q460" s="207">
        <f>IFERROR(SUMIF(data!$E:$E,科目余额表!$B460,data!M:M),0)</f>
        <v>-38547.300000000003</v>
      </c>
      <c r="R460" s="207">
        <f>IFERROR(SUMIF(data!$E:$E,科目余额表!$B460,data!N:N),0)</f>
        <v>-47876.39</v>
      </c>
      <c r="S460" s="207">
        <f>IFERROR(SUMIF(data!$E:$E,科目余额表!$B460,data!O:O),0)</f>
        <v>-39957.130000000005</v>
      </c>
      <c r="T460" s="207">
        <f>IFERROR(SUMIF(data!$E:$E,科目余额表!$B460,data!P:P),0)</f>
        <v>-45190.91</v>
      </c>
      <c r="U460" s="207">
        <f>IFERROR(SUMIF(data!$E:$E,科目余额表!$B460,data!Q:Q),0)</f>
        <v>-63720.56</v>
      </c>
      <c r="V460" s="207">
        <f>IFERROR(SUMIF(data!$E:$E,科目余额表!$B460,data!R:R),0)</f>
        <v>-105500</v>
      </c>
      <c r="W460" s="207">
        <f>IFERROR(SUMIF(data!$E:$E,科目余额表!$B460,data!S:S),0)</f>
        <v>-91003.92</v>
      </c>
      <c r="X460" s="207">
        <f t="shared" si="8"/>
        <v>-927377.55000000016</v>
      </c>
      <c r="Y460" s="207"/>
      <c r="Z460" s="207"/>
      <c r="AA460" s="207"/>
      <c r="AB460" s="207"/>
      <c r="AC460" s="207"/>
      <c r="AD460" s="207"/>
      <c r="AE460" s="207"/>
      <c r="AF460" s="207"/>
    </row>
    <row r="461" spans="1:32" s="214" customFormat="1" ht="11.65" customHeight="1">
      <c r="A461" s="215"/>
      <c r="B461" s="220">
        <v>54007</v>
      </c>
      <c r="C461" s="205" t="s">
        <v>727</v>
      </c>
      <c r="D461" s="221">
        <f t="shared" si="7"/>
        <v>216065.22</v>
      </c>
      <c r="E461" s="221">
        <v>25455.289999999997</v>
      </c>
      <c r="F461" s="222">
        <f t="shared" si="9"/>
        <v>241520.51</v>
      </c>
      <c r="G461" s="205" t="s">
        <v>720</v>
      </c>
      <c r="H461" s="225" t="s">
        <v>671</v>
      </c>
      <c r="J461" s="207" t="s">
        <v>672</v>
      </c>
      <c r="K461" s="207"/>
      <c r="L461" s="207">
        <f>IFERROR(SUMIF(data!$E:$E,科目余额表!$B461,data!H:H),0)</f>
        <v>-22446.1</v>
      </c>
      <c r="M461" s="207">
        <f>IFERROR(SUMIF(data!$E:$E,科目余额表!$B461,data!I:I),0)</f>
        <v>-21084.350000000002</v>
      </c>
      <c r="N461" s="207">
        <f>IFERROR(SUMIF(data!$E:$E,科目余额表!$B461,data!J:J),0)</f>
        <v>-23978.57</v>
      </c>
      <c r="O461" s="207">
        <f>IFERROR(SUMIF(data!$E:$E,科目余额表!$B461,data!K:K),0)</f>
        <v>-12576.05</v>
      </c>
      <c r="P461" s="207">
        <f>IFERROR(SUMIF(data!$E:$E,科目余额表!$B461,data!L:L),0)</f>
        <v>-20086.82</v>
      </c>
      <c r="Q461" s="207">
        <f>IFERROR(SUMIF(data!$E:$E,科目余额表!$B461,data!M:M),0)</f>
        <v>-38661.310000000005</v>
      </c>
      <c r="R461" s="207">
        <f>IFERROR(SUMIF(data!$E:$E,科目余额表!$B461,data!N:N),0)</f>
        <v>-2864.1400000000049</v>
      </c>
      <c r="S461" s="207">
        <f>IFERROR(SUMIF(data!$E:$E,科目余额表!$B461,data!O:O),0)</f>
        <v>-29892.959999999999</v>
      </c>
      <c r="T461" s="207">
        <f>IFERROR(SUMIF(data!$E:$E,科目余额表!$B461,data!P:P),0)</f>
        <v>-6809.16</v>
      </c>
      <c r="U461" s="207">
        <f>IFERROR(SUMIF(data!$E:$E,科目余额表!$B461,data!Q:Q),0)</f>
        <v>2998.6500000000015</v>
      </c>
      <c r="V461" s="207">
        <f>IFERROR(SUMIF(data!$E:$E,科目余额表!$B461,data!R:R),0)</f>
        <v>-40664.409999999996</v>
      </c>
      <c r="W461" s="207">
        <f>IFERROR(SUMIF(data!$E:$E,科目余额表!$B461,data!S:S),0)</f>
        <v>-25455.289999999997</v>
      </c>
      <c r="X461" s="207">
        <f t="shared" si="8"/>
        <v>-241520.51</v>
      </c>
      <c r="Y461" s="207"/>
      <c r="Z461" s="207"/>
      <c r="AA461" s="207"/>
      <c r="AB461" s="207"/>
      <c r="AC461" s="207"/>
      <c r="AD461" s="207"/>
      <c r="AE461" s="207"/>
      <c r="AF461" s="207"/>
    </row>
    <row r="462" spans="1:32" s="214" customFormat="1" ht="11.65" customHeight="1">
      <c r="A462" s="215"/>
      <c r="B462" s="220">
        <v>54008</v>
      </c>
      <c r="C462" s="205" t="s">
        <v>728</v>
      </c>
      <c r="D462" s="221">
        <f t="shared" si="7"/>
        <v>23.21</v>
      </c>
      <c r="E462" s="221">
        <v>8.0399999999999991</v>
      </c>
      <c r="F462" s="222">
        <f t="shared" si="9"/>
        <v>31.25</v>
      </c>
      <c r="G462" s="205" t="s">
        <v>720</v>
      </c>
      <c r="H462" s="225" t="s">
        <v>671</v>
      </c>
      <c r="J462" s="207" t="s">
        <v>672</v>
      </c>
      <c r="K462" s="207"/>
      <c r="L462" s="207">
        <f>IFERROR(SUMIF(data!$E:$E,科目余额表!$B462,data!H:H),0)</f>
        <v>0</v>
      </c>
      <c r="M462" s="207">
        <f>IFERROR(SUMIF(data!$E:$E,科目余额表!$B462,data!I:I),0)</f>
        <v>0</v>
      </c>
      <c r="N462" s="207">
        <f>IFERROR(SUMIF(data!$E:$E,科目余额表!$B462,data!J:J),0)</f>
        <v>0</v>
      </c>
      <c r="O462" s="207">
        <f>IFERROR(SUMIF(data!$E:$E,科目余额表!$B462,data!K:K),0)</f>
        <v>0</v>
      </c>
      <c r="P462" s="207">
        <f>IFERROR(SUMIF(data!$E:$E,科目余额表!$B462,data!L:L),0)</f>
        <v>-0.96</v>
      </c>
      <c r="Q462" s="207">
        <f>IFERROR(SUMIF(data!$E:$E,科目余额表!$B462,data!M:M),0)</f>
        <v>-1.68</v>
      </c>
      <c r="R462" s="207">
        <f>IFERROR(SUMIF(data!$E:$E,科目余额表!$B462,data!N:N),0)</f>
        <v>0</v>
      </c>
      <c r="S462" s="207">
        <f>IFERROR(SUMIF(data!$E:$E,科目余额表!$B462,data!O:O),0)</f>
        <v>0</v>
      </c>
      <c r="T462" s="207">
        <f>IFERROR(SUMIF(data!$E:$E,科目余额表!$B462,data!P:P),0)</f>
        <v>0</v>
      </c>
      <c r="U462" s="207">
        <f>IFERROR(SUMIF(data!$E:$E,科目余额表!$B462,data!Q:Q),0)</f>
        <v>-8.0500000000000007</v>
      </c>
      <c r="V462" s="207">
        <f>IFERROR(SUMIF(data!$E:$E,科目余额表!$B462,data!R:R),0)</f>
        <v>-12.52</v>
      </c>
      <c r="W462" s="207">
        <f>IFERROR(SUMIF(data!$E:$E,科目余额表!$B462,data!S:S),0)</f>
        <v>-8.0399999999999991</v>
      </c>
      <c r="X462" s="207">
        <f t="shared" si="8"/>
        <v>-31.25</v>
      </c>
      <c r="Y462" s="207"/>
      <c r="Z462" s="207"/>
      <c r="AA462" s="207"/>
      <c r="AB462" s="207"/>
      <c r="AC462" s="207"/>
      <c r="AD462" s="207"/>
      <c r="AE462" s="207"/>
      <c r="AF462" s="207"/>
    </row>
    <row r="463" spans="1:32" s="214" customFormat="1" ht="11.65" customHeight="1">
      <c r="A463" s="215"/>
      <c r="B463" s="220">
        <v>54009</v>
      </c>
      <c r="C463" s="205" t="s">
        <v>729</v>
      </c>
      <c r="D463" s="221">
        <f t="shared" si="7"/>
        <v>0</v>
      </c>
      <c r="E463" s="221">
        <v>0</v>
      </c>
      <c r="F463" s="222">
        <f t="shared" si="9"/>
        <v>0</v>
      </c>
      <c r="G463" s="205" t="s">
        <v>720</v>
      </c>
      <c r="H463" s="225" t="s">
        <v>671</v>
      </c>
      <c r="J463" s="207" t="s">
        <v>672</v>
      </c>
      <c r="K463" s="207"/>
      <c r="L463" s="207">
        <f>IFERROR(SUMIF(data!$E:$E,科目余额表!$B463,data!H:H),0)</f>
        <v>0</v>
      </c>
      <c r="M463" s="207">
        <f>IFERROR(SUMIF(data!$E:$E,科目余额表!$B463,data!I:I),0)</f>
        <v>0</v>
      </c>
      <c r="N463" s="207">
        <f>IFERROR(SUMIF(data!$E:$E,科目余额表!$B463,data!J:J),0)</f>
        <v>0</v>
      </c>
      <c r="O463" s="207">
        <f>IFERROR(SUMIF(data!$E:$E,科目余额表!$B463,data!K:K),0)</f>
        <v>0</v>
      </c>
      <c r="P463" s="207">
        <f>IFERROR(SUMIF(data!$E:$E,科目余额表!$B463,data!L:L),0)</f>
        <v>0</v>
      </c>
      <c r="Q463" s="207">
        <f>IFERROR(SUMIF(data!$E:$E,科目余额表!$B463,data!M:M),0)</f>
        <v>0</v>
      </c>
      <c r="R463" s="207">
        <f>IFERROR(SUMIF(data!$E:$E,科目余额表!$B463,data!N:N),0)</f>
        <v>0</v>
      </c>
      <c r="S463" s="207">
        <f>IFERROR(SUMIF(data!$E:$E,科目余额表!$B463,data!O:O),0)</f>
        <v>0</v>
      </c>
      <c r="T463" s="207">
        <f>IFERROR(SUMIF(data!$E:$E,科目余额表!$B463,data!P:P),0)</f>
        <v>0</v>
      </c>
      <c r="U463" s="207">
        <f>IFERROR(SUMIF(data!$E:$E,科目余额表!$B463,data!Q:Q),0)</f>
        <v>0</v>
      </c>
      <c r="V463" s="207">
        <f>IFERROR(SUMIF(data!$E:$E,科目余额表!$B463,data!R:R),0)</f>
        <v>0</v>
      </c>
      <c r="W463" s="207">
        <f>IFERROR(SUMIF(data!$E:$E,科目余额表!$B463,data!S:S),0)</f>
        <v>0</v>
      </c>
      <c r="X463" s="207">
        <f t="shared" si="8"/>
        <v>0</v>
      </c>
      <c r="Y463" s="207"/>
      <c r="Z463" s="207"/>
      <c r="AA463" s="207"/>
      <c r="AB463" s="207"/>
      <c r="AC463" s="207"/>
      <c r="AD463" s="207"/>
      <c r="AE463" s="207"/>
      <c r="AF463" s="207"/>
    </row>
    <row r="464" spans="1:32" s="214" customFormat="1" ht="11.65" customHeight="1">
      <c r="A464" s="215"/>
      <c r="B464" s="220">
        <v>54010</v>
      </c>
      <c r="C464" s="205" t="s">
        <v>730</v>
      </c>
      <c r="D464" s="221">
        <f t="shared" si="7"/>
        <v>45266.429999999993</v>
      </c>
      <c r="E464" s="221">
        <v>4811.32</v>
      </c>
      <c r="F464" s="222">
        <f t="shared" si="9"/>
        <v>50077.749999999993</v>
      </c>
      <c r="G464" s="205" t="s">
        <v>720</v>
      </c>
      <c r="H464" s="225" t="s">
        <v>671</v>
      </c>
      <c r="J464" s="207" t="s">
        <v>672</v>
      </c>
      <c r="K464" s="207"/>
      <c r="L464" s="207">
        <f>IFERROR(SUMIF(data!$E:$E,科目余额表!$B464,data!H:H),0)</f>
        <v>0</v>
      </c>
      <c r="M464" s="207">
        <f>IFERROR(SUMIF(data!$E:$E,科目余额表!$B464,data!I:I),0)</f>
        <v>0</v>
      </c>
      <c r="N464" s="207">
        <f>IFERROR(SUMIF(data!$E:$E,科目余额表!$B464,data!J:J),0)</f>
        <v>-4365.2299999999996</v>
      </c>
      <c r="O464" s="207">
        <f>IFERROR(SUMIF(data!$E:$E,科目余额表!$B464,data!K:K),0)</f>
        <v>0</v>
      </c>
      <c r="P464" s="207">
        <f>IFERROR(SUMIF(data!$E:$E,科目余额表!$B464,data!L:L),0)</f>
        <v>-12405.27</v>
      </c>
      <c r="Q464" s="207">
        <f>IFERROR(SUMIF(data!$E:$E,科目余额表!$B464,data!M:M),0)</f>
        <v>-56</v>
      </c>
      <c r="R464" s="207">
        <f>IFERROR(SUMIF(data!$E:$E,科目余额表!$B464,data!N:N),0)</f>
        <v>-4584.21</v>
      </c>
      <c r="S464" s="207">
        <f>IFERROR(SUMIF(data!$E:$E,科目余额表!$B464,data!O:O),0)</f>
        <v>-5150.0099999999993</v>
      </c>
      <c r="T464" s="207">
        <f>IFERROR(SUMIF(data!$E:$E,科目余额表!$B464,data!P:P),0)</f>
        <v>-6867.16</v>
      </c>
      <c r="U464" s="207">
        <f>IFERROR(SUMIF(data!$E:$E,科目余额表!$B464,data!Q:Q),0)</f>
        <v>-6077.02</v>
      </c>
      <c r="V464" s="207">
        <f>IFERROR(SUMIF(data!$E:$E,科目余额表!$B464,data!R:R),0)</f>
        <v>-5761.5300000000007</v>
      </c>
      <c r="W464" s="207">
        <f>IFERROR(SUMIF(data!$E:$E,科目余额表!$B464,data!S:S),0)</f>
        <v>-4811.32</v>
      </c>
      <c r="X464" s="207">
        <f t="shared" si="8"/>
        <v>-50077.749999999993</v>
      </c>
      <c r="Y464" s="207"/>
      <c r="Z464" s="207"/>
      <c r="AA464" s="207"/>
      <c r="AB464" s="207"/>
      <c r="AC464" s="207"/>
      <c r="AD464" s="207"/>
      <c r="AE464" s="207"/>
      <c r="AF464" s="207"/>
    </row>
    <row r="465" spans="1:32" s="214" customFormat="1" ht="11.65" customHeight="1">
      <c r="A465" s="215"/>
      <c r="B465" s="220">
        <v>54011</v>
      </c>
      <c r="C465" s="205" t="s">
        <v>731</v>
      </c>
      <c r="D465" s="221">
        <f t="shared" si="7"/>
        <v>0</v>
      </c>
      <c r="E465" s="221">
        <v>0</v>
      </c>
      <c r="F465" s="222">
        <f t="shared" si="9"/>
        <v>0</v>
      </c>
      <c r="G465" s="205" t="s">
        <v>720</v>
      </c>
      <c r="H465" s="225" t="s">
        <v>671</v>
      </c>
      <c r="J465" s="207" t="s">
        <v>672</v>
      </c>
      <c r="K465" s="207"/>
      <c r="L465" s="207">
        <f>IFERROR(SUMIF(data!$E:$E,科目余额表!$B465,data!H:H),0)</f>
        <v>0</v>
      </c>
      <c r="M465" s="207">
        <f>IFERROR(SUMIF(data!$E:$E,科目余额表!$B465,data!I:I),0)</f>
        <v>0</v>
      </c>
      <c r="N465" s="207">
        <f>IFERROR(SUMIF(data!$E:$E,科目余额表!$B465,data!J:J),0)</f>
        <v>0</v>
      </c>
      <c r="O465" s="207">
        <f>IFERROR(SUMIF(data!$E:$E,科目余额表!$B465,data!K:K),0)</f>
        <v>0</v>
      </c>
      <c r="P465" s="207">
        <f>IFERROR(SUMIF(data!$E:$E,科目余额表!$B465,data!L:L),0)</f>
        <v>0</v>
      </c>
      <c r="Q465" s="207">
        <f>IFERROR(SUMIF(data!$E:$E,科目余额表!$B465,data!M:M),0)</f>
        <v>0</v>
      </c>
      <c r="R465" s="207">
        <f>IFERROR(SUMIF(data!$E:$E,科目余额表!$B465,data!N:N),0)</f>
        <v>0</v>
      </c>
      <c r="S465" s="207">
        <f>IFERROR(SUMIF(data!$E:$E,科目余额表!$B465,data!O:O),0)</f>
        <v>0</v>
      </c>
      <c r="T465" s="207">
        <f>IFERROR(SUMIF(data!$E:$E,科目余额表!$B465,data!P:P),0)</f>
        <v>0</v>
      </c>
      <c r="U465" s="207">
        <f>IFERROR(SUMIF(data!$E:$E,科目余额表!$B465,data!Q:Q),0)</f>
        <v>0</v>
      </c>
      <c r="V465" s="207">
        <f>IFERROR(SUMIF(data!$E:$E,科目余额表!$B465,data!R:R),0)</f>
        <v>0</v>
      </c>
      <c r="W465" s="207">
        <f>IFERROR(SUMIF(data!$E:$E,科目余额表!$B465,data!S:S),0)</f>
        <v>0</v>
      </c>
      <c r="X465" s="207">
        <f t="shared" si="8"/>
        <v>0</v>
      </c>
      <c r="Y465" s="207"/>
      <c r="Z465" s="207"/>
      <c r="AA465" s="207"/>
      <c r="AB465" s="207"/>
      <c r="AC465" s="207"/>
      <c r="AD465" s="207"/>
      <c r="AE465" s="207"/>
      <c r="AF465" s="207"/>
    </row>
    <row r="466" spans="1:32" s="214" customFormat="1" ht="11.65" customHeight="1">
      <c r="A466" s="215"/>
      <c r="B466" s="220">
        <v>54012</v>
      </c>
      <c r="C466" s="205" t="s">
        <v>732</v>
      </c>
      <c r="D466" s="221">
        <f t="shared" si="7"/>
        <v>0</v>
      </c>
      <c r="E466" s="221">
        <v>0</v>
      </c>
      <c r="F466" s="222">
        <f t="shared" si="9"/>
        <v>0</v>
      </c>
      <c r="G466" s="205" t="s">
        <v>720</v>
      </c>
      <c r="H466" s="225" t="s">
        <v>671</v>
      </c>
      <c r="J466" s="207" t="s">
        <v>672</v>
      </c>
      <c r="K466" s="207"/>
      <c r="L466" s="207">
        <f>IFERROR(SUMIF(data!$E:$E,科目余额表!$B466,data!H:H),0)</f>
        <v>0</v>
      </c>
      <c r="M466" s="207">
        <f>IFERROR(SUMIF(data!$E:$E,科目余额表!$B466,data!I:I),0)</f>
        <v>0</v>
      </c>
      <c r="N466" s="207">
        <f>IFERROR(SUMIF(data!$E:$E,科目余额表!$B466,data!J:J),0)</f>
        <v>0</v>
      </c>
      <c r="O466" s="207">
        <f>IFERROR(SUMIF(data!$E:$E,科目余额表!$B466,data!K:K),0)</f>
        <v>0</v>
      </c>
      <c r="P466" s="207">
        <f>IFERROR(SUMIF(data!$E:$E,科目余额表!$B466,data!L:L),0)</f>
        <v>0</v>
      </c>
      <c r="Q466" s="207">
        <f>IFERROR(SUMIF(data!$E:$E,科目余额表!$B466,data!M:M),0)</f>
        <v>0</v>
      </c>
      <c r="R466" s="207">
        <f>IFERROR(SUMIF(data!$E:$E,科目余额表!$B466,data!N:N),0)</f>
        <v>0</v>
      </c>
      <c r="S466" s="207">
        <f>IFERROR(SUMIF(data!$E:$E,科目余额表!$B466,data!O:O),0)</f>
        <v>0</v>
      </c>
      <c r="T466" s="207">
        <f>IFERROR(SUMIF(data!$E:$E,科目余额表!$B466,data!P:P),0)</f>
        <v>0</v>
      </c>
      <c r="U466" s="207">
        <f>IFERROR(SUMIF(data!$E:$E,科目余额表!$B466,data!Q:Q),0)</f>
        <v>0</v>
      </c>
      <c r="V466" s="207">
        <f>IFERROR(SUMIF(data!$E:$E,科目余额表!$B466,data!R:R),0)</f>
        <v>0</v>
      </c>
      <c r="W466" s="207">
        <f>IFERROR(SUMIF(data!$E:$E,科目余额表!$B466,data!S:S),0)</f>
        <v>0</v>
      </c>
      <c r="X466" s="207">
        <f t="shared" si="8"/>
        <v>0</v>
      </c>
      <c r="Y466" s="207"/>
      <c r="Z466" s="207"/>
      <c r="AA466" s="207"/>
      <c r="AB466" s="207"/>
      <c r="AC466" s="207"/>
      <c r="AD466" s="207"/>
      <c r="AE466" s="207"/>
      <c r="AF466" s="207"/>
    </row>
    <row r="467" spans="1:32" s="214" customFormat="1" ht="11.65" customHeight="1">
      <c r="A467" s="215"/>
      <c r="B467" s="220">
        <v>54013</v>
      </c>
      <c r="C467" s="205" t="s">
        <v>733</v>
      </c>
      <c r="D467" s="221">
        <f t="shared" si="7"/>
        <v>0</v>
      </c>
      <c r="E467" s="221">
        <v>0</v>
      </c>
      <c r="F467" s="222">
        <f t="shared" si="9"/>
        <v>0</v>
      </c>
      <c r="G467" s="205" t="s">
        <v>720</v>
      </c>
      <c r="H467" s="225" t="s">
        <v>671</v>
      </c>
      <c r="J467" s="207" t="s">
        <v>672</v>
      </c>
      <c r="K467" s="207"/>
      <c r="L467" s="207">
        <f>IFERROR(SUMIF(data!$E:$E,科目余额表!$B467,data!H:H),0)</f>
        <v>0</v>
      </c>
      <c r="M467" s="207">
        <f>IFERROR(SUMIF(data!$E:$E,科目余额表!$B467,data!I:I),0)</f>
        <v>0</v>
      </c>
      <c r="N467" s="207">
        <f>IFERROR(SUMIF(data!$E:$E,科目余额表!$B467,data!J:J),0)</f>
        <v>0</v>
      </c>
      <c r="O467" s="207">
        <f>IFERROR(SUMIF(data!$E:$E,科目余额表!$B467,data!K:K),0)</f>
        <v>0</v>
      </c>
      <c r="P467" s="207">
        <f>IFERROR(SUMIF(data!$E:$E,科目余额表!$B467,data!L:L),0)</f>
        <v>0</v>
      </c>
      <c r="Q467" s="207">
        <f>IFERROR(SUMIF(data!$E:$E,科目余额表!$B467,data!M:M),0)</f>
        <v>0</v>
      </c>
      <c r="R467" s="207">
        <f>IFERROR(SUMIF(data!$E:$E,科目余额表!$B467,data!N:N),0)</f>
        <v>0</v>
      </c>
      <c r="S467" s="207">
        <f>IFERROR(SUMIF(data!$E:$E,科目余额表!$B467,data!O:O),0)</f>
        <v>0</v>
      </c>
      <c r="T467" s="207">
        <f>IFERROR(SUMIF(data!$E:$E,科目余额表!$B467,data!P:P),0)</f>
        <v>0</v>
      </c>
      <c r="U467" s="207">
        <f>IFERROR(SUMIF(data!$E:$E,科目余额表!$B467,data!Q:Q),0)</f>
        <v>0</v>
      </c>
      <c r="V467" s="207">
        <f>IFERROR(SUMIF(data!$E:$E,科目余额表!$B467,data!R:R),0)</f>
        <v>0</v>
      </c>
      <c r="W467" s="207">
        <f>IFERROR(SUMIF(data!$E:$E,科目余额表!$B467,data!S:S),0)</f>
        <v>0</v>
      </c>
      <c r="X467" s="207">
        <f t="shared" si="8"/>
        <v>0</v>
      </c>
      <c r="Y467" s="207"/>
      <c r="Z467" s="207"/>
      <c r="AA467" s="207"/>
      <c r="AB467" s="207"/>
      <c r="AC467" s="207"/>
      <c r="AD467" s="207"/>
      <c r="AE467" s="207"/>
      <c r="AF467" s="207"/>
    </row>
    <row r="468" spans="1:32" s="214" customFormat="1" ht="11.65" customHeight="1">
      <c r="A468" s="215"/>
      <c r="B468" s="220">
        <v>54014</v>
      </c>
      <c r="C468" s="205" t="s">
        <v>734</v>
      </c>
      <c r="D468" s="221">
        <f t="shared" si="7"/>
        <v>483138.27000000008</v>
      </c>
      <c r="E468" s="221">
        <v>26116.400000000001</v>
      </c>
      <c r="F468" s="222">
        <f t="shared" si="9"/>
        <v>509254.6700000001</v>
      </c>
      <c r="G468" s="205" t="s">
        <v>720</v>
      </c>
      <c r="H468" s="225" t="s">
        <v>671</v>
      </c>
      <c r="J468" s="207" t="s">
        <v>672</v>
      </c>
      <c r="K468" s="207"/>
      <c r="L468" s="207">
        <f>IFERROR(SUMIF(data!$E:$E,科目余额表!$B468,data!H:H),0)</f>
        <v>-59187.3</v>
      </c>
      <c r="M468" s="207">
        <f>IFERROR(SUMIF(data!$E:$E,科目余额表!$B468,data!I:I),0)</f>
        <v>-22516.400000000001</v>
      </c>
      <c r="N468" s="207">
        <f>IFERROR(SUMIF(data!$E:$E,科目余额表!$B468,data!J:J),0)</f>
        <v>-26430.800000000003</v>
      </c>
      <c r="O468" s="207">
        <f>IFERROR(SUMIF(data!$E:$E,科目余额表!$B468,data!K:K),0)</f>
        <v>-62135.360000000001</v>
      </c>
      <c r="P468" s="207">
        <f>IFERROR(SUMIF(data!$E:$E,科目余额表!$B468,data!L:L),0)</f>
        <v>-20587</v>
      </c>
      <c r="Q468" s="207">
        <f>IFERROR(SUMIF(data!$E:$E,科目余额表!$B468,data!M:M),0)</f>
        <v>-23264.06</v>
      </c>
      <c r="R468" s="207">
        <f>IFERROR(SUMIF(data!$E:$E,科目余额表!$B468,data!N:N),0)</f>
        <v>-28353.46</v>
      </c>
      <c r="S468" s="207">
        <f>IFERROR(SUMIF(data!$E:$E,科目余额表!$B468,data!O:O),0)</f>
        <v>-56940.840000000004</v>
      </c>
      <c r="T468" s="207">
        <f>IFERROR(SUMIF(data!$E:$E,科目余额表!$B468,data!P:P),0)</f>
        <v>-64123.839999999997</v>
      </c>
      <c r="U468" s="207">
        <f>IFERROR(SUMIF(data!$E:$E,科目余额表!$B468,data!Q:Q),0)</f>
        <v>-56475.28</v>
      </c>
      <c r="V468" s="207">
        <f>IFERROR(SUMIF(data!$E:$E,科目余额表!$B468,data!R:R),0)</f>
        <v>-63123.930000000008</v>
      </c>
      <c r="W468" s="207">
        <f>IFERROR(SUMIF(data!$E:$E,科目余额表!$B468,data!S:S),0)</f>
        <v>-26116.400000000001</v>
      </c>
      <c r="X468" s="207">
        <f t="shared" si="8"/>
        <v>-509254.6700000001</v>
      </c>
      <c r="Y468" s="207"/>
      <c r="Z468" s="207"/>
      <c r="AA468" s="207"/>
      <c r="AB468" s="207"/>
      <c r="AC468" s="207"/>
      <c r="AD468" s="207"/>
      <c r="AE468" s="207"/>
      <c r="AF468" s="207"/>
    </row>
    <row r="469" spans="1:32" s="214" customFormat="1" ht="11.65" customHeight="1">
      <c r="A469" s="215"/>
      <c r="B469" s="220">
        <v>54015</v>
      </c>
      <c r="C469" s="205" t="s">
        <v>735</v>
      </c>
      <c r="D469" s="221">
        <f t="shared" si="7"/>
        <v>0</v>
      </c>
      <c r="E469" s="221">
        <v>0</v>
      </c>
      <c r="F469" s="222">
        <f t="shared" si="9"/>
        <v>0</v>
      </c>
      <c r="G469" s="205" t="s">
        <v>720</v>
      </c>
      <c r="H469" s="225" t="s">
        <v>671</v>
      </c>
      <c r="J469" s="207" t="s">
        <v>672</v>
      </c>
      <c r="K469" s="207"/>
      <c r="L469" s="207">
        <f>IFERROR(SUMIF(data!$E:$E,科目余额表!$B469,data!H:H),0)</f>
        <v>0</v>
      </c>
      <c r="M469" s="207">
        <f>IFERROR(SUMIF(data!$E:$E,科目余额表!$B469,data!I:I),0)</f>
        <v>0</v>
      </c>
      <c r="N469" s="207">
        <f>IFERROR(SUMIF(data!$E:$E,科目余额表!$B469,data!J:J),0)</f>
        <v>0</v>
      </c>
      <c r="O469" s="207">
        <f>IFERROR(SUMIF(data!$E:$E,科目余额表!$B469,data!K:K),0)</f>
        <v>0</v>
      </c>
      <c r="P469" s="207">
        <f>IFERROR(SUMIF(data!$E:$E,科目余额表!$B469,data!L:L),0)</f>
        <v>0</v>
      </c>
      <c r="Q469" s="207">
        <f>IFERROR(SUMIF(data!$E:$E,科目余额表!$B469,data!M:M),0)</f>
        <v>0</v>
      </c>
      <c r="R469" s="207">
        <f>IFERROR(SUMIF(data!$E:$E,科目余额表!$B469,data!N:N),0)</f>
        <v>0</v>
      </c>
      <c r="S469" s="207">
        <f>IFERROR(SUMIF(data!$E:$E,科目余额表!$B469,data!O:O),0)</f>
        <v>0</v>
      </c>
      <c r="T469" s="207">
        <f>IFERROR(SUMIF(data!$E:$E,科目余额表!$B469,data!P:P),0)</f>
        <v>0</v>
      </c>
      <c r="U469" s="207">
        <f>IFERROR(SUMIF(data!$E:$E,科目余额表!$B469,data!Q:Q),0)</f>
        <v>0</v>
      </c>
      <c r="V469" s="207">
        <f>IFERROR(SUMIF(data!$E:$E,科目余额表!$B469,data!R:R),0)</f>
        <v>0</v>
      </c>
      <c r="W469" s="207">
        <f>IFERROR(SUMIF(data!$E:$E,科目余额表!$B469,data!S:S),0)</f>
        <v>0</v>
      </c>
      <c r="X469" s="207">
        <f t="shared" si="8"/>
        <v>0</v>
      </c>
      <c r="Y469" s="207"/>
      <c r="Z469" s="207"/>
      <c r="AA469" s="207"/>
      <c r="AB469" s="207"/>
      <c r="AC469" s="207"/>
      <c r="AD469" s="207"/>
      <c r="AE469" s="207"/>
      <c r="AF469" s="207"/>
    </row>
    <row r="470" spans="1:32" s="214" customFormat="1" ht="11.65" customHeight="1">
      <c r="A470" s="215"/>
      <c r="B470" s="220">
        <v>54016</v>
      </c>
      <c r="C470" s="205" t="s">
        <v>736</v>
      </c>
      <c r="D470" s="221">
        <f t="shared" si="7"/>
        <v>47428.66</v>
      </c>
      <c r="E470" s="221">
        <v>0</v>
      </c>
      <c r="F470" s="222">
        <f t="shared" si="9"/>
        <v>47428.66</v>
      </c>
      <c r="G470" s="205" t="s">
        <v>720</v>
      </c>
      <c r="H470" s="225" t="s">
        <v>671</v>
      </c>
      <c r="J470" s="207" t="s">
        <v>672</v>
      </c>
      <c r="K470" s="207"/>
      <c r="L470" s="207">
        <f>IFERROR(SUMIF(data!$E:$E,科目余额表!$B470,data!H:H),0)</f>
        <v>-10177.43</v>
      </c>
      <c r="M470" s="207">
        <f>IFERROR(SUMIF(data!$E:$E,科目余额表!$B470,data!I:I),0)</f>
        <v>-9968.34</v>
      </c>
      <c r="N470" s="207">
        <f>IFERROR(SUMIF(data!$E:$E,科目余额表!$B470,data!J:J),0)</f>
        <v>-13274.74</v>
      </c>
      <c r="O470" s="207">
        <f>IFERROR(SUMIF(data!$E:$E,科目余额表!$B470,data!K:K),0)</f>
        <v>0</v>
      </c>
      <c r="P470" s="207">
        <f>IFERROR(SUMIF(data!$E:$E,科目余额表!$B470,data!L:L),0)</f>
        <v>0</v>
      </c>
      <c r="Q470" s="207">
        <f>IFERROR(SUMIF(data!$E:$E,科目余额表!$B470,data!M:M),0)</f>
        <v>0</v>
      </c>
      <c r="R470" s="207">
        <f>IFERROR(SUMIF(data!$E:$E,科目余额表!$B470,data!N:N),0)</f>
        <v>0</v>
      </c>
      <c r="S470" s="207">
        <f>IFERROR(SUMIF(data!$E:$E,科目余额表!$B470,data!O:O),0)</f>
        <v>0</v>
      </c>
      <c r="T470" s="207">
        <f>IFERROR(SUMIF(data!$E:$E,科目余额表!$B470,data!P:P),0)</f>
        <v>-3742.5</v>
      </c>
      <c r="U470" s="207">
        <f>IFERROR(SUMIF(data!$E:$E,科目余额表!$B470,data!Q:Q),0)</f>
        <v>0</v>
      </c>
      <c r="V470" s="207">
        <f>IFERROR(SUMIF(data!$E:$E,科目余额表!$B470,data!R:R),0)</f>
        <v>-10265.65</v>
      </c>
      <c r="W470" s="207">
        <f>IFERROR(SUMIF(data!$E:$E,科目余额表!$B470,data!S:S),0)</f>
        <v>0</v>
      </c>
      <c r="X470" s="207">
        <f t="shared" si="8"/>
        <v>-47428.66</v>
      </c>
      <c r="Y470" s="207"/>
      <c r="Z470" s="207"/>
      <c r="AA470" s="207"/>
      <c r="AB470" s="207"/>
      <c r="AC470" s="207"/>
      <c r="AD470" s="207"/>
      <c r="AE470" s="207"/>
      <c r="AF470" s="207"/>
    </row>
    <row r="471" spans="1:32" s="214" customFormat="1" ht="11.65" customHeight="1">
      <c r="A471" s="215"/>
      <c r="B471" s="220">
        <v>54017</v>
      </c>
      <c r="C471" s="205" t="s">
        <v>737</v>
      </c>
      <c r="D471" s="221">
        <f t="shared" si="7"/>
        <v>8150</v>
      </c>
      <c r="E471" s="221">
        <v>-21</v>
      </c>
      <c r="F471" s="222">
        <f t="shared" si="9"/>
        <v>8129</v>
      </c>
      <c r="G471" s="205" t="s">
        <v>720</v>
      </c>
      <c r="H471" s="225" t="s">
        <v>671</v>
      </c>
      <c r="J471" s="207" t="s">
        <v>672</v>
      </c>
      <c r="K471" s="207"/>
      <c r="L471" s="207">
        <f>IFERROR(SUMIF(data!$E:$E,科目余额表!$B471,data!H:H),0)</f>
        <v>0</v>
      </c>
      <c r="M471" s="207">
        <f>IFERROR(SUMIF(data!$E:$E,科目余额表!$B471,data!I:I),0)</f>
        <v>0</v>
      </c>
      <c r="N471" s="207">
        <f>IFERROR(SUMIF(data!$E:$E,科目余额表!$B471,data!J:J),0)</f>
        <v>0</v>
      </c>
      <c r="O471" s="207">
        <f>IFERROR(SUMIF(data!$E:$E,科目余额表!$B471,data!K:K),0)</f>
        <v>0</v>
      </c>
      <c r="P471" s="207">
        <f>IFERROR(SUMIF(data!$E:$E,科目余额表!$B471,data!L:L),0)</f>
        <v>-8904</v>
      </c>
      <c r="Q471" s="207">
        <f>IFERROR(SUMIF(data!$E:$E,科目余额表!$B471,data!M:M),0)</f>
        <v>4004</v>
      </c>
      <c r="R471" s="207">
        <f>IFERROR(SUMIF(data!$E:$E,科目余额表!$B471,data!N:N),0)</f>
        <v>0</v>
      </c>
      <c r="S471" s="207">
        <f>IFERROR(SUMIF(data!$E:$E,科目余额表!$B471,data!O:O),0)</f>
        <v>0</v>
      </c>
      <c r="T471" s="207">
        <f>IFERROR(SUMIF(data!$E:$E,科目余额表!$B471,data!P:P),0)</f>
        <v>0</v>
      </c>
      <c r="U471" s="207">
        <f>IFERROR(SUMIF(data!$E:$E,科目余额表!$B471,data!Q:Q),0)</f>
        <v>0</v>
      </c>
      <c r="V471" s="207">
        <f>IFERROR(SUMIF(data!$E:$E,科目余额表!$B471,data!R:R),0)</f>
        <v>-3250</v>
      </c>
      <c r="W471" s="207">
        <f>IFERROR(SUMIF(data!$E:$E,科目余额表!$B471,data!S:S),0)</f>
        <v>21</v>
      </c>
      <c r="X471" s="207">
        <f t="shared" si="8"/>
        <v>-8129</v>
      </c>
      <c r="Y471" s="207"/>
      <c r="Z471" s="207"/>
      <c r="AA471" s="207"/>
      <c r="AB471" s="207"/>
      <c r="AC471" s="207"/>
      <c r="AD471" s="207"/>
      <c r="AE471" s="207"/>
      <c r="AF471" s="207"/>
    </row>
    <row r="472" spans="1:32" s="214" customFormat="1" ht="11.65" customHeight="1">
      <c r="A472" s="215"/>
      <c r="B472" s="220">
        <v>54018</v>
      </c>
      <c r="C472" s="205" t="s">
        <v>738</v>
      </c>
      <c r="D472" s="221">
        <f t="shared" si="7"/>
        <v>0</v>
      </c>
      <c r="E472" s="221">
        <v>0</v>
      </c>
      <c r="F472" s="222">
        <f t="shared" si="9"/>
        <v>0</v>
      </c>
      <c r="G472" s="205" t="s">
        <v>720</v>
      </c>
      <c r="H472" s="225" t="s">
        <v>671</v>
      </c>
      <c r="J472" s="207" t="s">
        <v>672</v>
      </c>
      <c r="K472" s="207"/>
      <c r="L472" s="207">
        <f>IFERROR(SUMIF(data!$E:$E,科目余额表!$B472,data!H:H),0)</f>
        <v>0</v>
      </c>
      <c r="M472" s="207">
        <f>IFERROR(SUMIF(data!$E:$E,科目余额表!$B472,data!I:I),0)</f>
        <v>0</v>
      </c>
      <c r="N472" s="207">
        <f>IFERROR(SUMIF(data!$E:$E,科目余额表!$B472,data!J:J),0)</f>
        <v>0</v>
      </c>
      <c r="O472" s="207">
        <f>IFERROR(SUMIF(data!$E:$E,科目余额表!$B472,data!K:K),0)</f>
        <v>0</v>
      </c>
      <c r="P472" s="207">
        <f>IFERROR(SUMIF(data!$E:$E,科目余额表!$B472,data!L:L),0)</f>
        <v>0</v>
      </c>
      <c r="Q472" s="207">
        <f>IFERROR(SUMIF(data!$E:$E,科目余额表!$B472,data!M:M),0)</f>
        <v>0</v>
      </c>
      <c r="R472" s="207">
        <f>IFERROR(SUMIF(data!$E:$E,科目余额表!$B472,data!N:N),0)</f>
        <v>0</v>
      </c>
      <c r="S472" s="207">
        <f>IFERROR(SUMIF(data!$E:$E,科目余额表!$B472,data!O:O),0)</f>
        <v>0</v>
      </c>
      <c r="T472" s="207">
        <f>IFERROR(SUMIF(data!$E:$E,科目余额表!$B472,data!P:P),0)</f>
        <v>0</v>
      </c>
      <c r="U472" s="207">
        <f>IFERROR(SUMIF(data!$E:$E,科目余额表!$B472,data!Q:Q),0)</f>
        <v>0</v>
      </c>
      <c r="V472" s="207">
        <f>IFERROR(SUMIF(data!$E:$E,科目余额表!$B472,data!R:R),0)</f>
        <v>0</v>
      </c>
      <c r="W472" s="207">
        <f>IFERROR(SUMIF(data!$E:$E,科目余额表!$B472,data!S:S),0)</f>
        <v>0</v>
      </c>
      <c r="X472" s="207">
        <f t="shared" si="8"/>
        <v>0</v>
      </c>
      <c r="Y472" s="207"/>
      <c r="Z472" s="207"/>
      <c r="AA472" s="207"/>
      <c r="AB472" s="207"/>
      <c r="AC472" s="207"/>
      <c r="AD472" s="207"/>
      <c r="AE472" s="207"/>
      <c r="AF472" s="207"/>
    </row>
    <row r="473" spans="1:32" s="214" customFormat="1" ht="11.65" customHeight="1">
      <c r="A473" s="215"/>
      <c r="B473" s="220">
        <v>54019</v>
      </c>
      <c r="C473" s="205" t="s">
        <v>739</v>
      </c>
      <c r="D473" s="221">
        <f t="shared" si="7"/>
        <v>43080.28</v>
      </c>
      <c r="E473" s="221">
        <v>0</v>
      </c>
      <c r="F473" s="222">
        <f t="shared" si="9"/>
        <v>43080.28</v>
      </c>
      <c r="G473" s="205" t="s">
        <v>720</v>
      </c>
      <c r="H473" s="225" t="s">
        <v>671</v>
      </c>
      <c r="J473" s="207" t="s">
        <v>672</v>
      </c>
      <c r="K473" s="207"/>
      <c r="L473" s="207">
        <f>IFERROR(SUMIF(data!$E:$E,科目余额表!$B473,data!H:H),0)</f>
        <v>-23000</v>
      </c>
      <c r="M473" s="207">
        <f>IFERROR(SUMIF(data!$E:$E,科目余额表!$B473,data!I:I),0)</f>
        <v>0</v>
      </c>
      <c r="N473" s="207">
        <f>IFERROR(SUMIF(data!$E:$E,科目余额表!$B473,data!J:J),0)</f>
        <v>0</v>
      </c>
      <c r="O473" s="207">
        <f>IFERROR(SUMIF(data!$E:$E,科目余额表!$B473,data!K:K),0)</f>
        <v>852.31999999999971</v>
      </c>
      <c r="P473" s="207">
        <f>IFERROR(SUMIF(data!$E:$E,科目余额表!$B473,data!L:L),0)</f>
        <v>0</v>
      </c>
      <c r="Q473" s="207">
        <f>IFERROR(SUMIF(data!$E:$E,科目余额表!$B473,data!M:M),0)</f>
        <v>0</v>
      </c>
      <c r="R473" s="207">
        <f>IFERROR(SUMIF(data!$E:$E,科目余额表!$B473,data!N:N),0)</f>
        <v>0</v>
      </c>
      <c r="S473" s="207">
        <f>IFERROR(SUMIF(data!$E:$E,科目余额表!$B473,data!O:O),0)</f>
        <v>-20932.599999999999</v>
      </c>
      <c r="T473" s="207">
        <f>IFERROR(SUMIF(data!$E:$E,科目余额表!$B473,data!P:P),0)</f>
        <v>0</v>
      </c>
      <c r="U473" s="207">
        <f>IFERROR(SUMIF(data!$E:$E,科目余额表!$B473,data!Q:Q),0)</f>
        <v>0</v>
      </c>
      <c r="V473" s="207">
        <f>IFERROR(SUMIF(data!$E:$E,科目余额表!$B473,data!R:R),0)</f>
        <v>0</v>
      </c>
      <c r="W473" s="207">
        <f>IFERROR(SUMIF(data!$E:$E,科目余额表!$B473,data!S:S),0)</f>
        <v>0</v>
      </c>
      <c r="X473" s="207">
        <f t="shared" si="8"/>
        <v>-43080.28</v>
      </c>
      <c r="Y473" s="207"/>
      <c r="Z473" s="207"/>
      <c r="AA473" s="207"/>
      <c r="AB473" s="207"/>
      <c r="AC473" s="207"/>
      <c r="AD473" s="207"/>
      <c r="AE473" s="207"/>
      <c r="AF473" s="207"/>
    </row>
    <row r="474" spans="1:32" s="214" customFormat="1" ht="11.65" customHeight="1">
      <c r="A474" s="215"/>
      <c r="B474" s="220">
        <v>54020</v>
      </c>
      <c r="C474" s="205" t="s">
        <v>740</v>
      </c>
      <c r="D474" s="221">
        <f t="shared" si="7"/>
        <v>214245.30000000002</v>
      </c>
      <c r="E474" s="221">
        <v>18346.7</v>
      </c>
      <c r="F474" s="222">
        <f t="shared" si="9"/>
        <v>232592.00000000003</v>
      </c>
      <c r="G474" s="205" t="s">
        <v>720</v>
      </c>
      <c r="H474" s="225" t="s">
        <v>671</v>
      </c>
      <c r="J474" s="207" t="s">
        <v>672</v>
      </c>
      <c r="K474" s="207"/>
      <c r="L474" s="207">
        <f>IFERROR(SUMIF(data!$E:$E,科目余额表!$B474,data!H:H),0)</f>
        <v>-34943.99</v>
      </c>
      <c r="M474" s="207">
        <f>IFERROR(SUMIF(data!$E:$E,科目余额表!$B474,data!I:I),0)</f>
        <v>-20632.560000000001</v>
      </c>
      <c r="N474" s="207">
        <f>IFERROR(SUMIF(data!$E:$E,科目余额表!$B474,data!J:J),0)</f>
        <v>-16498.53</v>
      </c>
      <c r="O474" s="207">
        <f>IFERROR(SUMIF(data!$E:$E,科目余额表!$B474,data!K:K),0)</f>
        <v>-16403.400000000001</v>
      </c>
      <c r="P474" s="207">
        <f>IFERROR(SUMIF(data!$E:$E,科目余额表!$B474,data!L:L),0)</f>
        <v>-12678.789999999997</v>
      </c>
      <c r="Q474" s="207">
        <f>IFERROR(SUMIF(data!$E:$E,科目余额表!$B474,data!M:M),0)</f>
        <v>-20867.719999999998</v>
      </c>
      <c r="R474" s="207">
        <f>IFERROR(SUMIF(data!$E:$E,科目余额表!$B474,data!N:N),0)</f>
        <v>-11371.589999999998</v>
      </c>
      <c r="S474" s="207">
        <f>IFERROR(SUMIF(data!$E:$E,科目余额表!$B474,data!O:O),0)</f>
        <v>-8841.1</v>
      </c>
      <c r="T474" s="207">
        <f>IFERROR(SUMIF(data!$E:$E,科目余额表!$B474,data!P:P),0)</f>
        <v>-36374.97</v>
      </c>
      <c r="U474" s="207">
        <f>IFERROR(SUMIF(data!$E:$E,科目余额表!$B474,data!Q:Q),0)</f>
        <v>-15530.61</v>
      </c>
      <c r="V474" s="207">
        <f>IFERROR(SUMIF(data!$E:$E,科目余额表!$B474,data!R:R),0)</f>
        <v>-20102.04</v>
      </c>
      <c r="W474" s="207">
        <f>IFERROR(SUMIF(data!$E:$E,科目余额表!$B474,data!S:S),0)</f>
        <v>-18346.7</v>
      </c>
      <c r="X474" s="207">
        <f t="shared" si="8"/>
        <v>-232592.00000000003</v>
      </c>
      <c r="Y474" s="207"/>
      <c r="Z474" s="207"/>
      <c r="AA474" s="207"/>
      <c r="AB474" s="207"/>
      <c r="AC474" s="207"/>
      <c r="AD474" s="207"/>
      <c r="AE474" s="207"/>
      <c r="AF474" s="207"/>
    </row>
    <row r="475" spans="1:32" s="214" customFormat="1" ht="11.65" customHeight="1">
      <c r="A475" s="215"/>
      <c r="B475" s="220">
        <v>54021</v>
      </c>
      <c r="C475" s="205" t="s">
        <v>741</v>
      </c>
      <c r="D475" s="221">
        <f t="shared" si="7"/>
        <v>13766.130000000003</v>
      </c>
      <c r="E475" s="221">
        <v>8194.86</v>
      </c>
      <c r="F475" s="222">
        <f t="shared" si="9"/>
        <v>21960.990000000005</v>
      </c>
      <c r="G475" s="205" t="s">
        <v>720</v>
      </c>
      <c r="H475" s="225" t="s">
        <v>671</v>
      </c>
      <c r="J475" s="207" t="s">
        <v>672</v>
      </c>
      <c r="K475" s="207"/>
      <c r="L475" s="207">
        <f>IFERROR(SUMIF(data!$E:$E,科目余额表!$B475,data!H:H),0)</f>
        <v>-340.52</v>
      </c>
      <c r="M475" s="207">
        <f>IFERROR(SUMIF(data!$E:$E,科目余额表!$B475,data!I:I),0)</f>
        <v>-284.47000000000003</v>
      </c>
      <c r="N475" s="207">
        <f>IFERROR(SUMIF(data!$E:$E,科目余额表!$B475,data!J:J),0)</f>
        <v>-1183.7000000000007</v>
      </c>
      <c r="O475" s="207">
        <f>IFERROR(SUMIF(data!$E:$E,科目余额表!$B475,data!K:K),0)</f>
        <v>-699.20000000000073</v>
      </c>
      <c r="P475" s="207">
        <f>IFERROR(SUMIF(data!$E:$E,科目余额表!$B475,data!L:L),0)</f>
        <v>-486.25</v>
      </c>
      <c r="Q475" s="207">
        <f>IFERROR(SUMIF(data!$E:$E,科目余额表!$B475,data!M:M),0)</f>
        <v>-674</v>
      </c>
      <c r="R475" s="207">
        <f>IFERROR(SUMIF(data!$E:$E,科目余额表!$B475,data!N:N),0)</f>
        <v>-197</v>
      </c>
      <c r="S475" s="207">
        <f>IFERROR(SUMIF(data!$E:$E,科目余额表!$B475,data!O:O),0)</f>
        <v>-4015</v>
      </c>
      <c r="T475" s="207">
        <f>IFERROR(SUMIF(data!$E:$E,科目余额表!$B475,data!P:P),0)</f>
        <v>-2919.55</v>
      </c>
      <c r="U475" s="207">
        <f>IFERROR(SUMIF(data!$E:$E,科目余额表!$B475,data!Q:Q),0)</f>
        <v>-2309.69</v>
      </c>
      <c r="V475" s="207">
        <f>IFERROR(SUMIF(data!$E:$E,科目余额表!$B475,data!R:R),0)</f>
        <v>-656.75</v>
      </c>
      <c r="W475" s="207">
        <f>IFERROR(SUMIF(data!$E:$E,科目余额表!$B475,data!S:S),0)</f>
        <v>-8194.86</v>
      </c>
      <c r="X475" s="207">
        <f t="shared" si="8"/>
        <v>-21960.990000000005</v>
      </c>
      <c r="Y475" s="207"/>
      <c r="Z475" s="207"/>
      <c r="AA475" s="207"/>
      <c r="AB475" s="207"/>
      <c r="AC475" s="207"/>
      <c r="AD475" s="207"/>
      <c r="AE475" s="207"/>
      <c r="AF475" s="207"/>
    </row>
    <row r="476" spans="1:32" s="214" customFormat="1" ht="11.65" customHeight="1">
      <c r="A476" s="215"/>
      <c r="B476" s="220">
        <v>54022</v>
      </c>
      <c r="C476" s="205" t="s">
        <v>742</v>
      </c>
      <c r="D476" s="221">
        <f t="shared" si="7"/>
        <v>135776.71000000002</v>
      </c>
      <c r="E476" s="221">
        <v>11210</v>
      </c>
      <c r="F476" s="222">
        <f t="shared" si="9"/>
        <v>146986.71000000002</v>
      </c>
      <c r="G476" s="205" t="s">
        <v>720</v>
      </c>
      <c r="H476" s="225" t="s">
        <v>671</v>
      </c>
      <c r="J476" s="207" t="s">
        <v>672</v>
      </c>
      <c r="K476" s="207"/>
      <c r="L476" s="207">
        <f>IFERROR(SUMIF(data!$E:$E,科目余额表!$B476,data!H:H),0)</f>
        <v>-14068</v>
      </c>
      <c r="M476" s="207">
        <f>IFERROR(SUMIF(data!$E:$E,科目余额表!$B476,data!I:I),0)</f>
        <v>-10956.009999999998</v>
      </c>
      <c r="N476" s="207">
        <f>IFERROR(SUMIF(data!$E:$E,科目余额表!$B476,data!J:J),0)</f>
        <v>-11909.89</v>
      </c>
      <c r="O476" s="207">
        <f>IFERROR(SUMIF(data!$E:$E,科目余额表!$B476,data!K:K),0)</f>
        <v>-14175.47</v>
      </c>
      <c r="P476" s="207">
        <f>IFERROR(SUMIF(data!$E:$E,科目余额表!$B476,data!L:L),0)</f>
        <v>-5263</v>
      </c>
      <c r="Q476" s="207">
        <f>IFERROR(SUMIF(data!$E:$E,科目余额表!$B476,data!M:M),0)</f>
        <v>-2331.19</v>
      </c>
      <c r="R476" s="207">
        <f>IFERROR(SUMIF(data!$E:$E,科目余额表!$B476,data!N:N),0)</f>
        <v>-7641.15</v>
      </c>
      <c r="S476" s="207">
        <f>IFERROR(SUMIF(data!$E:$E,科目余额表!$B476,data!O:O),0)</f>
        <v>-11338.07</v>
      </c>
      <c r="T476" s="207">
        <f>IFERROR(SUMIF(data!$E:$E,科目余额表!$B476,data!P:P),0)</f>
        <v>-35135.730000000003</v>
      </c>
      <c r="U476" s="207">
        <f>IFERROR(SUMIF(data!$E:$E,科目余额表!$B476,data!Q:Q),0)</f>
        <v>-17543.2</v>
      </c>
      <c r="V476" s="207">
        <f>IFERROR(SUMIF(data!$E:$E,科目余额表!$B476,data!R:R),0)</f>
        <v>-5415</v>
      </c>
      <c r="W476" s="207">
        <f>IFERROR(SUMIF(data!$E:$E,科目余额表!$B476,data!S:S),0)</f>
        <v>-11210</v>
      </c>
      <c r="X476" s="207">
        <f t="shared" si="8"/>
        <v>-146986.71000000002</v>
      </c>
      <c r="Y476" s="207"/>
      <c r="Z476" s="207"/>
      <c r="AA476" s="207"/>
      <c r="AB476" s="207"/>
      <c r="AC476" s="207"/>
      <c r="AD476" s="207"/>
      <c r="AE476" s="207"/>
      <c r="AF476" s="207"/>
    </row>
    <row r="477" spans="1:32" s="214" customFormat="1" ht="11.65" customHeight="1">
      <c r="A477" s="215"/>
      <c r="B477" s="220">
        <v>54023</v>
      </c>
      <c r="C477" s="205" t="s">
        <v>743</v>
      </c>
      <c r="D477" s="221">
        <f t="shared" ref="D477:D540" si="10">-SUM(L477:V477)</f>
        <v>0</v>
      </c>
      <c r="E477" s="221">
        <v>0</v>
      </c>
      <c r="F477" s="222">
        <f t="shared" si="9"/>
        <v>0</v>
      </c>
      <c r="G477" s="205" t="s">
        <v>720</v>
      </c>
      <c r="H477" s="225" t="s">
        <v>671</v>
      </c>
      <c r="J477" s="207" t="s">
        <v>672</v>
      </c>
      <c r="K477" s="207"/>
      <c r="L477" s="207">
        <f>IFERROR(SUMIF(data!$E:$E,科目余额表!$B477,data!H:H),0)</f>
        <v>0</v>
      </c>
      <c r="M477" s="207">
        <f>IFERROR(SUMIF(data!$E:$E,科目余额表!$B477,data!I:I),0)</f>
        <v>0</v>
      </c>
      <c r="N477" s="207">
        <f>IFERROR(SUMIF(data!$E:$E,科目余额表!$B477,data!J:J),0)</f>
        <v>0</v>
      </c>
      <c r="O477" s="207">
        <f>IFERROR(SUMIF(data!$E:$E,科目余额表!$B477,data!K:K),0)</f>
        <v>0</v>
      </c>
      <c r="P477" s="207">
        <f>IFERROR(SUMIF(data!$E:$E,科目余额表!$B477,data!L:L),0)</f>
        <v>0</v>
      </c>
      <c r="Q477" s="207">
        <f>IFERROR(SUMIF(data!$E:$E,科目余额表!$B477,data!M:M),0)</f>
        <v>0</v>
      </c>
      <c r="R477" s="207">
        <f>IFERROR(SUMIF(data!$E:$E,科目余额表!$B477,data!N:N),0)</f>
        <v>0</v>
      </c>
      <c r="S477" s="207">
        <f>IFERROR(SUMIF(data!$E:$E,科目余额表!$B477,data!O:O),0)</f>
        <v>0</v>
      </c>
      <c r="T477" s="207">
        <f>IFERROR(SUMIF(data!$E:$E,科目余额表!$B477,data!P:P),0)</f>
        <v>0</v>
      </c>
      <c r="U477" s="207">
        <f>IFERROR(SUMIF(data!$E:$E,科目余额表!$B477,data!Q:Q),0)</f>
        <v>0</v>
      </c>
      <c r="V477" s="207">
        <f>IFERROR(SUMIF(data!$E:$E,科目余额表!$B477,data!R:R),0)</f>
        <v>0</v>
      </c>
      <c r="W477" s="207">
        <f>IFERROR(SUMIF(data!$E:$E,科目余额表!$B477,data!S:S),0)</f>
        <v>0</v>
      </c>
      <c r="X477" s="207">
        <f t="shared" ref="X477:X540" si="11">SUM(L477:W477)</f>
        <v>0</v>
      </c>
      <c r="Y477" s="207"/>
      <c r="Z477" s="207"/>
      <c r="AA477" s="207"/>
      <c r="AB477" s="207"/>
      <c r="AC477" s="207"/>
      <c r="AD477" s="207"/>
      <c r="AE477" s="207"/>
      <c r="AF477" s="207"/>
    </row>
    <row r="478" spans="1:32" s="214" customFormat="1" ht="11.65" customHeight="1">
      <c r="A478" s="215"/>
      <c r="B478" s="220">
        <v>54024</v>
      </c>
      <c r="C478" s="205" t="s">
        <v>744</v>
      </c>
      <c r="D478" s="221">
        <f t="shared" si="10"/>
        <v>0</v>
      </c>
      <c r="E478" s="221">
        <v>0</v>
      </c>
      <c r="F478" s="222">
        <f t="shared" si="9"/>
        <v>0</v>
      </c>
      <c r="G478" s="205" t="s">
        <v>720</v>
      </c>
      <c r="H478" s="225" t="s">
        <v>671</v>
      </c>
      <c r="J478" s="207" t="s">
        <v>672</v>
      </c>
      <c r="K478" s="207"/>
      <c r="L478" s="207">
        <f>IFERROR(SUMIF(data!$E:$E,科目余额表!$B478,data!H:H),0)</f>
        <v>0</v>
      </c>
      <c r="M478" s="207">
        <f>IFERROR(SUMIF(data!$E:$E,科目余额表!$B478,data!I:I),0)</f>
        <v>0</v>
      </c>
      <c r="N478" s="207">
        <f>IFERROR(SUMIF(data!$E:$E,科目余额表!$B478,data!J:J),0)</f>
        <v>0</v>
      </c>
      <c r="O478" s="207">
        <f>IFERROR(SUMIF(data!$E:$E,科目余额表!$B478,data!K:K),0)</f>
        <v>0</v>
      </c>
      <c r="P478" s="207">
        <f>IFERROR(SUMIF(data!$E:$E,科目余额表!$B478,data!L:L),0)</f>
        <v>0</v>
      </c>
      <c r="Q478" s="207">
        <f>IFERROR(SUMIF(data!$E:$E,科目余额表!$B478,data!M:M),0)</f>
        <v>0</v>
      </c>
      <c r="R478" s="207">
        <f>IFERROR(SUMIF(data!$E:$E,科目余额表!$B478,data!N:N),0)</f>
        <v>0</v>
      </c>
      <c r="S478" s="207">
        <f>IFERROR(SUMIF(data!$E:$E,科目余额表!$B478,data!O:O),0)</f>
        <v>0</v>
      </c>
      <c r="T478" s="207">
        <f>IFERROR(SUMIF(data!$E:$E,科目余额表!$B478,data!P:P),0)</f>
        <v>0</v>
      </c>
      <c r="U478" s="207">
        <f>IFERROR(SUMIF(data!$E:$E,科目余额表!$B478,data!Q:Q),0)</f>
        <v>0</v>
      </c>
      <c r="V478" s="207">
        <f>IFERROR(SUMIF(data!$E:$E,科目余额表!$B478,data!R:R),0)</f>
        <v>0</v>
      </c>
      <c r="W478" s="207">
        <f>IFERROR(SUMIF(data!$E:$E,科目余额表!$B478,data!S:S),0)</f>
        <v>0</v>
      </c>
      <c r="X478" s="207">
        <f t="shared" si="11"/>
        <v>0</v>
      </c>
      <c r="Y478" s="207"/>
      <c r="Z478" s="207"/>
      <c r="AA478" s="207"/>
      <c r="AB478" s="207"/>
      <c r="AC478" s="207"/>
      <c r="AD478" s="207"/>
      <c r="AE478" s="207"/>
      <c r="AF478" s="207"/>
    </row>
    <row r="479" spans="1:32" s="214" customFormat="1" ht="11.65" customHeight="1">
      <c r="A479" s="215"/>
      <c r="B479" s="220">
        <v>54025</v>
      </c>
      <c r="C479" s="205" t="s">
        <v>745</v>
      </c>
      <c r="D479" s="221">
        <f t="shared" si="10"/>
        <v>0</v>
      </c>
      <c r="E479" s="221">
        <v>0</v>
      </c>
      <c r="F479" s="222">
        <f t="shared" si="9"/>
        <v>0</v>
      </c>
      <c r="G479" s="205" t="s">
        <v>715</v>
      </c>
      <c r="H479" s="225" t="s">
        <v>671</v>
      </c>
      <c r="J479" s="207" t="s">
        <v>672</v>
      </c>
      <c r="K479" s="207"/>
      <c r="L479" s="207">
        <f>IFERROR(SUMIF(data!$E:$E,科目余额表!$B479,data!H:H),0)</f>
        <v>0</v>
      </c>
      <c r="M479" s="207">
        <f>IFERROR(SUMIF(data!$E:$E,科目余额表!$B479,data!I:I),0)</f>
        <v>0</v>
      </c>
      <c r="N479" s="207">
        <f>IFERROR(SUMIF(data!$E:$E,科目余额表!$B479,data!J:J),0)</f>
        <v>0</v>
      </c>
      <c r="O479" s="207">
        <f>IFERROR(SUMIF(data!$E:$E,科目余额表!$B479,data!K:K),0)</f>
        <v>0</v>
      </c>
      <c r="P479" s="207">
        <f>IFERROR(SUMIF(data!$E:$E,科目余额表!$B479,data!L:L),0)</f>
        <v>0</v>
      </c>
      <c r="Q479" s="207">
        <f>IFERROR(SUMIF(data!$E:$E,科目余额表!$B479,data!M:M),0)</f>
        <v>0</v>
      </c>
      <c r="R479" s="207">
        <f>IFERROR(SUMIF(data!$E:$E,科目余额表!$B479,data!N:N),0)</f>
        <v>0</v>
      </c>
      <c r="S479" s="207">
        <f>IFERROR(SUMIF(data!$E:$E,科目余额表!$B479,data!O:O),0)</f>
        <v>0</v>
      </c>
      <c r="T479" s="207">
        <f>IFERROR(SUMIF(data!$E:$E,科目余额表!$B479,data!P:P),0)</f>
        <v>0</v>
      </c>
      <c r="U479" s="207">
        <f>IFERROR(SUMIF(data!$E:$E,科目余额表!$B479,data!Q:Q),0)</f>
        <v>0</v>
      </c>
      <c r="V479" s="207">
        <f>IFERROR(SUMIF(data!$E:$E,科目余额表!$B479,data!R:R),0)</f>
        <v>0</v>
      </c>
      <c r="W479" s="207">
        <f>IFERROR(SUMIF(data!$E:$E,科目余额表!$B479,data!S:S),0)</f>
        <v>0</v>
      </c>
      <c r="X479" s="207">
        <f t="shared" si="11"/>
        <v>0</v>
      </c>
      <c r="Y479" s="207"/>
      <c r="Z479" s="207"/>
      <c r="AA479" s="207"/>
      <c r="AB479" s="207"/>
      <c r="AC479" s="207"/>
      <c r="AD479" s="207"/>
      <c r="AE479" s="207"/>
      <c r="AF479" s="207"/>
    </row>
    <row r="480" spans="1:32" s="214" customFormat="1" ht="11.65" customHeight="1">
      <c r="A480" s="215"/>
      <c r="B480" s="220">
        <v>54026</v>
      </c>
      <c r="C480" s="205" t="s">
        <v>746</v>
      </c>
      <c r="D480" s="221">
        <f t="shared" si="10"/>
        <v>0</v>
      </c>
      <c r="E480" s="221">
        <v>0</v>
      </c>
      <c r="F480" s="222">
        <f t="shared" si="9"/>
        <v>0</v>
      </c>
      <c r="G480" s="205" t="s">
        <v>720</v>
      </c>
      <c r="H480" s="225" t="s">
        <v>671</v>
      </c>
      <c r="J480" s="207" t="s">
        <v>672</v>
      </c>
      <c r="K480" s="207"/>
      <c r="L480" s="207">
        <f>IFERROR(SUMIF(data!$E:$E,科目余额表!$B480,data!H:H),0)</f>
        <v>0</v>
      </c>
      <c r="M480" s="207">
        <f>IFERROR(SUMIF(data!$E:$E,科目余额表!$B480,data!I:I),0)</f>
        <v>0</v>
      </c>
      <c r="N480" s="207">
        <f>IFERROR(SUMIF(data!$E:$E,科目余额表!$B480,data!J:J),0)</f>
        <v>0</v>
      </c>
      <c r="O480" s="207">
        <f>IFERROR(SUMIF(data!$E:$E,科目余额表!$B480,data!K:K),0)</f>
        <v>0</v>
      </c>
      <c r="P480" s="207">
        <f>IFERROR(SUMIF(data!$E:$E,科目余额表!$B480,data!L:L),0)</f>
        <v>0</v>
      </c>
      <c r="Q480" s="207">
        <f>IFERROR(SUMIF(data!$E:$E,科目余额表!$B480,data!M:M),0)</f>
        <v>0</v>
      </c>
      <c r="R480" s="207">
        <f>IFERROR(SUMIF(data!$E:$E,科目余额表!$B480,data!N:N),0)</f>
        <v>0</v>
      </c>
      <c r="S480" s="207">
        <f>IFERROR(SUMIF(data!$E:$E,科目余额表!$B480,data!O:O),0)</f>
        <v>0</v>
      </c>
      <c r="T480" s="207">
        <f>IFERROR(SUMIF(data!$E:$E,科目余额表!$B480,data!P:P),0)</f>
        <v>0</v>
      </c>
      <c r="U480" s="207">
        <f>IFERROR(SUMIF(data!$E:$E,科目余额表!$B480,data!Q:Q),0)</f>
        <v>0</v>
      </c>
      <c r="V480" s="207">
        <f>IFERROR(SUMIF(data!$E:$E,科目余额表!$B480,data!R:R),0)</f>
        <v>0</v>
      </c>
      <c r="W480" s="207">
        <f>IFERROR(SUMIF(data!$E:$E,科目余额表!$B480,data!S:S),0)</f>
        <v>0</v>
      </c>
      <c r="X480" s="207">
        <f t="shared" si="11"/>
        <v>0</v>
      </c>
      <c r="Y480" s="207"/>
      <c r="Z480" s="207"/>
      <c r="AA480" s="207"/>
      <c r="AB480" s="207"/>
      <c r="AC480" s="207"/>
      <c r="AD480" s="207"/>
      <c r="AE480" s="207"/>
      <c r="AF480" s="207"/>
    </row>
    <row r="481" spans="1:32" s="214" customFormat="1" ht="11.65" customHeight="1">
      <c r="A481" s="215"/>
      <c r="B481" s="220">
        <v>54027</v>
      </c>
      <c r="C481" s="205" t="s">
        <v>747</v>
      </c>
      <c r="D481" s="221">
        <f t="shared" si="10"/>
        <v>0</v>
      </c>
      <c r="E481" s="221">
        <v>0</v>
      </c>
      <c r="F481" s="222">
        <f t="shared" si="9"/>
        <v>0</v>
      </c>
      <c r="G481" s="205" t="s">
        <v>720</v>
      </c>
      <c r="H481" s="225" t="s">
        <v>671</v>
      </c>
      <c r="J481" s="207" t="s">
        <v>672</v>
      </c>
      <c r="K481" s="207"/>
      <c r="L481" s="207">
        <f>IFERROR(SUMIF(data!$E:$E,科目余额表!$B481,data!H:H),0)</f>
        <v>0</v>
      </c>
      <c r="M481" s="207">
        <f>IFERROR(SUMIF(data!$E:$E,科目余额表!$B481,data!I:I),0)</f>
        <v>0</v>
      </c>
      <c r="N481" s="207">
        <f>IFERROR(SUMIF(data!$E:$E,科目余额表!$B481,data!J:J),0)</f>
        <v>0</v>
      </c>
      <c r="O481" s="207">
        <f>IFERROR(SUMIF(data!$E:$E,科目余额表!$B481,data!K:K),0)</f>
        <v>0</v>
      </c>
      <c r="P481" s="207">
        <f>IFERROR(SUMIF(data!$E:$E,科目余额表!$B481,data!L:L),0)</f>
        <v>0</v>
      </c>
      <c r="Q481" s="207">
        <f>IFERROR(SUMIF(data!$E:$E,科目余额表!$B481,data!M:M),0)</f>
        <v>0</v>
      </c>
      <c r="R481" s="207">
        <f>IFERROR(SUMIF(data!$E:$E,科目余额表!$B481,data!N:N),0)</f>
        <v>0</v>
      </c>
      <c r="S481" s="207">
        <f>IFERROR(SUMIF(data!$E:$E,科目余额表!$B481,data!O:O),0)</f>
        <v>0</v>
      </c>
      <c r="T481" s="207">
        <f>IFERROR(SUMIF(data!$E:$E,科目余额表!$B481,data!P:P),0)</f>
        <v>0</v>
      </c>
      <c r="U481" s="207">
        <f>IFERROR(SUMIF(data!$E:$E,科目余额表!$B481,data!Q:Q),0)</f>
        <v>0</v>
      </c>
      <c r="V481" s="207">
        <f>IFERROR(SUMIF(data!$E:$E,科目余额表!$B481,data!R:R),0)</f>
        <v>0</v>
      </c>
      <c r="W481" s="207">
        <f>IFERROR(SUMIF(data!$E:$E,科目余额表!$B481,data!S:S),0)</f>
        <v>0</v>
      </c>
      <c r="X481" s="207">
        <f t="shared" si="11"/>
        <v>0</v>
      </c>
      <c r="Y481" s="207"/>
      <c r="Z481" s="207"/>
      <c r="AA481" s="207"/>
      <c r="AB481" s="207"/>
      <c r="AC481" s="207"/>
      <c r="AD481" s="207"/>
      <c r="AE481" s="207"/>
      <c r="AF481" s="207"/>
    </row>
    <row r="482" spans="1:32" s="214" customFormat="1" ht="11.65" customHeight="1">
      <c r="A482" s="215"/>
      <c r="B482" s="220">
        <v>54028</v>
      </c>
      <c r="C482" s="205" t="s">
        <v>748</v>
      </c>
      <c r="D482" s="221">
        <f t="shared" si="10"/>
        <v>246203.45999999996</v>
      </c>
      <c r="E482" s="221">
        <v>30398.53</v>
      </c>
      <c r="F482" s="222">
        <f t="shared" si="9"/>
        <v>276601.99</v>
      </c>
      <c r="G482" s="205" t="s">
        <v>720</v>
      </c>
      <c r="H482" s="225" t="s">
        <v>671</v>
      </c>
      <c r="J482" s="207" t="s">
        <v>672</v>
      </c>
      <c r="K482" s="207"/>
      <c r="L482" s="207">
        <f>IFERROR(SUMIF(data!$E:$E,科目余额表!$B482,data!H:H),0)</f>
        <v>-22523.289999999997</v>
      </c>
      <c r="M482" s="207">
        <f>IFERROR(SUMIF(data!$E:$E,科目余额表!$B482,data!I:I),0)</f>
        <v>-16515</v>
      </c>
      <c r="N482" s="207">
        <f>IFERROR(SUMIF(data!$E:$E,科目余额表!$B482,data!J:J),0)</f>
        <v>-31035.780000000006</v>
      </c>
      <c r="O482" s="207">
        <f>IFERROR(SUMIF(data!$E:$E,科目余额表!$B482,data!K:K),0)</f>
        <v>-23349.86</v>
      </c>
      <c r="P482" s="207">
        <f>IFERROR(SUMIF(data!$E:$E,科目余额表!$B482,data!L:L),0)</f>
        <v>-41790.430000000008</v>
      </c>
      <c r="Q482" s="207">
        <f>IFERROR(SUMIF(data!$E:$E,科目余额表!$B482,data!M:M),0)</f>
        <v>-26032.37999999999</v>
      </c>
      <c r="R482" s="207">
        <f>IFERROR(SUMIF(data!$E:$E,科目余额表!$B482,data!N:N),0)</f>
        <v>-14618.059999999998</v>
      </c>
      <c r="S482" s="207">
        <f>IFERROR(SUMIF(data!$E:$E,科目余额表!$B482,data!O:O),0)</f>
        <v>-9124.1800000000076</v>
      </c>
      <c r="T482" s="207">
        <f>IFERROR(SUMIF(data!$E:$E,科目余额表!$B482,data!P:P),0)</f>
        <v>-22989.139999999992</v>
      </c>
      <c r="U482" s="207">
        <f>IFERROR(SUMIF(data!$E:$E,科目余额表!$B482,data!Q:Q),0)</f>
        <v>-17940.59</v>
      </c>
      <c r="V482" s="207">
        <f>IFERROR(SUMIF(data!$E:$E,科目余额表!$B482,data!R:R),0)</f>
        <v>-20284.749999999993</v>
      </c>
      <c r="W482" s="207">
        <f>IFERROR(SUMIF(data!$E:$E,科目余额表!$B482,data!S:S),0)</f>
        <v>-30398.53</v>
      </c>
      <c r="X482" s="207">
        <f t="shared" si="11"/>
        <v>-276601.99</v>
      </c>
      <c r="Y482" s="207"/>
      <c r="Z482" s="207"/>
      <c r="AA482" s="207"/>
      <c r="AB482" s="207"/>
      <c r="AC482" s="207"/>
      <c r="AD482" s="207"/>
      <c r="AE482" s="207"/>
      <c r="AF482" s="207"/>
    </row>
    <row r="483" spans="1:32" s="214" customFormat="1" ht="11.65" customHeight="1">
      <c r="A483" s="215"/>
      <c r="B483" s="220">
        <v>54029</v>
      </c>
      <c r="C483" s="205" t="s">
        <v>749</v>
      </c>
      <c r="D483" s="221">
        <f t="shared" si="10"/>
        <v>0</v>
      </c>
      <c r="E483" s="221">
        <v>0</v>
      </c>
      <c r="F483" s="222">
        <f t="shared" si="9"/>
        <v>0</v>
      </c>
      <c r="G483" s="205" t="s">
        <v>720</v>
      </c>
      <c r="H483" s="225" t="s">
        <v>671</v>
      </c>
      <c r="J483" s="207" t="s">
        <v>672</v>
      </c>
      <c r="K483" s="207"/>
      <c r="L483" s="207">
        <f>IFERROR(SUMIF(data!$E:$E,科目余额表!$B483,data!H:H),0)</f>
        <v>0</v>
      </c>
      <c r="M483" s="207">
        <f>IFERROR(SUMIF(data!$E:$E,科目余额表!$B483,data!I:I),0)</f>
        <v>0</v>
      </c>
      <c r="N483" s="207">
        <f>IFERROR(SUMIF(data!$E:$E,科目余额表!$B483,data!J:J),0)</f>
        <v>0</v>
      </c>
      <c r="O483" s="207">
        <f>IFERROR(SUMIF(data!$E:$E,科目余额表!$B483,data!K:K),0)</f>
        <v>0</v>
      </c>
      <c r="P483" s="207">
        <f>IFERROR(SUMIF(data!$E:$E,科目余额表!$B483,data!L:L),0)</f>
        <v>0</v>
      </c>
      <c r="Q483" s="207">
        <f>IFERROR(SUMIF(data!$E:$E,科目余额表!$B483,data!M:M),0)</f>
        <v>0</v>
      </c>
      <c r="R483" s="207">
        <f>IFERROR(SUMIF(data!$E:$E,科目余额表!$B483,data!N:N),0)</f>
        <v>0</v>
      </c>
      <c r="S483" s="207">
        <f>IFERROR(SUMIF(data!$E:$E,科目余额表!$B483,data!O:O),0)</f>
        <v>0</v>
      </c>
      <c r="T483" s="207">
        <f>IFERROR(SUMIF(data!$E:$E,科目余额表!$B483,data!P:P),0)</f>
        <v>0</v>
      </c>
      <c r="U483" s="207">
        <f>IFERROR(SUMIF(data!$E:$E,科目余额表!$B483,data!Q:Q),0)</f>
        <v>0</v>
      </c>
      <c r="V483" s="207">
        <f>IFERROR(SUMIF(data!$E:$E,科目余额表!$B483,data!R:R),0)</f>
        <v>0</v>
      </c>
      <c r="W483" s="207">
        <f>IFERROR(SUMIF(data!$E:$E,科目余额表!$B483,data!S:S),0)</f>
        <v>0</v>
      </c>
      <c r="X483" s="207">
        <f t="shared" si="11"/>
        <v>0</v>
      </c>
      <c r="Y483" s="207"/>
      <c r="Z483" s="207"/>
      <c r="AA483" s="207"/>
      <c r="AB483" s="207"/>
      <c r="AC483" s="207"/>
      <c r="AD483" s="207"/>
      <c r="AE483" s="207"/>
      <c r="AF483" s="207"/>
    </row>
    <row r="484" spans="1:32" s="214" customFormat="1" ht="11.65" customHeight="1">
      <c r="A484" s="215"/>
      <c r="B484" s="220">
        <v>54030</v>
      </c>
      <c r="C484" s="205" t="s">
        <v>750</v>
      </c>
      <c r="D484" s="221">
        <f t="shared" si="10"/>
        <v>429303.95000000007</v>
      </c>
      <c r="E484" s="221">
        <v>140435.44</v>
      </c>
      <c r="F484" s="222">
        <f t="shared" si="9"/>
        <v>569739.39000000013</v>
      </c>
      <c r="G484" s="205" t="s">
        <v>720</v>
      </c>
      <c r="H484" s="225" t="s">
        <v>671</v>
      </c>
      <c r="J484" s="207" t="s">
        <v>672</v>
      </c>
      <c r="K484" s="207"/>
      <c r="L484" s="207">
        <f>IFERROR(SUMIF(data!$E:$E,科目余额表!$B484,data!H:H),0)</f>
        <v>-15720.14</v>
      </c>
      <c r="M484" s="207">
        <f>IFERROR(SUMIF(data!$E:$E,科目余额表!$B484,data!I:I),0)</f>
        <v>-15683.59</v>
      </c>
      <c r="N484" s="207">
        <f>IFERROR(SUMIF(data!$E:$E,科目余额表!$B484,data!J:J),0)</f>
        <v>-26409.34</v>
      </c>
      <c r="O484" s="207">
        <f>IFERROR(SUMIF(data!$E:$E,科目余额表!$B484,data!K:K),0)</f>
        <v>-16161.67</v>
      </c>
      <c r="P484" s="207">
        <f>IFERROR(SUMIF(data!$E:$E,科目余额表!$B484,data!L:L),0)</f>
        <v>-24002.600000000006</v>
      </c>
      <c r="Q484" s="207">
        <f>IFERROR(SUMIF(data!$E:$E,科目余额表!$B484,data!M:M),0)</f>
        <v>-23866.66</v>
      </c>
      <c r="R484" s="207">
        <f>IFERROR(SUMIF(data!$E:$E,科目余额表!$B484,data!N:N),0)</f>
        <v>-16219.4</v>
      </c>
      <c r="S484" s="207">
        <f>IFERROR(SUMIF(data!$E:$E,科目余额表!$B484,data!O:O),0)</f>
        <v>-16807.189999999999</v>
      </c>
      <c r="T484" s="207">
        <f>IFERROR(SUMIF(data!$E:$E,科目余额表!$B484,data!P:P),0)</f>
        <v>-71823.72</v>
      </c>
      <c r="U484" s="207">
        <f>IFERROR(SUMIF(data!$E:$E,科目余额表!$B484,data!Q:Q),0)</f>
        <v>-80624.37</v>
      </c>
      <c r="V484" s="207">
        <f>IFERROR(SUMIF(data!$E:$E,科目余额表!$B484,data!R:R),0)</f>
        <v>-121985.27</v>
      </c>
      <c r="W484" s="207">
        <f>IFERROR(SUMIF(data!$E:$E,科目余额表!$B484,data!S:S),0)</f>
        <v>-140435.44</v>
      </c>
      <c r="X484" s="207">
        <f t="shared" si="11"/>
        <v>-569739.39000000013</v>
      </c>
      <c r="Y484" s="207"/>
      <c r="Z484" s="207"/>
      <c r="AA484" s="207"/>
      <c r="AB484" s="207"/>
      <c r="AC484" s="207"/>
      <c r="AD484" s="207"/>
      <c r="AE484" s="207"/>
      <c r="AF484" s="207"/>
    </row>
    <row r="485" spans="1:32" s="214" customFormat="1" ht="11.65" customHeight="1">
      <c r="A485" s="215"/>
      <c r="B485" s="220">
        <v>54031</v>
      </c>
      <c r="C485" s="205" t="s">
        <v>751</v>
      </c>
      <c r="D485" s="221">
        <f t="shared" si="10"/>
        <v>0</v>
      </c>
      <c r="E485" s="221">
        <v>0</v>
      </c>
      <c r="F485" s="222">
        <f t="shared" si="9"/>
        <v>0</v>
      </c>
      <c r="G485" s="205" t="s">
        <v>720</v>
      </c>
      <c r="H485" s="225" t="s">
        <v>671</v>
      </c>
      <c r="J485" s="207" t="s">
        <v>672</v>
      </c>
      <c r="K485" s="207"/>
      <c r="L485" s="207">
        <f>IFERROR(SUMIF(data!$E:$E,科目余额表!$B485,data!H:H),0)</f>
        <v>0</v>
      </c>
      <c r="M485" s="207">
        <f>IFERROR(SUMIF(data!$E:$E,科目余额表!$B485,data!I:I),0)</f>
        <v>0</v>
      </c>
      <c r="N485" s="207">
        <f>IFERROR(SUMIF(data!$E:$E,科目余额表!$B485,data!J:J),0)</f>
        <v>0</v>
      </c>
      <c r="O485" s="207">
        <f>IFERROR(SUMIF(data!$E:$E,科目余额表!$B485,data!K:K),0)</f>
        <v>0</v>
      </c>
      <c r="P485" s="207">
        <f>IFERROR(SUMIF(data!$E:$E,科目余额表!$B485,data!L:L),0)</f>
        <v>0</v>
      </c>
      <c r="Q485" s="207">
        <f>IFERROR(SUMIF(data!$E:$E,科目余额表!$B485,data!M:M),0)</f>
        <v>0</v>
      </c>
      <c r="R485" s="207">
        <f>IFERROR(SUMIF(data!$E:$E,科目余额表!$B485,data!N:N),0)</f>
        <v>0</v>
      </c>
      <c r="S485" s="207">
        <f>IFERROR(SUMIF(data!$E:$E,科目余额表!$B485,data!O:O),0)</f>
        <v>0</v>
      </c>
      <c r="T485" s="207">
        <f>IFERROR(SUMIF(data!$E:$E,科目余额表!$B485,data!P:P),0)</f>
        <v>0</v>
      </c>
      <c r="U485" s="207">
        <f>IFERROR(SUMIF(data!$E:$E,科目余额表!$B485,data!Q:Q),0)</f>
        <v>0</v>
      </c>
      <c r="V485" s="207">
        <f>IFERROR(SUMIF(data!$E:$E,科目余额表!$B485,data!R:R),0)</f>
        <v>0</v>
      </c>
      <c r="W485" s="207">
        <f>IFERROR(SUMIF(data!$E:$E,科目余额表!$B485,data!S:S),0)</f>
        <v>0</v>
      </c>
      <c r="X485" s="207">
        <f t="shared" si="11"/>
        <v>0</v>
      </c>
      <c r="Y485" s="207"/>
      <c r="Z485" s="207"/>
      <c r="AA485" s="207"/>
      <c r="AB485" s="207"/>
      <c r="AC485" s="207"/>
      <c r="AD485" s="207"/>
      <c r="AE485" s="207"/>
      <c r="AF485" s="207"/>
    </row>
    <row r="486" spans="1:32" s="214" customFormat="1" ht="11.65" customHeight="1">
      <c r="A486" s="215"/>
      <c r="B486" s="220">
        <v>54099</v>
      </c>
      <c r="C486" s="205" t="s">
        <v>752</v>
      </c>
      <c r="D486" s="221">
        <f t="shared" si="10"/>
        <v>662924.36999999988</v>
      </c>
      <c r="E486" s="221">
        <v>-349555.23</v>
      </c>
      <c r="F486" s="222">
        <f t="shared" si="9"/>
        <v>313369.1399999999</v>
      </c>
      <c r="G486" s="205" t="s">
        <v>720</v>
      </c>
      <c r="H486" s="225" t="s">
        <v>671</v>
      </c>
      <c r="J486" s="207" t="s">
        <v>672</v>
      </c>
      <c r="K486" s="207"/>
      <c r="L486" s="207">
        <f>IFERROR(SUMIF(data!$E:$E,科目余额表!$B486,data!H:H),0)</f>
        <v>-43238.37</v>
      </c>
      <c r="M486" s="207">
        <f>IFERROR(SUMIF(data!$E:$E,科目余额表!$B486,data!I:I),0)</f>
        <v>-33110.559999999998</v>
      </c>
      <c r="N486" s="207">
        <f>IFERROR(SUMIF(data!$E:$E,科目余额表!$B486,data!J:J),0)</f>
        <v>-23171.43</v>
      </c>
      <c r="O486" s="207">
        <f>IFERROR(SUMIF(data!$E:$E,科目余额表!$B486,data!K:K),0)</f>
        <v>-72897.459999999992</v>
      </c>
      <c r="P486" s="207">
        <f>IFERROR(SUMIF(data!$E:$E,科目余额表!$B486,data!L:L),0)</f>
        <v>-18745.769999999997</v>
      </c>
      <c r="Q486" s="207">
        <f>IFERROR(SUMIF(data!$E:$E,科目余额表!$B486,data!M:M),0)</f>
        <v>-17753.23</v>
      </c>
      <c r="R486" s="207">
        <f>IFERROR(SUMIF(data!$E:$E,科目余额表!$B486,data!N:N),0)</f>
        <v>-28457.52</v>
      </c>
      <c r="S486" s="207">
        <f>IFERROR(SUMIF(data!$E:$E,科目余额表!$B486,data!O:O),0)</f>
        <v>-202176.00999999998</v>
      </c>
      <c r="T486" s="207">
        <f>IFERROR(SUMIF(data!$E:$E,科目余额表!$B486,data!P:P),0)</f>
        <v>-13949.8</v>
      </c>
      <c r="U486" s="207">
        <f>IFERROR(SUMIF(data!$E:$E,科目余额表!$B486,data!Q:Q),0)</f>
        <v>-13491.97</v>
      </c>
      <c r="V486" s="207">
        <f>IFERROR(SUMIF(data!$E:$E,科目余额表!$B486,data!R:R),0)</f>
        <v>-195932.25</v>
      </c>
      <c r="W486" s="207">
        <f>IFERROR(SUMIF(data!$E:$E,科目余额表!$B486,data!S:S),0)</f>
        <v>349555.23</v>
      </c>
      <c r="X486" s="207">
        <f t="shared" si="11"/>
        <v>-313369.1399999999</v>
      </c>
      <c r="Y486" s="207"/>
      <c r="Z486" s="207"/>
      <c r="AA486" s="207"/>
      <c r="AB486" s="207"/>
      <c r="AC486" s="207"/>
      <c r="AD486" s="207"/>
      <c r="AE486" s="207"/>
      <c r="AF486" s="207"/>
    </row>
    <row r="487" spans="1:32" s="214" customFormat="1" ht="11.65" customHeight="1">
      <c r="A487" s="215"/>
      <c r="B487" s="220">
        <v>60000</v>
      </c>
      <c r="C487" s="205" t="s">
        <v>753</v>
      </c>
      <c r="D487" s="221">
        <f t="shared" si="10"/>
        <v>0</v>
      </c>
      <c r="E487" s="221">
        <v>0</v>
      </c>
      <c r="F487" s="222">
        <f t="shared" si="9"/>
        <v>0</v>
      </c>
      <c r="G487" s="205" t="s">
        <v>754</v>
      </c>
      <c r="H487" s="225" t="s">
        <v>671</v>
      </c>
      <c r="J487" s="207" t="s">
        <v>755</v>
      </c>
      <c r="K487" s="207"/>
      <c r="L487" s="207">
        <f>IFERROR(SUMIF(data!$E:$E,科目余额表!$B487,data!H:H),0)</f>
        <v>0</v>
      </c>
      <c r="M487" s="207">
        <f>IFERROR(SUMIF(data!$E:$E,科目余额表!$B487,data!I:I),0)</f>
        <v>0</v>
      </c>
      <c r="N487" s="207">
        <f>IFERROR(SUMIF(data!$E:$E,科目余额表!$B487,data!J:J),0)</f>
        <v>0</v>
      </c>
      <c r="O487" s="207">
        <f>IFERROR(SUMIF(data!$E:$E,科目余额表!$B487,data!K:K),0)</f>
        <v>0</v>
      </c>
      <c r="P487" s="207">
        <f>IFERROR(SUMIF(data!$E:$E,科目余额表!$B487,data!L:L),0)</f>
        <v>0</v>
      </c>
      <c r="Q487" s="207">
        <f>IFERROR(SUMIF(data!$E:$E,科目余额表!$B487,data!M:M),0)</f>
        <v>0</v>
      </c>
      <c r="R487" s="207">
        <f>IFERROR(SUMIF(data!$E:$E,科目余额表!$B487,data!N:N),0)</f>
        <v>0</v>
      </c>
      <c r="S487" s="207">
        <f>IFERROR(SUMIF(data!$E:$E,科目余额表!$B487,data!O:O),0)</f>
        <v>0</v>
      </c>
      <c r="T487" s="207">
        <f>IFERROR(SUMIF(data!$E:$E,科目余额表!$B487,data!P:P),0)</f>
        <v>0</v>
      </c>
      <c r="U487" s="207">
        <f>IFERROR(SUMIF(data!$E:$E,科目余额表!$B487,data!Q:Q),0)</f>
        <v>0</v>
      </c>
      <c r="V487" s="207">
        <f>IFERROR(SUMIF(data!$E:$E,科目余额表!$B487,data!R:R),0)</f>
        <v>0</v>
      </c>
      <c r="W487" s="207">
        <f>IFERROR(SUMIF(data!$E:$E,科目余额表!$B487,data!S:S),0)</f>
        <v>0</v>
      </c>
      <c r="X487" s="207">
        <f t="shared" si="11"/>
        <v>0</v>
      </c>
      <c r="Y487" s="207"/>
      <c r="Z487" s="207"/>
      <c r="AA487" s="207"/>
      <c r="AB487" s="207"/>
      <c r="AC487" s="207"/>
      <c r="AD487" s="207"/>
      <c r="AE487" s="207"/>
      <c r="AF487" s="207"/>
    </row>
    <row r="488" spans="1:32" s="214" customFormat="1" ht="11.65" customHeight="1">
      <c r="A488" s="215"/>
      <c r="B488" s="220">
        <v>60001</v>
      </c>
      <c r="C488" s="205" t="s">
        <v>756</v>
      </c>
      <c r="D488" s="221">
        <f t="shared" si="10"/>
        <v>0</v>
      </c>
      <c r="E488" s="221">
        <v>0</v>
      </c>
      <c r="F488" s="222">
        <f t="shared" si="9"/>
        <v>0</v>
      </c>
      <c r="G488" s="205" t="s">
        <v>754</v>
      </c>
      <c r="H488" s="225" t="s">
        <v>671</v>
      </c>
      <c r="J488" s="207" t="s">
        <v>755</v>
      </c>
      <c r="K488" s="207"/>
      <c r="L488" s="207">
        <f>IFERROR(SUMIF(data!$E:$E,科目余额表!$B488,data!H:H),0)</f>
        <v>0</v>
      </c>
      <c r="M488" s="207">
        <f>IFERROR(SUMIF(data!$E:$E,科目余额表!$B488,data!I:I),0)</f>
        <v>0</v>
      </c>
      <c r="N488" s="207">
        <f>IFERROR(SUMIF(data!$E:$E,科目余额表!$B488,data!J:J),0)</f>
        <v>0</v>
      </c>
      <c r="O488" s="207">
        <f>IFERROR(SUMIF(data!$E:$E,科目余额表!$B488,data!K:K),0)</f>
        <v>0</v>
      </c>
      <c r="P488" s="207">
        <f>IFERROR(SUMIF(data!$E:$E,科目余额表!$B488,data!L:L),0)</f>
        <v>0</v>
      </c>
      <c r="Q488" s="207">
        <f>IFERROR(SUMIF(data!$E:$E,科目余额表!$B488,data!M:M),0)</f>
        <v>0</v>
      </c>
      <c r="R488" s="207">
        <f>IFERROR(SUMIF(data!$E:$E,科目余额表!$B488,data!N:N),0)</f>
        <v>0</v>
      </c>
      <c r="S488" s="207">
        <f>IFERROR(SUMIF(data!$E:$E,科目余额表!$B488,data!O:O),0)</f>
        <v>0</v>
      </c>
      <c r="T488" s="207">
        <f>IFERROR(SUMIF(data!$E:$E,科目余额表!$B488,data!P:P),0)</f>
        <v>0</v>
      </c>
      <c r="U488" s="207">
        <f>IFERROR(SUMIF(data!$E:$E,科目余额表!$B488,data!Q:Q),0)</f>
        <v>0</v>
      </c>
      <c r="V488" s="207">
        <f>IFERROR(SUMIF(data!$E:$E,科目余额表!$B488,data!R:R),0)</f>
        <v>0</v>
      </c>
      <c r="W488" s="207">
        <f>IFERROR(SUMIF(data!$E:$E,科目余额表!$B488,data!S:S),0)</f>
        <v>0</v>
      </c>
      <c r="X488" s="207">
        <f t="shared" si="11"/>
        <v>0</v>
      </c>
      <c r="Y488" s="207"/>
      <c r="Z488" s="207"/>
      <c r="AA488" s="207"/>
      <c r="AB488" s="207"/>
      <c r="AC488" s="207"/>
      <c r="AD488" s="207"/>
      <c r="AE488" s="207"/>
      <c r="AF488" s="207"/>
    </row>
    <row r="489" spans="1:32" s="214" customFormat="1" ht="11.65" customHeight="1">
      <c r="A489" s="215"/>
      <c r="B489" s="220">
        <v>60002</v>
      </c>
      <c r="C489" s="205" t="s">
        <v>757</v>
      </c>
      <c r="D489" s="221">
        <f t="shared" si="10"/>
        <v>0</v>
      </c>
      <c r="E489" s="221">
        <v>0</v>
      </c>
      <c r="F489" s="222">
        <f t="shared" si="9"/>
        <v>0</v>
      </c>
      <c r="G489" s="205" t="s">
        <v>754</v>
      </c>
      <c r="H489" s="225" t="s">
        <v>671</v>
      </c>
      <c r="J489" s="207" t="s">
        <v>755</v>
      </c>
      <c r="K489" s="207"/>
      <c r="L489" s="207">
        <f>IFERROR(SUMIF(data!$E:$E,科目余额表!$B489,data!H:H),0)</f>
        <v>0</v>
      </c>
      <c r="M489" s="207">
        <f>IFERROR(SUMIF(data!$E:$E,科目余额表!$B489,data!I:I),0)</f>
        <v>0</v>
      </c>
      <c r="N489" s="207">
        <f>IFERROR(SUMIF(data!$E:$E,科目余额表!$B489,data!J:J),0)</f>
        <v>0</v>
      </c>
      <c r="O489" s="207">
        <f>IFERROR(SUMIF(data!$E:$E,科目余额表!$B489,data!K:K),0)</f>
        <v>0</v>
      </c>
      <c r="P489" s="207">
        <f>IFERROR(SUMIF(data!$E:$E,科目余额表!$B489,data!L:L),0)</f>
        <v>0</v>
      </c>
      <c r="Q489" s="207">
        <f>IFERROR(SUMIF(data!$E:$E,科目余额表!$B489,data!M:M),0)</f>
        <v>0</v>
      </c>
      <c r="R489" s="207">
        <f>IFERROR(SUMIF(data!$E:$E,科目余额表!$B489,data!N:N),0)</f>
        <v>0</v>
      </c>
      <c r="S489" s="207">
        <f>IFERROR(SUMIF(data!$E:$E,科目余额表!$B489,data!O:O),0)</f>
        <v>0</v>
      </c>
      <c r="T489" s="207">
        <f>IFERROR(SUMIF(data!$E:$E,科目余额表!$B489,data!P:P),0)</f>
        <v>0</v>
      </c>
      <c r="U489" s="207">
        <f>IFERROR(SUMIF(data!$E:$E,科目余额表!$B489,data!Q:Q),0)</f>
        <v>0</v>
      </c>
      <c r="V489" s="207">
        <f>IFERROR(SUMIF(data!$E:$E,科目余额表!$B489,data!R:R),0)</f>
        <v>0</v>
      </c>
      <c r="W489" s="207">
        <f>IFERROR(SUMIF(data!$E:$E,科目余额表!$B489,data!S:S),0)</f>
        <v>0</v>
      </c>
      <c r="X489" s="207">
        <f t="shared" si="11"/>
        <v>0</v>
      </c>
      <c r="Y489" s="207"/>
      <c r="Z489" s="207"/>
      <c r="AA489" s="207"/>
      <c r="AB489" s="207"/>
      <c r="AC489" s="207"/>
      <c r="AD489" s="207"/>
      <c r="AE489" s="207"/>
      <c r="AF489" s="207"/>
    </row>
    <row r="490" spans="1:32" s="214" customFormat="1" ht="11.65" customHeight="1">
      <c r="A490" s="215"/>
      <c r="B490" s="220">
        <v>60003</v>
      </c>
      <c r="C490" s="205" t="s">
        <v>758</v>
      </c>
      <c r="D490" s="221">
        <f t="shared" si="10"/>
        <v>0</v>
      </c>
      <c r="E490" s="221">
        <v>0</v>
      </c>
      <c r="F490" s="222">
        <f t="shared" si="9"/>
        <v>0</v>
      </c>
      <c r="G490" s="205" t="s">
        <v>754</v>
      </c>
      <c r="H490" s="225" t="s">
        <v>671</v>
      </c>
      <c r="J490" s="207" t="s">
        <v>755</v>
      </c>
      <c r="K490" s="207"/>
      <c r="L490" s="207">
        <f>IFERROR(SUMIF(data!$E:$E,科目余额表!$B490,data!H:H),0)</f>
        <v>0</v>
      </c>
      <c r="M490" s="207">
        <f>IFERROR(SUMIF(data!$E:$E,科目余额表!$B490,data!I:I),0)</f>
        <v>0</v>
      </c>
      <c r="N490" s="207">
        <f>IFERROR(SUMIF(data!$E:$E,科目余额表!$B490,data!J:J),0)</f>
        <v>0</v>
      </c>
      <c r="O490" s="207">
        <f>IFERROR(SUMIF(data!$E:$E,科目余额表!$B490,data!K:K),0)</f>
        <v>0</v>
      </c>
      <c r="P490" s="207">
        <f>IFERROR(SUMIF(data!$E:$E,科目余额表!$B490,data!L:L),0)</f>
        <v>0</v>
      </c>
      <c r="Q490" s="207">
        <f>IFERROR(SUMIF(data!$E:$E,科目余额表!$B490,data!M:M),0)</f>
        <v>0</v>
      </c>
      <c r="R490" s="207">
        <f>IFERROR(SUMIF(data!$E:$E,科目余额表!$B490,data!N:N),0)</f>
        <v>0</v>
      </c>
      <c r="S490" s="207">
        <f>IFERROR(SUMIF(data!$E:$E,科目余额表!$B490,data!O:O),0)</f>
        <v>0</v>
      </c>
      <c r="T490" s="207">
        <f>IFERROR(SUMIF(data!$E:$E,科目余额表!$B490,data!P:P),0)</f>
        <v>0</v>
      </c>
      <c r="U490" s="207">
        <f>IFERROR(SUMIF(data!$E:$E,科目余额表!$B490,data!Q:Q),0)</f>
        <v>0</v>
      </c>
      <c r="V490" s="207">
        <f>IFERROR(SUMIF(data!$E:$E,科目余额表!$B490,data!R:R),0)</f>
        <v>0</v>
      </c>
      <c r="W490" s="207">
        <f>IFERROR(SUMIF(data!$E:$E,科目余额表!$B490,data!S:S),0)</f>
        <v>0</v>
      </c>
      <c r="X490" s="207">
        <f t="shared" si="11"/>
        <v>0</v>
      </c>
      <c r="Y490" s="207"/>
      <c r="Z490" s="207"/>
      <c r="AA490" s="207"/>
      <c r="AB490" s="207"/>
      <c r="AC490" s="207"/>
      <c r="AD490" s="207"/>
      <c r="AE490" s="207"/>
      <c r="AF490" s="207"/>
    </row>
    <row r="491" spans="1:32" s="214" customFormat="1" ht="11.65" customHeight="1">
      <c r="A491" s="215"/>
      <c r="B491" s="220">
        <v>60004</v>
      </c>
      <c r="C491" s="205" t="s">
        <v>759</v>
      </c>
      <c r="D491" s="221">
        <f t="shared" si="10"/>
        <v>-36840357.890000001</v>
      </c>
      <c r="E491" s="221">
        <v>-5600688.290000001</v>
      </c>
      <c r="F491" s="222">
        <f t="shared" si="9"/>
        <v>-42441046.18</v>
      </c>
      <c r="G491" s="205" t="s">
        <v>754</v>
      </c>
      <c r="H491" s="225" t="s">
        <v>671</v>
      </c>
      <c r="J491" s="207" t="s">
        <v>755</v>
      </c>
      <c r="K491" s="207"/>
      <c r="L491" s="207">
        <f>IFERROR(SUMIF(data!$E:$E,科目余额表!$B491,data!H:H),0)</f>
        <v>569787.47000000009</v>
      </c>
      <c r="M491" s="207">
        <f>IFERROR(SUMIF(data!$E:$E,科目余额表!$B491,data!I:I),0)</f>
        <v>495062.56999999995</v>
      </c>
      <c r="N491" s="207">
        <f>IFERROR(SUMIF(data!$E:$E,科目余额表!$B491,data!J:J),0)</f>
        <v>539807.67000000004</v>
      </c>
      <c r="O491" s="207">
        <f>IFERROR(SUMIF(data!$E:$E,科目余额表!$B491,data!K:K),0)</f>
        <v>-28744.929999999993</v>
      </c>
      <c r="P491" s="207">
        <f>IFERROR(SUMIF(data!$E:$E,科目余额表!$B491,data!L:L),0)</f>
        <v>5011110.2699999996</v>
      </c>
      <c r="Q491" s="207">
        <f>IFERROR(SUMIF(data!$E:$E,科目余额表!$B491,data!M:M),0)</f>
        <v>96139.979999999952</v>
      </c>
      <c r="R491" s="207">
        <f>IFERROR(SUMIF(data!$E:$E,科目余额表!$B491,data!N:N),0)</f>
        <v>695571.81</v>
      </c>
      <c r="S491" s="207">
        <f>IFERROR(SUMIF(data!$E:$E,科目余额表!$B491,data!O:O),0)</f>
        <v>418242.27</v>
      </c>
      <c r="T491" s="207">
        <f>IFERROR(SUMIF(data!$E:$E,科目余额表!$B491,data!P:P),0)</f>
        <v>21293728.490000002</v>
      </c>
      <c r="U491" s="207">
        <f>IFERROR(SUMIF(data!$E:$E,科目余额表!$B491,data!Q:Q),0)</f>
        <v>3863366.6599999997</v>
      </c>
      <c r="V491" s="207">
        <f>IFERROR(SUMIF(data!$E:$E,科目余额表!$B491,data!R:R),0)</f>
        <v>3886285.63</v>
      </c>
      <c r="W491" s="207">
        <f>IFERROR(SUMIF(data!$E:$E,科目余额表!$B491,data!S:S),0)</f>
        <v>5600688.290000001</v>
      </c>
      <c r="X491" s="207">
        <f t="shared" si="11"/>
        <v>42441046.18</v>
      </c>
      <c r="Y491" s="207"/>
      <c r="Z491" s="207"/>
      <c r="AA491" s="207"/>
      <c r="AB491" s="207"/>
      <c r="AC491" s="207"/>
      <c r="AD491" s="207"/>
      <c r="AE491" s="207"/>
      <c r="AF491" s="207"/>
    </row>
    <row r="492" spans="1:32" s="214" customFormat="1" ht="11.65" customHeight="1">
      <c r="A492" s="215"/>
      <c r="B492" s="220">
        <v>60009</v>
      </c>
      <c r="C492" s="205" t="s">
        <v>760</v>
      </c>
      <c r="D492" s="221">
        <f t="shared" si="10"/>
        <v>0</v>
      </c>
      <c r="E492" s="221">
        <v>0</v>
      </c>
      <c r="F492" s="222">
        <f t="shared" si="9"/>
        <v>0</v>
      </c>
      <c r="G492" s="205" t="s">
        <v>754</v>
      </c>
      <c r="H492" s="225" t="s">
        <v>671</v>
      </c>
      <c r="J492" s="207" t="s">
        <v>755</v>
      </c>
      <c r="K492" s="207"/>
      <c r="L492" s="207">
        <f>IFERROR(SUMIF(data!$E:$E,科目余额表!$B492,data!H:H),0)</f>
        <v>0</v>
      </c>
      <c r="M492" s="207">
        <f>IFERROR(SUMIF(data!$E:$E,科目余额表!$B492,data!I:I),0)</f>
        <v>0</v>
      </c>
      <c r="N492" s="207">
        <f>IFERROR(SUMIF(data!$E:$E,科目余额表!$B492,data!J:J),0)</f>
        <v>0</v>
      </c>
      <c r="O492" s="207">
        <f>IFERROR(SUMIF(data!$E:$E,科目余额表!$B492,data!K:K),0)</f>
        <v>0</v>
      </c>
      <c r="P492" s="207">
        <f>IFERROR(SUMIF(data!$E:$E,科目余额表!$B492,data!L:L),0)</f>
        <v>0</v>
      </c>
      <c r="Q492" s="207">
        <f>IFERROR(SUMIF(data!$E:$E,科目余额表!$B492,data!M:M),0)</f>
        <v>0</v>
      </c>
      <c r="R492" s="207">
        <f>IFERROR(SUMIF(data!$E:$E,科目余额表!$B492,data!N:N),0)</f>
        <v>0</v>
      </c>
      <c r="S492" s="207">
        <f>IFERROR(SUMIF(data!$E:$E,科目余额表!$B492,data!O:O),0)</f>
        <v>0</v>
      </c>
      <c r="T492" s="207">
        <f>IFERROR(SUMIF(data!$E:$E,科目余额表!$B492,data!P:P),0)</f>
        <v>0</v>
      </c>
      <c r="U492" s="207">
        <f>IFERROR(SUMIF(data!$E:$E,科目余额表!$B492,data!Q:Q),0)</f>
        <v>0</v>
      </c>
      <c r="V492" s="207">
        <f>IFERROR(SUMIF(data!$E:$E,科目余额表!$B492,data!R:R),0)</f>
        <v>0</v>
      </c>
      <c r="W492" s="207">
        <f>IFERROR(SUMIF(data!$E:$E,科目余额表!$B492,data!S:S),0)</f>
        <v>0</v>
      </c>
      <c r="X492" s="207">
        <f t="shared" si="11"/>
        <v>0</v>
      </c>
      <c r="Y492" s="207"/>
      <c r="Z492" s="207"/>
      <c r="AA492" s="207"/>
      <c r="AB492" s="207"/>
      <c r="AC492" s="207"/>
      <c r="AD492" s="207"/>
      <c r="AE492" s="207"/>
      <c r="AF492" s="207"/>
    </row>
    <row r="493" spans="1:32" s="214" customFormat="1" ht="11.65" customHeight="1">
      <c r="A493" s="215"/>
      <c r="B493" s="220">
        <v>60010</v>
      </c>
      <c r="C493" s="205" t="s">
        <v>761</v>
      </c>
      <c r="D493" s="221">
        <f t="shared" si="10"/>
        <v>0</v>
      </c>
      <c r="E493" s="221">
        <v>0</v>
      </c>
      <c r="F493" s="222">
        <f t="shared" si="9"/>
        <v>0</v>
      </c>
      <c r="G493" s="205" t="s">
        <v>754</v>
      </c>
      <c r="H493" s="225" t="s">
        <v>671</v>
      </c>
      <c r="J493" s="207" t="s">
        <v>755</v>
      </c>
      <c r="K493" s="207"/>
      <c r="L493" s="207">
        <f>IFERROR(SUMIF(data!$E:$E,科目余额表!$B493,data!H:H),0)</f>
        <v>0</v>
      </c>
      <c r="M493" s="207">
        <f>IFERROR(SUMIF(data!$E:$E,科目余额表!$B493,data!I:I),0)</f>
        <v>0</v>
      </c>
      <c r="N493" s="207">
        <f>IFERROR(SUMIF(data!$E:$E,科目余额表!$B493,data!J:J),0)</f>
        <v>0</v>
      </c>
      <c r="O493" s="207">
        <f>IFERROR(SUMIF(data!$E:$E,科目余额表!$B493,data!K:K),0)</f>
        <v>0</v>
      </c>
      <c r="P493" s="207">
        <f>IFERROR(SUMIF(data!$E:$E,科目余额表!$B493,data!L:L),0)</f>
        <v>0</v>
      </c>
      <c r="Q493" s="207">
        <f>IFERROR(SUMIF(data!$E:$E,科目余额表!$B493,data!M:M),0)</f>
        <v>0</v>
      </c>
      <c r="R493" s="207">
        <f>IFERROR(SUMIF(data!$E:$E,科目余额表!$B493,data!N:N),0)</f>
        <v>0</v>
      </c>
      <c r="S493" s="207">
        <f>IFERROR(SUMIF(data!$E:$E,科目余额表!$B493,data!O:O),0)</f>
        <v>0</v>
      </c>
      <c r="T493" s="207">
        <f>IFERROR(SUMIF(data!$E:$E,科目余额表!$B493,data!P:P),0)</f>
        <v>0</v>
      </c>
      <c r="U493" s="207">
        <f>IFERROR(SUMIF(data!$E:$E,科目余额表!$B493,data!Q:Q),0)</f>
        <v>0</v>
      </c>
      <c r="V493" s="207">
        <f>IFERROR(SUMIF(data!$E:$E,科目余额表!$B493,data!R:R),0)</f>
        <v>0</v>
      </c>
      <c r="W493" s="207">
        <f>IFERROR(SUMIF(data!$E:$E,科目余额表!$B493,data!S:S),0)</f>
        <v>0</v>
      </c>
      <c r="X493" s="207">
        <f t="shared" si="11"/>
        <v>0</v>
      </c>
      <c r="Y493" s="207"/>
      <c r="Z493" s="207"/>
      <c r="AA493" s="207"/>
      <c r="AB493" s="207"/>
      <c r="AC493" s="207"/>
      <c r="AD493" s="207"/>
      <c r="AE493" s="207"/>
      <c r="AF493" s="207"/>
    </row>
    <row r="494" spans="1:32" s="214" customFormat="1" ht="11.65" customHeight="1">
      <c r="A494" s="215"/>
      <c r="B494" s="220">
        <v>60109</v>
      </c>
      <c r="C494" s="205" t="s">
        <v>762</v>
      </c>
      <c r="D494" s="221">
        <f t="shared" si="10"/>
        <v>-21558193.710000001</v>
      </c>
      <c r="E494" s="221">
        <v>-2262381.6799999997</v>
      </c>
      <c r="F494" s="222">
        <f t="shared" si="9"/>
        <v>-23820575.390000001</v>
      </c>
      <c r="G494" s="205" t="s">
        <v>754</v>
      </c>
      <c r="H494" s="225" t="s">
        <v>671</v>
      </c>
      <c r="J494" s="207" t="s">
        <v>755</v>
      </c>
      <c r="K494" s="207"/>
      <c r="L494" s="207">
        <f>IFERROR(SUMIF(data!$E:$E,科目余额表!$B494,data!H:H),0)</f>
        <v>5054674.3599999994</v>
      </c>
      <c r="M494" s="207">
        <f>IFERROR(SUMIF(data!$E:$E,科目余额表!$B494,data!I:I),0)</f>
        <v>3665637.56</v>
      </c>
      <c r="N494" s="207">
        <f>IFERROR(SUMIF(data!$E:$E,科目余额表!$B494,data!J:J),0)</f>
        <v>6410019.5900000008</v>
      </c>
      <c r="O494" s="207">
        <f>IFERROR(SUMIF(data!$E:$E,科目余额表!$B494,data!K:K),0)</f>
        <v>4281817.1399999997</v>
      </c>
      <c r="P494" s="207">
        <f>IFERROR(SUMIF(data!$E:$E,科目余额表!$B494,data!L:L),0)</f>
        <v>1305362.42</v>
      </c>
      <c r="Q494" s="207">
        <f>IFERROR(SUMIF(data!$E:$E,科目余额表!$B494,data!M:M),0)</f>
        <v>6182150.5599999996</v>
      </c>
      <c r="R494" s="207">
        <f>IFERROR(SUMIF(data!$E:$E,科目余额表!$B494,data!N:N),0)</f>
        <v>3572691.09</v>
      </c>
      <c r="S494" s="207">
        <f>IFERROR(SUMIF(data!$E:$E,科目余额表!$B494,data!O:O),0)</f>
        <v>4004701.5200000005</v>
      </c>
      <c r="T494" s="207">
        <f>IFERROR(SUMIF(data!$E:$E,科目余额表!$B494,data!P:P),0)</f>
        <v>-16431735.060000001</v>
      </c>
      <c r="U494" s="207">
        <f>IFERROR(SUMIF(data!$E:$E,科目余额表!$B494,data!Q:Q),0)</f>
        <v>1330652.6299999999</v>
      </c>
      <c r="V494" s="207">
        <f>IFERROR(SUMIF(data!$E:$E,科目余额表!$B494,data!R:R),0)</f>
        <v>2182221.9000000004</v>
      </c>
      <c r="W494" s="207">
        <f>IFERROR(SUMIF(data!$E:$E,科目余额表!$B494,data!S:S),0)</f>
        <v>2262381.6799999997</v>
      </c>
      <c r="X494" s="207">
        <f t="shared" si="11"/>
        <v>23820575.390000001</v>
      </c>
      <c r="Y494" s="207"/>
      <c r="Z494" s="207"/>
      <c r="AA494" s="207"/>
      <c r="AB494" s="207"/>
      <c r="AC494" s="207"/>
      <c r="AD494" s="207"/>
      <c r="AE494" s="207"/>
      <c r="AF494" s="207"/>
    </row>
    <row r="495" spans="1:32" s="214" customFormat="1" ht="11.65" customHeight="1">
      <c r="A495" s="215"/>
      <c r="B495" s="220">
        <v>60110</v>
      </c>
      <c r="C495" s="205" t="s">
        <v>763</v>
      </c>
      <c r="D495" s="221">
        <f t="shared" si="10"/>
        <v>0</v>
      </c>
      <c r="E495" s="221">
        <v>0</v>
      </c>
      <c r="F495" s="222">
        <f t="shared" si="9"/>
        <v>0</v>
      </c>
      <c r="G495" s="205" t="s">
        <v>754</v>
      </c>
      <c r="H495" s="225" t="s">
        <v>671</v>
      </c>
      <c r="J495" s="207" t="s">
        <v>755</v>
      </c>
      <c r="K495" s="207"/>
      <c r="L495" s="207">
        <f>IFERROR(SUMIF(data!$E:$E,科目余额表!$B495,data!H:H),0)</f>
        <v>0</v>
      </c>
      <c r="M495" s="207">
        <f>IFERROR(SUMIF(data!$E:$E,科目余额表!$B495,data!I:I),0)</f>
        <v>0</v>
      </c>
      <c r="N495" s="207">
        <f>IFERROR(SUMIF(data!$E:$E,科目余额表!$B495,data!J:J),0)</f>
        <v>0</v>
      </c>
      <c r="O495" s="207">
        <f>IFERROR(SUMIF(data!$E:$E,科目余额表!$B495,data!K:K),0)</f>
        <v>0</v>
      </c>
      <c r="P495" s="207">
        <f>IFERROR(SUMIF(data!$E:$E,科目余额表!$B495,data!L:L),0)</f>
        <v>0</v>
      </c>
      <c r="Q495" s="207">
        <f>IFERROR(SUMIF(data!$E:$E,科目余额表!$B495,data!M:M),0)</f>
        <v>0</v>
      </c>
      <c r="R495" s="207">
        <f>IFERROR(SUMIF(data!$E:$E,科目余额表!$B495,data!N:N),0)</f>
        <v>0</v>
      </c>
      <c r="S495" s="207">
        <f>IFERROR(SUMIF(data!$E:$E,科目余额表!$B495,data!O:O),0)</f>
        <v>0</v>
      </c>
      <c r="T495" s="207">
        <f>IFERROR(SUMIF(data!$E:$E,科目余额表!$B495,data!P:P),0)</f>
        <v>0</v>
      </c>
      <c r="U495" s="207">
        <f>IFERROR(SUMIF(data!$E:$E,科目余额表!$B495,data!Q:Q),0)</f>
        <v>0</v>
      </c>
      <c r="V495" s="207">
        <f>IFERROR(SUMIF(data!$E:$E,科目余额表!$B495,data!R:R),0)</f>
        <v>0</v>
      </c>
      <c r="W495" s="207">
        <f>IFERROR(SUMIF(data!$E:$E,科目余额表!$B495,data!S:S),0)</f>
        <v>0</v>
      </c>
      <c r="X495" s="207">
        <f t="shared" si="11"/>
        <v>0</v>
      </c>
      <c r="Y495" s="207"/>
      <c r="Z495" s="207"/>
      <c r="AA495" s="207"/>
      <c r="AB495" s="207"/>
      <c r="AC495" s="207"/>
      <c r="AD495" s="207"/>
      <c r="AE495" s="207"/>
      <c r="AF495" s="207"/>
    </row>
    <row r="496" spans="1:32" s="214" customFormat="1" ht="11.65" customHeight="1">
      <c r="A496" s="215"/>
      <c r="B496" s="220">
        <v>60200</v>
      </c>
      <c r="C496" s="205" t="s">
        <v>764</v>
      </c>
      <c r="D496" s="221">
        <f t="shared" si="10"/>
        <v>0</v>
      </c>
      <c r="E496" s="221">
        <v>0</v>
      </c>
      <c r="F496" s="222">
        <f t="shared" si="9"/>
        <v>0</v>
      </c>
      <c r="G496" s="205" t="s">
        <v>754</v>
      </c>
      <c r="H496" s="225" t="s">
        <v>671</v>
      </c>
      <c r="J496" s="207" t="s">
        <v>755</v>
      </c>
      <c r="K496" s="207"/>
      <c r="L496" s="207">
        <f>IFERROR(SUMIF(data!$E:$E,科目余额表!$B496,data!H:H),0)</f>
        <v>0</v>
      </c>
      <c r="M496" s="207">
        <f>IFERROR(SUMIF(data!$E:$E,科目余额表!$B496,data!I:I),0)</f>
        <v>0</v>
      </c>
      <c r="N496" s="207">
        <f>IFERROR(SUMIF(data!$E:$E,科目余额表!$B496,data!J:J),0)</f>
        <v>0</v>
      </c>
      <c r="O496" s="207">
        <f>IFERROR(SUMIF(data!$E:$E,科目余额表!$B496,data!K:K),0)</f>
        <v>0</v>
      </c>
      <c r="P496" s="207">
        <f>IFERROR(SUMIF(data!$E:$E,科目余额表!$B496,data!L:L),0)</f>
        <v>0</v>
      </c>
      <c r="Q496" s="207">
        <f>IFERROR(SUMIF(data!$E:$E,科目余额表!$B496,data!M:M),0)</f>
        <v>0</v>
      </c>
      <c r="R496" s="207">
        <f>IFERROR(SUMIF(data!$E:$E,科目余额表!$B496,data!N:N),0)</f>
        <v>0</v>
      </c>
      <c r="S496" s="207">
        <f>IFERROR(SUMIF(data!$E:$E,科目余额表!$B496,data!O:O),0)</f>
        <v>0</v>
      </c>
      <c r="T496" s="207">
        <f>IFERROR(SUMIF(data!$E:$E,科目余额表!$B496,data!P:P),0)</f>
        <v>0</v>
      </c>
      <c r="U496" s="207">
        <f>IFERROR(SUMIF(data!$E:$E,科目余额表!$B496,data!Q:Q),0)</f>
        <v>0</v>
      </c>
      <c r="V496" s="207">
        <f>IFERROR(SUMIF(data!$E:$E,科目余额表!$B496,data!R:R),0)</f>
        <v>0</v>
      </c>
      <c r="W496" s="207">
        <f>IFERROR(SUMIF(data!$E:$E,科目余额表!$B496,data!S:S),0)</f>
        <v>0</v>
      </c>
      <c r="X496" s="207">
        <f t="shared" si="11"/>
        <v>0</v>
      </c>
      <c r="Y496" s="207"/>
      <c r="Z496" s="207"/>
      <c r="AA496" s="207"/>
      <c r="AB496" s="207"/>
      <c r="AC496" s="207"/>
      <c r="AD496" s="207"/>
      <c r="AE496" s="207"/>
      <c r="AF496" s="207"/>
    </row>
    <row r="497" spans="1:32" s="214" customFormat="1" ht="11.65" customHeight="1">
      <c r="A497" s="215"/>
      <c r="B497" s="220">
        <v>62001</v>
      </c>
      <c r="C497" s="205" t="s">
        <v>765</v>
      </c>
      <c r="D497" s="221">
        <f t="shared" si="10"/>
        <v>0</v>
      </c>
      <c r="E497" s="221">
        <v>0</v>
      </c>
      <c r="F497" s="222">
        <f t="shared" si="9"/>
        <v>0</v>
      </c>
      <c r="G497" s="205" t="s">
        <v>766</v>
      </c>
      <c r="H497" s="225" t="s">
        <v>671</v>
      </c>
      <c r="J497" s="207" t="s">
        <v>767</v>
      </c>
      <c r="K497" s="207"/>
      <c r="L497" s="207">
        <f>IFERROR(SUMIF(data!$E:$E,科目余额表!$B497,data!H:H),0)</f>
        <v>0</v>
      </c>
      <c r="M497" s="207">
        <f>IFERROR(SUMIF(data!$E:$E,科目余额表!$B497,data!I:I),0)</f>
        <v>0</v>
      </c>
      <c r="N497" s="207">
        <f>IFERROR(SUMIF(data!$E:$E,科目余额表!$B497,data!J:J),0)</f>
        <v>0</v>
      </c>
      <c r="O497" s="207">
        <f>IFERROR(SUMIF(data!$E:$E,科目余额表!$B497,data!K:K),0)</f>
        <v>0</v>
      </c>
      <c r="P497" s="207">
        <f>IFERROR(SUMIF(data!$E:$E,科目余额表!$B497,data!L:L),0)</f>
        <v>0</v>
      </c>
      <c r="Q497" s="207">
        <f>IFERROR(SUMIF(data!$E:$E,科目余额表!$B497,data!M:M),0)</f>
        <v>0</v>
      </c>
      <c r="R497" s="207">
        <f>IFERROR(SUMIF(data!$E:$E,科目余额表!$B497,data!N:N),0)</f>
        <v>0</v>
      </c>
      <c r="S497" s="207">
        <f>IFERROR(SUMIF(data!$E:$E,科目余额表!$B497,data!O:O),0)</f>
        <v>0</v>
      </c>
      <c r="T497" s="207">
        <f>IFERROR(SUMIF(data!$E:$E,科目余额表!$B497,data!P:P),0)</f>
        <v>0</v>
      </c>
      <c r="U497" s="207">
        <f>IFERROR(SUMIF(data!$E:$E,科目余额表!$B497,data!Q:Q),0)</f>
        <v>0</v>
      </c>
      <c r="V497" s="207">
        <f>IFERROR(SUMIF(data!$E:$E,科目余额表!$B497,data!R:R),0)</f>
        <v>0</v>
      </c>
      <c r="W497" s="207">
        <f>IFERROR(SUMIF(data!$E:$E,科目余额表!$B497,data!S:S),0)</f>
        <v>0</v>
      </c>
      <c r="X497" s="207">
        <f t="shared" si="11"/>
        <v>0</v>
      </c>
      <c r="Y497" s="207"/>
      <c r="Z497" s="207"/>
      <c r="AA497" s="207"/>
      <c r="AB497" s="207"/>
      <c r="AC497" s="207"/>
      <c r="AD497" s="207"/>
      <c r="AE497" s="207"/>
      <c r="AF497" s="207"/>
    </row>
    <row r="498" spans="1:32" s="214" customFormat="1" ht="11.65" customHeight="1">
      <c r="A498" s="215"/>
      <c r="B498" s="220">
        <v>62002</v>
      </c>
      <c r="C498" s="205" t="s">
        <v>768</v>
      </c>
      <c r="D498" s="221">
        <f t="shared" si="10"/>
        <v>0</v>
      </c>
      <c r="E498" s="221">
        <v>0</v>
      </c>
      <c r="F498" s="222">
        <f t="shared" si="9"/>
        <v>0</v>
      </c>
      <c r="G498" s="205" t="s">
        <v>766</v>
      </c>
      <c r="H498" s="225" t="s">
        <v>671</v>
      </c>
      <c r="J498" s="207" t="s">
        <v>767</v>
      </c>
      <c r="K498" s="207"/>
      <c r="L498" s="207">
        <f>IFERROR(SUMIF(data!$E:$E,科目余额表!$B498,data!H:H),0)</f>
        <v>0</v>
      </c>
      <c r="M498" s="207">
        <f>IFERROR(SUMIF(data!$E:$E,科目余额表!$B498,data!I:I),0)</f>
        <v>0</v>
      </c>
      <c r="N498" s="207">
        <f>IFERROR(SUMIF(data!$E:$E,科目余额表!$B498,data!J:J),0)</f>
        <v>0</v>
      </c>
      <c r="O498" s="207">
        <f>IFERROR(SUMIF(data!$E:$E,科目余额表!$B498,data!K:K),0)</f>
        <v>0</v>
      </c>
      <c r="P498" s="207">
        <f>IFERROR(SUMIF(data!$E:$E,科目余额表!$B498,data!L:L),0)</f>
        <v>0</v>
      </c>
      <c r="Q498" s="207">
        <f>IFERROR(SUMIF(data!$E:$E,科目余额表!$B498,data!M:M),0)</f>
        <v>0</v>
      </c>
      <c r="R498" s="207">
        <f>IFERROR(SUMIF(data!$E:$E,科目余额表!$B498,data!N:N),0)</f>
        <v>0</v>
      </c>
      <c r="S498" s="207">
        <f>IFERROR(SUMIF(data!$E:$E,科目余额表!$B498,data!O:O),0)</f>
        <v>0</v>
      </c>
      <c r="T498" s="207">
        <f>IFERROR(SUMIF(data!$E:$E,科目余额表!$B498,data!P:P),0)</f>
        <v>0</v>
      </c>
      <c r="U498" s="207">
        <f>IFERROR(SUMIF(data!$E:$E,科目余额表!$B498,data!Q:Q),0)</f>
        <v>0</v>
      </c>
      <c r="V498" s="207">
        <f>IFERROR(SUMIF(data!$E:$E,科目余额表!$B498,data!R:R),0)</f>
        <v>0</v>
      </c>
      <c r="W498" s="207">
        <f>IFERROR(SUMIF(data!$E:$E,科目余额表!$B498,data!S:S),0)</f>
        <v>0</v>
      </c>
      <c r="X498" s="207">
        <f t="shared" si="11"/>
        <v>0</v>
      </c>
      <c r="Y498" s="207"/>
      <c r="Z498" s="207"/>
      <c r="AA498" s="207"/>
      <c r="AB498" s="207"/>
      <c r="AC498" s="207"/>
      <c r="AD498" s="207"/>
      <c r="AE498" s="207"/>
      <c r="AF498" s="207"/>
    </row>
    <row r="499" spans="1:32" s="214" customFormat="1" ht="11.65" customHeight="1">
      <c r="A499" s="215"/>
      <c r="B499" s="220">
        <v>62003</v>
      </c>
      <c r="C499" s="205" t="s">
        <v>769</v>
      </c>
      <c r="D499" s="221">
        <f t="shared" si="10"/>
        <v>0</v>
      </c>
      <c r="E499" s="221">
        <v>0</v>
      </c>
      <c r="F499" s="222">
        <f t="shared" si="9"/>
        <v>0</v>
      </c>
      <c r="G499" s="205" t="s">
        <v>766</v>
      </c>
      <c r="H499" s="225" t="s">
        <v>671</v>
      </c>
      <c r="J499" s="207" t="s">
        <v>767</v>
      </c>
      <c r="K499" s="207"/>
      <c r="L499" s="207">
        <f>IFERROR(SUMIF(data!$E:$E,科目余额表!$B499,data!H:H),0)</f>
        <v>0</v>
      </c>
      <c r="M499" s="207">
        <f>IFERROR(SUMIF(data!$E:$E,科目余额表!$B499,data!I:I),0)</f>
        <v>0</v>
      </c>
      <c r="N499" s="207">
        <f>IFERROR(SUMIF(data!$E:$E,科目余额表!$B499,data!J:J),0)</f>
        <v>0</v>
      </c>
      <c r="O499" s="207">
        <f>IFERROR(SUMIF(data!$E:$E,科目余额表!$B499,data!K:K),0)</f>
        <v>0</v>
      </c>
      <c r="P499" s="207">
        <f>IFERROR(SUMIF(data!$E:$E,科目余额表!$B499,data!L:L),0)</f>
        <v>0</v>
      </c>
      <c r="Q499" s="207">
        <f>IFERROR(SUMIF(data!$E:$E,科目余额表!$B499,data!M:M),0)</f>
        <v>0</v>
      </c>
      <c r="R499" s="207">
        <f>IFERROR(SUMIF(data!$E:$E,科目余额表!$B499,data!N:N),0)</f>
        <v>0</v>
      </c>
      <c r="S499" s="207">
        <f>IFERROR(SUMIF(data!$E:$E,科目余额表!$B499,data!O:O),0)</f>
        <v>0</v>
      </c>
      <c r="T499" s="207">
        <f>IFERROR(SUMIF(data!$E:$E,科目余额表!$B499,data!P:P),0)</f>
        <v>0</v>
      </c>
      <c r="U499" s="207">
        <f>IFERROR(SUMIF(data!$E:$E,科目余额表!$B499,data!Q:Q),0)</f>
        <v>0</v>
      </c>
      <c r="V499" s="207">
        <f>IFERROR(SUMIF(data!$E:$E,科目余额表!$B499,data!R:R),0)</f>
        <v>0</v>
      </c>
      <c r="W499" s="207">
        <f>IFERROR(SUMIF(data!$E:$E,科目余额表!$B499,data!S:S),0)</f>
        <v>0</v>
      </c>
      <c r="X499" s="207">
        <f t="shared" si="11"/>
        <v>0</v>
      </c>
      <c r="Y499" s="207"/>
      <c r="Z499" s="207"/>
      <c r="AA499" s="207"/>
      <c r="AB499" s="207"/>
      <c r="AC499" s="207"/>
      <c r="AD499" s="207"/>
      <c r="AE499" s="207"/>
      <c r="AF499" s="207"/>
    </row>
    <row r="500" spans="1:32" s="214" customFormat="1" ht="11.65" customHeight="1">
      <c r="A500" s="215"/>
      <c r="B500" s="220">
        <v>62004</v>
      </c>
      <c r="C500" s="205" t="s">
        <v>770</v>
      </c>
      <c r="D500" s="221">
        <f t="shared" si="10"/>
        <v>0</v>
      </c>
      <c r="E500" s="221">
        <v>0</v>
      </c>
      <c r="F500" s="222">
        <f t="shared" si="9"/>
        <v>0</v>
      </c>
      <c r="G500" s="205" t="s">
        <v>766</v>
      </c>
      <c r="H500" s="225" t="s">
        <v>671</v>
      </c>
      <c r="J500" s="207" t="s">
        <v>767</v>
      </c>
      <c r="K500" s="207"/>
      <c r="L500" s="207">
        <f>IFERROR(SUMIF(data!$E:$E,科目余额表!$B500,data!H:H),0)</f>
        <v>0</v>
      </c>
      <c r="M500" s="207">
        <f>IFERROR(SUMIF(data!$E:$E,科目余额表!$B500,data!I:I),0)</f>
        <v>0</v>
      </c>
      <c r="N500" s="207">
        <f>IFERROR(SUMIF(data!$E:$E,科目余额表!$B500,data!J:J),0)</f>
        <v>0</v>
      </c>
      <c r="O500" s="207">
        <f>IFERROR(SUMIF(data!$E:$E,科目余额表!$B500,data!K:K),0)</f>
        <v>0</v>
      </c>
      <c r="P500" s="207">
        <f>IFERROR(SUMIF(data!$E:$E,科目余额表!$B500,data!L:L),0)</f>
        <v>0</v>
      </c>
      <c r="Q500" s="207">
        <f>IFERROR(SUMIF(data!$E:$E,科目余额表!$B500,data!M:M),0)</f>
        <v>0</v>
      </c>
      <c r="R500" s="207">
        <f>IFERROR(SUMIF(data!$E:$E,科目余额表!$B500,data!N:N),0)</f>
        <v>0</v>
      </c>
      <c r="S500" s="207">
        <f>IFERROR(SUMIF(data!$E:$E,科目余额表!$B500,data!O:O),0)</f>
        <v>0</v>
      </c>
      <c r="T500" s="207">
        <f>IFERROR(SUMIF(data!$E:$E,科目余额表!$B500,data!P:P),0)</f>
        <v>0</v>
      </c>
      <c r="U500" s="207">
        <f>IFERROR(SUMIF(data!$E:$E,科目余额表!$B500,data!Q:Q),0)</f>
        <v>0</v>
      </c>
      <c r="V500" s="207">
        <f>IFERROR(SUMIF(data!$E:$E,科目余额表!$B500,data!R:R),0)</f>
        <v>0</v>
      </c>
      <c r="W500" s="207">
        <f>IFERROR(SUMIF(data!$E:$E,科目余额表!$B500,data!S:S),0)</f>
        <v>0</v>
      </c>
      <c r="X500" s="207">
        <f t="shared" si="11"/>
        <v>0</v>
      </c>
      <c r="Y500" s="207"/>
      <c r="Z500" s="207"/>
      <c r="AA500" s="207"/>
      <c r="AB500" s="207"/>
      <c r="AC500" s="207"/>
      <c r="AD500" s="207"/>
      <c r="AE500" s="207"/>
      <c r="AF500" s="207"/>
    </row>
    <row r="501" spans="1:32" s="214" customFormat="1" ht="11.65" customHeight="1">
      <c r="A501" s="215"/>
      <c r="B501" s="220">
        <v>62005</v>
      </c>
      <c r="C501" s="205" t="s">
        <v>771</v>
      </c>
      <c r="D501" s="221">
        <f t="shared" si="10"/>
        <v>27524.839999999997</v>
      </c>
      <c r="E501" s="221">
        <v>47600.75</v>
      </c>
      <c r="F501" s="222">
        <f t="shared" si="9"/>
        <v>75125.59</v>
      </c>
      <c r="G501" s="205" t="s">
        <v>766</v>
      </c>
      <c r="H501" s="225" t="s">
        <v>671</v>
      </c>
      <c r="J501" s="207" t="s">
        <v>767</v>
      </c>
      <c r="K501" s="207"/>
      <c r="L501" s="207">
        <f>IFERROR(SUMIF(data!$E:$E,科目余额表!$B501,data!H:H),0)</f>
        <v>0</v>
      </c>
      <c r="M501" s="207">
        <f>IFERROR(SUMIF(data!$E:$E,科目余额表!$B501,data!I:I),0)</f>
        <v>0</v>
      </c>
      <c r="N501" s="207">
        <f>IFERROR(SUMIF(data!$E:$E,科目余额表!$B501,data!J:J),0)</f>
        <v>-9573.25</v>
      </c>
      <c r="O501" s="207">
        <f>IFERROR(SUMIF(data!$E:$E,科目余额表!$B501,data!K:K),0)</f>
        <v>0</v>
      </c>
      <c r="P501" s="207">
        <f>IFERROR(SUMIF(data!$E:$E,科目余额表!$B501,data!L:L),0)</f>
        <v>0</v>
      </c>
      <c r="Q501" s="207">
        <f>IFERROR(SUMIF(data!$E:$E,科目余额表!$B501,data!M:M),0)</f>
        <v>-9696.92</v>
      </c>
      <c r="R501" s="207">
        <f>IFERROR(SUMIF(data!$E:$E,科目余额表!$B501,data!N:N),0)</f>
        <v>0</v>
      </c>
      <c r="S501" s="207">
        <f>IFERROR(SUMIF(data!$E:$E,科目余额表!$B501,data!O:O),0)</f>
        <v>0</v>
      </c>
      <c r="T501" s="207">
        <f>IFERROR(SUMIF(data!$E:$E,科目余额表!$B501,data!P:P),0)</f>
        <v>-8254.67</v>
      </c>
      <c r="U501" s="207">
        <f>IFERROR(SUMIF(data!$E:$E,科目余额表!$B501,data!Q:Q),0)</f>
        <v>0</v>
      </c>
      <c r="V501" s="207">
        <f>IFERROR(SUMIF(data!$E:$E,科目余额表!$B501,data!R:R),0)</f>
        <v>0</v>
      </c>
      <c r="W501" s="207">
        <f>IFERROR(SUMIF(data!$E:$E,科目余额表!$B501,data!S:S),0)</f>
        <v>-47600.75</v>
      </c>
      <c r="X501" s="207">
        <f t="shared" si="11"/>
        <v>-75125.59</v>
      </c>
      <c r="Y501" s="207"/>
      <c r="Z501" s="207"/>
      <c r="AA501" s="207"/>
      <c r="AB501" s="207"/>
      <c r="AC501" s="207"/>
      <c r="AD501" s="207"/>
      <c r="AE501" s="207"/>
      <c r="AF501" s="207"/>
    </row>
    <row r="502" spans="1:32" s="214" customFormat="1" ht="11.65" customHeight="1">
      <c r="A502" s="215"/>
      <c r="B502" s="220">
        <v>62006</v>
      </c>
      <c r="C502" s="205" t="s">
        <v>772</v>
      </c>
      <c r="D502" s="221">
        <f t="shared" si="10"/>
        <v>0</v>
      </c>
      <c r="E502" s="221">
        <v>0</v>
      </c>
      <c r="F502" s="222">
        <f t="shared" si="9"/>
        <v>0</v>
      </c>
      <c r="G502" s="205" t="s">
        <v>766</v>
      </c>
      <c r="H502" s="225" t="s">
        <v>671</v>
      </c>
      <c r="J502" s="207" t="s">
        <v>767</v>
      </c>
      <c r="K502" s="207"/>
      <c r="L502" s="207">
        <f>IFERROR(SUMIF(data!$E:$E,科目余额表!$B502,data!H:H),0)</f>
        <v>0</v>
      </c>
      <c r="M502" s="207">
        <f>IFERROR(SUMIF(data!$E:$E,科目余额表!$B502,data!I:I),0)</f>
        <v>0</v>
      </c>
      <c r="N502" s="207">
        <f>IFERROR(SUMIF(data!$E:$E,科目余额表!$B502,data!J:J),0)</f>
        <v>0</v>
      </c>
      <c r="O502" s="207">
        <f>IFERROR(SUMIF(data!$E:$E,科目余额表!$B502,data!K:K),0)</f>
        <v>0</v>
      </c>
      <c r="P502" s="207">
        <f>IFERROR(SUMIF(data!$E:$E,科目余额表!$B502,data!L:L),0)</f>
        <v>0</v>
      </c>
      <c r="Q502" s="207">
        <f>IFERROR(SUMIF(data!$E:$E,科目余额表!$B502,data!M:M),0)</f>
        <v>0</v>
      </c>
      <c r="R502" s="207">
        <f>IFERROR(SUMIF(data!$E:$E,科目余额表!$B502,data!N:N),0)</f>
        <v>0</v>
      </c>
      <c r="S502" s="207">
        <f>IFERROR(SUMIF(data!$E:$E,科目余额表!$B502,data!O:O),0)</f>
        <v>0</v>
      </c>
      <c r="T502" s="207">
        <f>IFERROR(SUMIF(data!$E:$E,科目余额表!$B502,data!P:P),0)</f>
        <v>0</v>
      </c>
      <c r="U502" s="207">
        <f>IFERROR(SUMIF(data!$E:$E,科目余额表!$B502,data!Q:Q),0)</f>
        <v>0</v>
      </c>
      <c r="V502" s="207">
        <f>IFERROR(SUMIF(data!$E:$E,科目余额表!$B502,data!R:R),0)</f>
        <v>0</v>
      </c>
      <c r="W502" s="207">
        <f>IFERROR(SUMIF(data!$E:$E,科目余额表!$B502,data!S:S),0)</f>
        <v>0</v>
      </c>
      <c r="X502" s="207">
        <f t="shared" si="11"/>
        <v>0</v>
      </c>
      <c r="Y502" s="207"/>
      <c r="Z502" s="207"/>
      <c r="AA502" s="207"/>
      <c r="AB502" s="207"/>
      <c r="AC502" s="207"/>
      <c r="AD502" s="207"/>
      <c r="AE502" s="207"/>
      <c r="AF502" s="207"/>
    </row>
    <row r="503" spans="1:32" s="214" customFormat="1" ht="11.65" customHeight="1">
      <c r="A503" s="215"/>
      <c r="B503" s="220">
        <v>62007</v>
      </c>
      <c r="C503" s="205" t="s">
        <v>773</v>
      </c>
      <c r="D503" s="221">
        <f t="shared" si="10"/>
        <v>0</v>
      </c>
      <c r="E503" s="221">
        <v>0</v>
      </c>
      <c r="F503" s="222">
        <f t="shared" si="9"/>
        <v>0</v>
      </c>
      <c r="G503" s="205" t="s">
        <v>766</v>
      </c>
      <c r="H503" s="225" t="s">
        <v>671</v>
      </c>
      <c r="J503" s="207" t="s">
        <v>767</v>
      </c>
      <c r="K503" s="207"/>
      <c r="L503" s="207">
        <f>IFERROR(SUMIF(data!$E:$E,科目余额表!$B503,data!H:H),0)</f>
        <v>0</v>
      </c>
      <c r="M503" s="207">
        <f>IFERROR(SUMIF(data!$E:$E,科目余额表!$B503,data!I:I),0)</f>
        <v>0</v>
      </c>
      <c r="N503" s="207">
        <f>IFERROR(SUMIF(data!$E:$E,科目余额表!$B503,data!J:J),0)</f>
        <v>0</v>
      </c>
      <c r="O503" s="207">
        <f>IFERROR(SUMIF(data!$E:$E,科目余额表!$B503,data!K:K),0)</f>
        <v>0</v>
      </c>
      <c r="P503" s="207">
        <f>IFERROR(SUMIF(data!$E:$E,科目余额表!$B503,data!L:L),0)</f>
        <v>0</v>
      </c>
      <c r="Q503" s="207">
        <f>IFERROR(SUMIF(data!$E:$E,科目余额表!$B503,data!M:M),0)</f>
        <v>0</v>
      </c>
      <c r="R503" s="207">
        <f>IFERROR(SUMIF(data!$E:$E,科目余额表!$B503,data!N:N),0)</f>
        <v>0</v>
      </c>
      <c r="S503" s="207">
        <f>IFERROR(SUMIF(data!$E:$E,科目余额表!$B503,data!O:O),0)</f>
        <v>0</v>
      </c>
      <c r="T503" s="207">
        <f>IFERROR(SUMIF(data!$E:$E,科目余额表!$B503,data!P:P),0)</f>
        <v>0</v>
      </c>
      <c r="U503" s="207">
        <f>IFERROR(SUMIF(data!$E:$E,科目余额表!$B503,data!Q:Q),0)</f>
        <v>0</v>
      </c>
      <c r="V503" s="207">
        <f>IFERROR(SUMIF(data!$E:$E,科目余额表!$B503,data!R:R),0)</f>
        <v>0</v>
      </c>
      <c r="W503" s="207">
        <f>IFERROR(SUMIF(data!$E:$E,科目余额表!$B503,data!S:S),0)</f>
        <v>0</v>
      </c>
      <c r="X503" s="207">
        <f t="shared" si="11"/>
        <v>0</v>
      </c>
      <c r="Y503" s="207"/>
      <c r="Z503" s="207"/>
      <c r="AA503" s="207"/>
      <c r="AB503" s="207"/>
      <c r="AC503" s="207"/>
      <c r="AD503" s="207"/>
      <c r="AE503" s="207"/>
      <c r="AF503" s="207"/>
    </row>
    <row r="504" spans="1:32" s="214" customFormat="1" ht="11.65" customHeight="1">
      <c r="A504" s="215"/>
      <c r="B504" s="220">
        <v>62008</v>
      </c>
      <c r="C504" s="205" t="s">
        <v>774</v>
      </c>
      <c r="D504" s="221">
        <f t="shared" si="10"/>
        <v>0</v>
      </c>
      <c r="E504" s="221">
        <v>0</v>
      </c>
      <c r="F504" s="222">
        <f t="shared" si="9"/>
        <v>0</v>
      </c>
      <c r="G504" s="205" t="s">
        <v>766</v>
      </c>
      <c r="H504" s="225" t="s">
        <v>671</v>
      </c>
      <c r="J504" s="207" t="s">
        <v>767</v>
      </c>
      <c r="K504" s="207"/>
      <c r="L504" s="207">
        <f>IFERROR(SUMIF(data!$E:$E,科目余额表!$B504,data!H:H),0)</f>
        <v>0</v>
      </c>
      <c r="M504" s="207">
        <f>IFERROR(SUMIF(data!$E:$E,科目余额表!$B504,data!I:I),0)</f>
        <v>0</v>
      </c>
      <c r="N504" s="207">
        <f>IFERROR(SUMIF(data!$E:$E,科目余额表!$B504,data!J:J),0)</f>
        <v>0</v>
      </c>
      <c r="O504" s="207">
        <f>IFERROR(SUMIF(data!$E:$E,科目余额表!$B504,data!K:K),0)</f>
        <v>0</v>
      </c>
      <c r="P504" s="207">
        <f>IFERROR(SUMIF(data!$E:$E,科目余额表!$B504,data!L:L),0)</f>
        <v>0</v>
      </c>
      <c r="Q504" s="207">
        <f>IFERROR(SUMIF(data!$E:$E,科目余额表!$B504,data!M:M),0)</f>
        <v>0</v>
      </c>
      <c r="R504" s="207">
        <f>IFERROR(SUMIF(data!$E:$E,科目余额表!$B504,data!N:N),0)</f>
        <v>0</v>
      </c>
      <c r="S504" s="207">
        <f>IFERROR(SUMIF(data!$E:$E,科目余额表!$B504,data!O:O),0)</f>
        <v>0</v>
      </c>
      <c r="T504" s="207">
        <f>IFERROR(SUMIF(data!$E:$E,科目余额表!$B504,data!P:P),0)</f>
        <v>0</v>
      </c>
      <c r="U504" s="207">
        <f>IFERROR(SUMIF(data!$E:$E,科目余额表!$B504,data!Q:Q),0)</f>
        <v>0</v>
      </c>
      <c r="V504" s="207">
        <f>IFERROR(SUMIF(data!$E:$E,科目余额表!$B504,data!R:R),0)</f>
        <v>0</v>
      </c>
      <c r="W504" s="207">
        <f>IFERROR(SUMIF(data!$E:$E,科目余额表!$B504,data!S:S),0)</f>
        <v>0</v>
      </c>
      <c r="X504" s="207">
        <f t="shared" si="11"/>
        <v>0</v>
      </c>
      <c r="Y504" s="207"/>
      <c r="Z504" s="207"/>
      <c r="AA504" s="207"/>
      <c r="AB504" s="207"/>
      <c r="AC504" s="207"/>
      <c r="AD504" s="207"/>
      <c r="AE504" s="207"/>
      <c r="AF504" s="207"/>
    </row>
    <row r="505" spans="1:32" s="214" customFormat="1" ht="11.65" customHeight="1">
      <c r="A505" s="215"/>
      <c r="B505" s="220">
        <v>62009</v>
      </c>
      <c r="C505" s="205" t="s">
        <v>775</v>
      </c>
      <c r="D505" s="221">
        <f t="shared" si="10"/>
        <v>0</v>
      </c>
      <c r="E505" s="221">
        <v>0</v>
      </c>
      <c r="F505" s="222">
        <f t="shared" si="9"/>
        <v>0</v>
      </c>
      <c r="G505" s="205" t="s">
        <v>766</v>
      </c>
      <c r="H505" s="225" t="s">
        <v>671</v>
      </c>
      <c r="J505" s="207" t="s">
        <v>767</v>
      </c>
      <c r="K505" s="207"/>
      <c r="L505" s="207">
        <f>IFERROR(SUMIF(data!$E:$E,科目余额表!$B505,data!H:H),0)</f>
        <v>0</v>
      </c>
      <c r="M505" s="207">
        <f>IFERROR(SUMIF(data!$E:$E,科目余额表!$B505,data!I:I),0)</f>
        <v>0</v>
      </c>
      <c r="N505" s="207">
        <f>IFERROR(SUMIF(data!$E:$E,科目余额表!$B505,data!J:J),0)</f>
        <v>0</v>
      </c>
      <c r="O505" s="207">
        <f>IFERROR(SUMIF(data!$E:$E,科目余额表!$B505,data!K:K),0)</f>
        <v>0</v>
      </c>
      <c r="P505" s="207">
        <f>IFERROR(SUMIF(data!$E:$E,科目余额表!$B505,data!L:L),0)</f>
        <v>0</v>
      </c>
      <c r="Q505" s="207">
        <f>IFERROR(SUMIF(data!$E:$E,科目余额表!$B505,data!M:M),0)</f>
        <v>0</v>
      </c>
      <c r="R505" s="207">
        <f>IFERROR(SUMIF(data!$E:$E,科目余额表!$B505,data!N:N),0)</f>
        <v>0</v>
      </c>
      <c r="S505" s="207">
        <f>IFERROR(SUMIF(data!$E:$E,科目余额表!$B505,data!O:O),0)</f>
        <v>0</v>
      </c>
      <c r="T505" s="207">
        <f>IFERROR(SUMIF(data!$E:$E,科目余额表!$B505,data!P:P),0)</f>
        <v>0</v>
      </c>
      <c r="U505" s="207">
        <f>IFERROR(SUMIF(data!$E:$E,科目余额表!$B505,data!Q:Q),0)</f>
        <v>0</v>
      </c>
      <c r="V505" s="207">
        <f>IFERROR(SUMIF(data!$E:$E,科目余额表!$B505,data!R:R),0)</f>
        <v>0</v>
      </c>
      <c r="W505" s="207">
        <f>IFERROR(SUMIF(data!$E:$E,科目余额表!$B505,data!S:S),0)</f>
        <v>0</v>
      </c>
      <c r="X505" s="207">
        <f t="shared" si="11"/>
        <v>0</v>
      </c>
      <c r="Y505" s="207"/>
      <c r="Z505" s="207"/>
      <c r="AA505" s="207"/>
      <c r="AB505" s="207"/>
      <c r="AC505" s="207"/>
      <c r="AD505" s="207"/>
      <c r="AE505" s="207"/>
      <c r="AF505" s="207"/>
    </row>
    <row r="506" spans="1:32" ht="11.65" customHeight="1">
      <c r="B506" s="220">
        <v>62010</v>
      </c>
      <c r="C506" s="205" t="s">
        <v>776</v>
      </c>
      <c r="D506" s="221">
        <f t="shared" si="10"/>
        <v>0</v>
      </c>
      <c r="E506" s="221">
        <v>0</v>
      </c>
      <c r="F506" s="222">
        <f t="shared" si="9"/>
        <v>0</v>
      </c>
      <c r="G506" s="205" t="s">
        <v>766</v>
      </c>
      <c r="H506" s="225" t="s">
        <v>671</v>
      </c>
      <c r="I506" s="214"/>
      <c r="J506" s="208" t="s">
        <v>767</v>
      </c>
      <c r="L506" s="208">
        <f>IFERROR(SUMIF(data!$E:$E,科目余额表!$B506,data!H:H),0)</f>
        <v>0</v>
      </c>
      <c r="M506" s="207">
        <f>IFERROR(SUMIF(data!$E:$E,科目余额表!$B506,data!I:I),0)</f>
        <v>0</v>
      </c>
      <c r="N506" s="208">
        <f>IFERROR(SUMIF(data!$E:$E,科目余额表!$B506,data!J:J),0)</f>
        <v>0</v>
      </c>
      <c r="O506" s="208">
        <f>IFERROR(SUMIF(data!$E:$E,科目余额表!$B506,data!K:K),0)</f>
        <v>0</v>
      </c>
      <c r="P506" s="208">
        <f>IFERROR(SUMIF(data!$E:$E,科目余额表!$B506,data!L:L),0)</f>
        <v>0</v>
      </c>
      <c r="Q506" s="208">
        <f>IFERROR(SUMIF(data!$E:$E,科目余额表!$B506,data!M:M),0)</f>
        <v>0</v>
      </c>
      <c r="R506" s="208">
        <f>IFERROR(SUMIF(data!$E:$E,科目余额表!$B506,data!N:N),0)</f>
        <v>0</v>
      </c>
      <c r="S506" s="208">
        <f>IFERROR(SUMIF(data!$E:$E,科目余额表!$B506,data!O:O),0)</f>
        <v>0</v>
      </c>
      <c r="T506" s="208">
        <f>IFERROR(SUMIF(data!$E:$E,科目余额表!$B506,data!P:P),0)</f>
        <v>0</v>
      </c>
      <c r="U506" s="208">
        <f>IFERROR(SUMIF(data!$E:$E,科目余额表!$B506,data!Q:Q),0)</f>
        <v>0</v>
      </c>
      <c r="V506" s="208">
        <f>IFERROR(SUMIF(data!$E:$E,科目余额表!$B506,data!R:R),0)</f>
        <v>0</v>
      </c>
      <c r="W506" s="208">
        <f>IFERROR(SUMIF(data!$E:$E,科目余额表!$B506,data!S:S),0)</f>
        <v>0</v>
      </c>
      <c r="X506" s="208">
        <f t="shared" si="11"/>
        <v>0</v>
      </c>
    </row>
    <row r="507" spans="1:32" ht="11.65" customHeight="1">
      <c r="B507" s="220">
        <v>62011</v>
      </c>
      <c r="C507" s="205" t="s">
        <v>777</v>
      </c>
      <c r="D507" s="221">
        <f t="shared" si="10"/>
        <v>0</v>
      </c>
      <c r="E507" s="221">
        <v>0</v>
      </c>
      <c r="F507" s="222">
        <f>D507+E507</f>
        <v>0</v>
      </c>
      <c r="G507" s="205" t="s">
        <v>766</v>
      </c>
      <c r="H507" s="225" t="s">
        <v>671</v>
      </c>
      <c r="I507" s="214"/>
      <c r="J507" s="208" t="s">
        <v>767</v>
      </c>
      <c r="L507" s="208">
        <f>IFERROR(SUMIF(data!$E:$E,科目余额表!$B507,data!H:H),0)</f>
        <v>0</v>
      </c>
      <c r="M507" s="207">
        <f>IFERROR(SUMIF(data!$E:$E,科目余额表!$B507,data!I:I),0)</f>
        <v>0</v>
      </c>
      <c r="N507" s="208">
        <f>IFERROR(SUMIF(data!$E:$E,科目余额表!$B507,data!J:J),0)</f>
        <v>0</v>
      </c>
      <c r="O507" s="208">
        <f>IFERROR(SUMIF(data!$E:$E,科目余额表!$B507,data!K:K),0)</f>
        <v>0</v>
      </c>
      <c r="P507" s="208">
        <f>IFERROR(SUMIF(data!$E:$E,科目余额表!$B507,data!L:L),0)</f>
        <v>0</v>
      </c>
      <c r="Q507" s="208">
        <f>IFERROR(SUMIF(data!$E:$E,科目余额表!$B507,data!M:M),0)</f>
        <v>0</v>
      </c>
      <c r="R507" s="208">
        <f>IFERROR(SUMIF(data!$E:$E,科目余额表!$B507,data!N:N),0)</f>
        <v>0</v>
      </c>
      <c r="S507" s="208">
        <f>IFERROR(SUMIF(data!$E:$E,科目余额表!$B507,data!O:O),0)</f>
        <v>0</v>
      </c>
      <c r="T507" s="208">
        <f>IFERROR(SUMIF(data!$E:$E,科目余额表!$B507,data!P:P),0)</f>
        <v>0</v>
      </c>
      <c r="U507" s="208">
        <f>IFERROR(SUMIF(data!$E:$E,科目余额表!$B507,data!Q:Q),0)</f>
        <v>0</v>
      </c>
      <c r="V507" s="208">
        <f>IFERROR(SUMIF(data!$E:$E,科目余额表!$B507,data!R:R),0)</f>
        <v>0</v>
      </c>
      <c r="W507" s="208">
        <f>IFERROR(SUMIF(data!$E:$E,科目余额表!$B507,data!S:S),0)</f>
        <v>0</v>
      </c>
      <c r="X507" s="208">
        <f t="shared" si="11"/>
        <v>0</v>
      </c>
    </row>
    <row r="508" spans="1:32" s="214" customFormat="1" ht="11.65" customHeight="1">
      <c r="A508" s="215"/>
      <c r="B508" s="220">
        <v>64000</v>
      </c>
      <c r="C508" s="205" t="s">
        <v>778</v>
      </c>
      <c r="D508" s="221">
        <f t="shared" si="10"/>
        <v>0</v>
      </c>
      <c r="E508" s="221">
        <v>0</v>
      </c>
      <c r="F508" s="222">
        <f t="shared" si="9"/>
        <v>0</v>
      </c>
      <c r="G508" s="205" t="s">
        <v>779</v>
      </c>
      <c r="H508" s="225" t="s">
        <v>671</v>
      </c>
      <c r="J508" s="207" t="s">
        <v>780</v>
      </c>
      <c r="K508" s="207"/>
      <c r="L508" s="207">
        <f>IFERROR(SUMIF(data!$E:$E,科目余额表!$B508,data!H:H),0)</f>
        <v>0</v>
      </c>
      <c r="M508" s="207">
        <f>IFERROR(SUMIF(data!$E:$E,科目余额表!$B508,data!I:I),0)</f>
        <v>0</v>
      </c>
      <c r="N508" s="207">
        <f>IFERROR(SUMIF(data!$E:$E,科目余额表!$B508,data!J:J),0)</f>
        <v>0</v>
      </c>
      <c r="O508" s="207">
        <f>IFERROR(SUMIF(data!$E:$E,科目余额表!$B508,data!K:K),0)</f>
        <v>0</v>
      </c>
      <c r="P508" s="207">
        <f>IFERROR(SUMIF(data!$E:$E,科目余额表!$B508,data!L:L),0)</f>
        <v>0</v>
      </c>
      <c r="Q508" s="207">
        <f>IFERROR(SUMIF(data!$E:$E,科目余额表!$B508,data!M:M),0)</f>
        <v>0</v>
      </c>
      <c r="R508" s="207">
        <f>IFERROR(SUMIF(data!$E:$E,科目余额表!$B508,data!N:N),0)</f>
        <v>0</v>
      </c>
      <c r="S508" s="207">
        <f>IFERROR(SUMIF(data!$E:$E,科目余额表!$B508,data!O:O),0)</f>
        <v>0</v>
      </c>
      <c r="T508" s="207">
        <f>IFERROR(SUMIF(data!$E:$E,科目余额表!$B508,data!P:P),0)</f>
        <v>0</v>
      </c>
      <c r="U508" s="207">
        <f>IFERROR(SUMIF(data!$E:$E,科目余额表!$B508,data!Q:Q),0)</f>
        <v>0</v>
      </c>
      <c r="V508" s="207">
        <f>IFERROR(SUMIF(data!$E:$E,科目余额表!$B508,data!R:R),0)</f>
        <v>0</v>
      </c>
      <c r="W508" s="207">
        <f>IFERROR(SUMIF(data!$E:$E,科目余额表!$B508,data!S:S),0)</f>
        <v>0</v>
      </c>
      <c r="X508" s="207">
        <f t="shared" si="11"/>
        <v>0</v>
      </c>
      <c r="Y508" s="207"/>
      <c r="Z508" s="207"/>
      <c r="AA508" s="207"/>
      <c r="AB508" s="207"/>
      <c r="AC508" s="207"/>
      <c r="AD508" s="207"/>
      <c r="AE508" s="207"/>
      <c r="AF508" s="207"/>
    </row>
    <row r="509" spans="1:32" s="214" customFormat="1" ht="11.65" customHeight="1">
      <c r="A509" s="215"/>
      <c r="B509" s="220">
        <v>64001</v>
      </c>
      <c r="C509" s="205" t="s">
        <v>781</v>
      </c>
      <c r="D509" s="221">
        <f t="shared" si="10"/>
        <v>0</v>
      </c>
      <c r="E509" s="221">
        <v>0</v>
      </c>
      <c r="F509" s="222">
        <f t="shared" si="9"/>
        <v>0</v>
      </c>
      <c r="G509" s="205" t="s">
        <v>779</v>
      </c>
      <c r="H509" s="225" t="s">
        <v>671</v>
      </c>
      <c r="J509" s="207" t="s">
        <v>780</v>
      </c>
      <c r="K509" s="207"/>
      <c r="L509" s="207">
        <f>IFERROR(SUMIF(data!$E:$E,科目余额表!$B509,data!H:H),0)</f>
        <v>0</v>
      </c>
      <c r="M509" s="207">
        <f>IFERROR(SUMIF(data!$E:$E,科目余额表!$B509,data!I:I),0)</f>
        <v>0</v>
      </c>
      <c r="N509" s="207">
        <f>IFERROR(SUMIF(data!$E:$E,科目余额表!$B509,data!J:J),0)</f>
        <v>0</v>
      </c>
      <c r="O509" s="207">
        <f>IFERROR(SUMIF(data!$E:$E,科目余额表!$B509,data!K:K),0)</f>
        <v>0</v>
      </c>
      <c r="P509" s="207">
        <f>IFERROR(SUMIF(data!$E:$E,科目余额表!$B509,data!L:L),0)</f>
        <v>0</v>
      </c>
      <c r="Q509" s="207">
        <f>IFERROR(SUMIF(data!$E:$E,科目余额表!$B509,data!M:M),0)</f>
        <v>0</v>
      </c>
      <c r="R509" s="207">
        <f>IFERROR(SUMIF(data!$E:$E,科目余额表!$B509,data!N:N),0)</f>
        <v>0</v>
      </c>
      <c r="S509" s="207">
        <f>IFERROR(SUMIF(data!$E:$E,科目余额表!$B509,data!O:O),0)</f>
        <v>0</v>
      </c>
      <c r="T509" s="207">
        <f>IFERROR(SUMIF(data!$E:$E,科目余额表!$B509,data!P:P),0)</f>
        <v>0</v>
      </c>
      <c r="U509" s="207">
        <f>IFERROR(SUMIF(data!$E:$E,科目余额表!$B509,data!Q:Q),0)</f>
        <v>0</v>
      </c>
      <c r="V509" s="207">
        <f>IFERROR(SUMIF(data!$E:$E,科目余额表!$B509,data!R:R),0)</f>
        <v>0</v>
      </c>
      <c r="W509" s="207">
        <f>IFERROR(SUMIF(data!$E:$E,科目余额表!$B509,data!S:S),0)</f>
        <v>0</v>
      </c>
      <c r="X509" s="207">
        <f t="shared" si="11"/>
        <v>0</v>
      </c>
      <c r="Y509" s="207"/>
      <c r="Z509" s="207"/>
      <c r="AA509" s="207"/>
      <c r="AB509" s="207"/>
      <c r="AC509" s="207"/>
      <c r="AD509" s="207"/>
      <c r="AE509" s="207"/>
      <c r="AF509" s="207"/>
    </row>
    <row r="510" spans="1:32" s="214" customFormat="1" ht="11.65" customHeight="1">
      <c r="A510" s="215"/>
      <c r="B510" s="220">
        <v>64100</v>
      </c>
      <c r="C510" s="205" t="s">
        <v>782</v>
      </c>
      <c r="D510" s="221">
        <f t="shared" si="10"/>
        <v>0</v>
      </c>
      <c r="E510" s="221">
        <v>0</v>
      </c>
      <c r="F510" s="222">
        <f t="shared" si="9"/>
        <v>0</v>
      </c>
      <c r="G510" s="205" t="s">
        <v>782</v>
      </c>
      <c r="H510" s="225" t="s">
        <v>671</v>
      </c>
      <c r="J510" s="207" t="s">
        <v>780</v>
      </c>
      <c r="K510" s="207"/>
      <c r="L510" s="207">
        <f>IFERROR(SUMIF(data!$E:$E,科目余额表!$B510,data!H:H),0)</f>
        <v>0</v>
      </c>
      <c r="M510" s="207">
        <f>IFERROR(SUMIF(data!$E:$E,科目余额表!$B510,data!I:I),0)</f>
        <v>0</v>
      </c>
      <c r="N510" s="207">
        <f>IFERROR(SUMIF(data!$E:$E,科目余额表!$B510,data!J:J),0)</f>
        <v>0</v>
      </c>
      <c r="O510" s="207">
        <f>IFERROR(SUMIF(data!$E:$E,科目余额表!$B510,data!K:K),0)</f>
        <v>0</v>
      </c>
      <c r="P510" s="207">
        <f>IFERROR(SUMIF(data!$E:$E,科目余额表!$B510,data!L:L),0)</f>
        <v>0</v>
      </c>
      <c r="Q510" s="207">
        <f>IFERROR(SUMIF(data!$E:$E,科目余额表!$B510,data!M:M),0)</f>
        <v>0</v>
      </c>
      <c r="R510" s="207">
        <f>IFERROR(SUMIF(data!$E:$E,科目余额表!$B510,data!N:N),0)</f>
        <v>0</v>
      </c>
      <c r="S510" s="207">
        <f>IFERROR(SUMIF(data!$E:$E,科目余额表!$B510,data!O:O),0)</f>
        <v>0</v>
      </c>
      <c r="T510" s="207">
        <f>IFERROR(SUMIF(data!$E:$E,科目余额表!$B510,data!P:P),0)</f>
        <v>0</v>
      </c>
      <c r="U510" s="207">
        <f>IFERROR(SUMIF(data!$E:$E,科目余额表!$B510,data!Q:Q),0)</f>
        <v>0</v>
      </c>
      <c r="V510" s="207">
        <f>IFERROR(SUMIF(data!$E:$E,科目余额表!$B510,data!R:R),0)</f>
        <v>0</v>
      </c>
      <c r="W510" s="207">
        <f>IFERROR(SUMIF(data!$E:$E,科目余额表!$B510,data!S:S),0)</f>
        <v>0</v>
      </c>
      <c r="X510" s="207">
        <f t="shared" si="11"/>
        <v>0</v>
      </c>
      <c r="Y510" s="207"/>
      <c r="Z510" s="207"/>
      <c r="AA510" s="207"/>
      <c r="AB510" s="207"/>
      <c r="AC510" s="207"/>
      <c r="AD510" s="207"/>
      <c r="AE510" s="207"/>
      <c r="AF510" s="207"/>
    </row>
    <row r="511" spans="1:32" s="214" customFormat="1" ht="11.65" customHeight="1">
      <c r="A511" s="215"/>
      <c r="B511" s="220">
        <v>64203</v>
      </c>
      <c r="C511" s="205" t="s">
        <v>783</v>
      </c>
      <c r="D511" s="221">
        <f t="shared" si="10"/>
        <v>0</v>
      </c>
      <c r="E511" s="221">
        <v>0</v>
      </c>
      <c r="F511" s="222">
        <f t="shared" si="9"/>
        <v>0</v>
      </c>
      <c r="G511" s="205" t="s">
        <v>784</v>
      </c>
      <c r="H511" s="225" t="s">
        <v>671</v>
      </c>
      <c r="J511" s="207" t="s">
        <v>780</v>
      </c>
      <c r="K511" s="207"/>
      <c r="L511" s="207">
        <f>IFERROR(SUMIF(data!$E:$E,科目余额表!$B511,data!H:H),0)</f>
        <v>0</v>
      </c>
      <c r="M511" s="207">
        <f>IFERROR(SUMIF(data!$E:$E,科目余额表!$B511,data!I:I),0)</f>
        <v>0</v>
      </c>
      <c r="N511" s="207">
        <f>IFERROR(SUMIF(data!$E:$E,科目余额表!$B511,data!J:J),0)</f>
        <v>0</v>
      </c>
      <c r="O511" s="207">
        <f>IFERROR(SUMIF(data!$E:$E,科目余额表!$B511,data!K:K),0)</f>
        <v>0</v>
      </c>
      <c r="P511" s="207">
        <f>IFERROR(SUMIF(data!$E:$E,科目余额表!$B511,data!L:L),0)</f>
        <v>0</v>
      </c>
      <c r="Q511" s="207">
        <f>IFERROR(SUMIF(data!$E:$E,科目余额表!$B511,data!M:M),0)</f>
        <v>0</v>
      </c>
      <c r="R511" s="207">
        <f>IFERROR(SUMIF(data!$E:$E,科目余额表!$B511,data!N:N),0)</f>
        <v>0</v>
      </c>
      <c r="S511" s="207">
        <f>IFERROR(SUMIF(data!$E:$E,科目余额表!$B511,data!O:O),0)</f>
        <v>0</v>
      </c>
      <c r="T511" s="207">
        <f>IFERROR(SUMIF(data!$E:$E,科目余额表!$B511,data!P:P),0)</f>
        <v>0</v>
      </c>
      <c r="U511" s="207">
        <f>IFERROR(SUMIF(data!$E:$E,科目余额表!$B511,data!Q:Q),0)</f>
        <v>0</v>
      </c>
      <c r="V511" s="207">
        <f>IFERROR(SUMIF(data!$E:$E,科目余额表!$B511,data!R:R),0)</f>
        <v>0</v>
      </c>
      <c r="W511" s="207">
        <f>IFERROR(SUMIF(data!$E:$E,科目余额表!$B511,data!S:S),0)</f>
        <v>0</v>
      </c>
      <c r="X511" s="207">
        <f t="shared" si="11"/>
        <v>0</v>
      </c>
      <c r="Y511" s="207"/>
      <c r="Z511" s="207"/>
      <c r="AA511" s="207"/>
      <c r="AB511" s="207"/>
      <c r="AC511" s="207"/>
      <c r="AD511" s="207"/>
      <c r="AE511" s="207"/>
      <c r="AF511" s="207"/>
    </row>
    <row r="512" spans="1:32" s="214" customFormat="1" ht="11.65" customHeight="1">
      <c r="A512" s="215"/>
      <c r="B512" s="220">
        <v>64204</v>
      </c>
      <c r="C512" s="205" t="s">
        <v>785</v>
      </c>
      <c r="D512" s="221">
        <f t="shared" si="10"/>
        <v>0</v>
      </c>
      <c r="E512" s="221">
        <v>0</v>
      </c>
      <c r="F512" s="222">
        <f t="shared" si="9"/>
        <v>0</v>
      </c>
      <c r="G512" s="205" t="s">
        <v>784</v>
      </c>
      <c r="H512" s="225" t="s">
        <v>671</v>
      </c>
      <c r="J512" s="207" t="s">
        <v>780</v>
      </c>
      <c r="K512" s="207"/>
      <c r="L512" s="207">
        <f>IFERROR(SUMIF(data!$E:$E,科目余额表!$B512,data!H:H),0)</f>
        <v>0</v>
      </c>
      <c r="M512" s="207">
        <f>IFERROR(SUMIF(data!$E:$E,科目余额表!$B512,data!I:I),0)</f>
        <v>0</v>
      </c>
      <c r="N512" s="207">
        <f>IFERROR(SUMIF(data!$E:$E,科目余额表!$B512,data!J:J),0)</f>
        <v>0</v>
      </c>
      <c r="O512" s="207">
        <f>IFERROR(SUMIF(data!$E:$E,科目余额表!$B512,data!K:K),0)</f>
        <v>0</v>
      </c>
      <c r="P512" s="207">
        <f>IFERROR(SUMIF(data!$E:$E,科目余额表!$B512,data!L:L),0)</f>
        <v>0</v>
      </c>
      <c r="Q512" s="207">
        <f>IFERROR(SUMIF(data!$E:$E,科目余额表!$B512,data!M:M),0)</f>
        <v>0</v>
      </c>
      <c r="R512" s="207">
        <f>IFERROR(SUMIF(data!$E:$E,科目余额表!$B512,data!N:N),0)</f>
        <v>0</v>
      </c>
      <c r="S512" s="207">
        <f>IFERROR(SUMIF(data!$E:$E,科目余额表!$B512,data!O:O),0)</f>
        <v>0</v>
      </c>
      <c r="T512" s="207">
        <f>IFERROR(SUMIF(data!$E:$E,科目余额表!$B512,data!P:P),0)</f>
        <v>0</v>
      </c>
      <c r="U512" s="207">
        <f>IFERROR(SUMIF(data!$E:$E,科目余额表!$B512,data!Q:Q),0)</f>
        <v>0</v>
      </c>
      <c r="V512" s="207">
        <f>IFERROR(SUMIF(data!$E:$E,科目余额表!$B512,data!R:R),0)</f>
        <v>0</v>
      </c>
      <c r="W512" s="207">
        <f>IFERROR(SUMIF(data!$E:$E,科目余额表!$B512,data!S:S),0)</f>
        <v>0</v>
      </c>
      <c r="X512" s="207">
        <f t="shared" si="11"/>
        <v>0</v>
      </c>
      <c r="Y512" s="207"/>
      <c r="Z512" s="207"/>
      <c r="AA512" s="207"/>
      <c r="AB512" s="207"/>
      <c r="AC512" s="207"/>
      <c r="AD512" s="207"/>
      <c r="AE512" s="207"/>
      <c r="AF512" s="207"/>
    </row>
    <row r="513" spans="1:32" s="214" customFormat="1" ht="11.65" customHeight="1">
      <c r="A513" s="215"/>
      <c r="B513" s="220">
        <v>64206</v>
      </c>
      <c r="C513" s="205" t="s">
        <v>786</v>
      </c>
      <c r="D513" s="221">
        <f t="shared" si="10"/>
        <v>0</v>
      </c>
      <c r="E513" s="221">
        <v>0</v>
      </c>
      <c r="F513" s="222">
        <f t="shared" si="9"/>
        <v>0</v>
      </c>
      <c r="G513" s="205" t="s">
        <v>784</v>
      </c>
      <c r="H513" s="225" t="s">
        <v>671</v>
      </c>
      <c r="J513" s="207" t="s">
        <v>780</v>
      </c>
      <c r="K513" s="207"/>
      <c r="L513" s="207">
        <f>IFERROR(SUMIF(data!$E:$E,科目余额表!$B513,data!H:H),0)</f>
        <v>0</v>
      </c>
      <c r="M513" s="207">
        <f>IFERROR(SUMIF(data!$E:$E,科目余额表!$B513,data!I:I),0)</f>
        <v>0</v>
      </c>
      <c r="N513" s="207">
        <f>IFERROR(SUMIF(data!$E:$E,科目余额表!$B513,data!J:J),0)</f>
        <v>0</v>
      </c>
      <c r="O513" s="207">
        <f>IFERROR(SUMIF(data!$E:$E,科目余额表!$B513,data!K:K),0)</f>
        <v>0</v>
      </c>
      <c r="P513" s="207">
        <f>IFERROR(SUMIF(data!$E:$E,科目余额表!$B513,data!L:L),0)</f>
        <v>0</v>
      </c>
      <c r="Q513" s="207">
        <f>IFERROR(SUMIF(data!$E:$E,科目余额表!$B513,data!M:M),0)</f>
        <v>0</v>
      </c>
      <c r="R513" s="207">
        <f>IFERROR(SUMIF(data!$E:$E,科目余额表!$B513,data!N:N),0)</f>
        <v>0</v>
      </c>
      <c r="S513" s="207">
        <f>IFERROR(SUMIF(data!$E:$E,科目余额表!$B513,data!O:O),0)</f>
        <v>0</v>
      </c>
      <c r="T513" s="207">
        <f>IFERROR(SUMIF(data!$E:$E,科目余额表!$B513,data!P:P),0)</f>
        <v>0</v>
      </c>
      <c r="U513" s="207">
        <f>IFERROR(SUMIF(data!$E:$E,科目余额表!$B513,data!Q:Q),0)</f>
        <v>0</v>
      </c>
      <c r="V513" s="207">
        <f>IFERROR(SUMIF(data!$E:$E,科目余额表!$B513,data!R:R),0)</f>
        <v>0</v>
      </c>
      <c r="W513" s="207">
        <f>IFERROR(SUMIF(data!$E:$E,科目余额表!$B513,data!S:S),0)</f>
        <v>0</v>
      </c>
      <c r="X513" s="207">
        <f t="shared" si="11"/>
        <v>0</v>
      </c>
      <c r="Y513" s="207"/>
      <c r="Z513" s="207"/>
      <c r="AA513" s="207"/>
      <c r="AB513" s="207"/>
      <c r="AC513" s="207"/>
      <c r="AD513" s="207"/>
      <c r="AE513" s="207"/>
      <c r="AF513" s="207"/>
    </row>
    <row r="514" spans="1:32" s="214" customFormat="1" ht="11.65" customHeight="1">
      <c r="A514" s="215"/>
      <c r="B514" s="220">
        <v>64207</v>
      </c>
      <c r="C514" s="205" t="s">
        <v>787</v>
      </c>
      <c r="D514" s="221">
        <f t="shared" si="10"/>
        <v>0</v>
      </c>
      <c r="E514" s="221">
        <v>0</v>
      </c>
      <c r="F514" s="222">
        <f t="shared" si="9"/>
        <v>0</v>
      </c>
      <c r="G514" s="205" t="s">
        <v>784</v>
      </c>
      <c r="H514" s="225" t="s">
        <v>671</v>
      </c>
      <c r="J514" s="207" t="s">
        <v>780</v>
      </c>
      <c r="K514" s="207"/>
      <c r="L514" s="207">
        <f>IFERROR(SUMIF(data!$E:$E,科目余额表!$B514,data!H:H),0)</f>
        <v>0</v>
      </c>
      <c r="M514" s="207">
        <f>IFERROR(SUMIF(data!$E:$E,科目余额表!$B514,data!I:I),0)</f>
        <v>0</v>
      </c>
      <c r="N514" s="207">
        <f>IFERROR(SUMIF(data!$E:$E,科目余额表!$B514,data!J:J),0)</f>
        <v>0</v>
      </c>
      <c r="O514" s="207">
        <f>IFERROR(SUMIF(data!$E:$E,科目余额表!$B514,data!K:K),0)</f>
        <v>0</v>
      </c>
      <c r="P514" s="207">
        <f>IFERROR(SUMIF(data!$E:$E,科目余额表!$B514,data!L:L),0)</f>
        <v>0</v>
      </c>
      <c r="Q514" s="207">
        <f>IFERROR(SUMIF(data!$E:$E,科目余额表!$B514,data!M:M),0)</f>
        <v>0</v>
      </c>
      <c r="R514" s="207">
        <f>IFERROR(SUMIF(data!$E:$E,科目余额表!$B514,data!N:N),0)</f>
        <v>0</v>
      </c>
      <c r="S514" s="207">
        <f>IFERROR(SUMIF(data!$E:$E,科目余额表!$B514,data!O:O),0)</f>
        <v>0</v>
      </c>
      <c r="T514" s="207">
        <f>IFERROR(SUMIF(data!$E:$E,科目余额表!$B514,data!P:P),0)</f>
        <v>0</v>
      </c>
      <c r="U514" s="207">
        <f>IFERROR(SUMIF(data!$E:$E,科目余额表!$B514,data!Q:Q),0)</f>
        <v>0</v>
      </c>
      <c r="V514" s="207">
        <f>IFERROR(SUMIF(data!$E:$E,科目余额表!$B514,data!R:R),0)</f>
        <v>0</v>
      </c>
      <c r="W514" s="207">
        <f>IFERROR(SUMIF(data!$E:$E,科目余额表!$B514,data!S:S),0)</f>
        <v>0</v>
      </c>
      <c r="X514" s="207">
        <f t="shared" si="11"/>
        <v>0</v>
      </c>
      <c r="Y514" s="207"/>
      <c r="Z514" s="207"/>
      <c r="AA514" s="207"/>
      <c r="AB514" s="207"/>
      <c r="AC514" s="207"/>
      <c r="AD514" s="207"/>
      <c r="AE514" s="207"/>
      <c r="AF514" s="207"/>
    </row>
    <row r="515" spans="1:32" s="214" customFormat="1" ht="11.65" customHeight="1">
      <c r="A515" s="215"/>
      <c r="B515" s="220">
        <v>64208</v>
      </c>
      <c r="C515" s="205" t="s">
        <v>788</v>
      </c>
      <c r="D515" s="221">
        <f t="shared" si="10"/>
        <v>0</v>
      </c>
      <c r="E515" s="221">
        <v>0</v>
      </c>
      <c r="F515" s="222">
        <f t="shared" si="9"/>
        <v>0</v>
      </c>
      <c r="G515" s="205" t="s">
        <v>784</v>
      </c>
      <c r="H515" s="225" t="s">
        <v>671</v>
      </c>
      <c r="J515" s="207" t="s">
        <v>780</v>
      </c>
      <c r="K515" s="207"/>
      <c r="L515" s="207">
        <f>IFERROR(SUMIF(data!$E:$E,科目余额表!$B515,data!H:H),0)</f>
        <v>0</v>
      </c>
      <c r="M515" s="207">
        <f>IFERROR(SUMIF(data!$E:$E,科目余额表!$B515,data!I:I),0)</f>
        <v>0</v>
      </c>
      <c r="N515" s="207">
        <f>IFERROR(SUMIF(data!$E:$E,科目余额表!$B515,data!J:J),0)</f>
        <v>0</v>
      </c>
      <c r="O515" s="207">
        <f>IFERROR(SUMIF(data!$E:$E,科目余额表!$B515,data!K:K),0)</f>
        <v>0</v>
      </c>
      <c r="P515" s="207">
        <f>IFERROR(SUMIF(data!$E:$E,科目余额表!$B515,data!L:L),0)</f>
        <v>0</v>
      </c>
      <c r="Q515" s="207">
        <f>IFERROR(SUMIF(data!$E:$E,科目余额表!$B515,data!M:M),0)</f>
        <v>0</v>
      </c>
      <c r="R515" s="207">
        <f>IFERROR(SUMIF(data!$E:$E,科目余额表!$B515,data!N:N),0)</f>
        <v>0</v>
      </c>
      <c r="S515" s="207">
        <f>IFERROR(SUMIF(data!$E:$E,科目余额表!$B515,data!O:O),0)</f>
        <v>0</v>
      </c>
      <c r="T515" s="207">
        <f>IFERROR(SUMIF(data!$E:$E,科目余额表!$B515,data!P:P),0)</f>
        <v>0</v>
      </c>
      <c r="U515" s="207">
        <f>IFERROR(SUMIF(data!$E:$E,科目余额表!$B515,data!Q:Q),0)</f>
        <v>0</v>
      </c>
      <c r="V515" s="207">
        <f>IFERROR(SUMIF(data!$E:$E,科目余额表!$B515,data!R:R),0)</f>
        <v>0</v>
      </c>
      <c r="W515" s="207">
        <f>IFERROR(SUMIF(data!$E:$E,科目余额表!$B515,data!S:S),0)</f>
        <v>0</v>
      </c>
      <c r="X515" s="207">
        <f t="shared" si="11"/>
        <v>0</v>
      </c>
      <c r="Y515" s="207"/>
      <c r="Z515" s="207"/>
      <c r="AA515" s="207"/>
      <c r="AB515" s="207"/>
      <c r="AC515" s="207"/>
      <c r="AD515" s="207"/>
      <c r="AE515" s="207"/>
      <c r="AF515" s="207"/>
    </row>
    <row r="516" spans="1:32" s="214" customFormat="1" ht="11.65" customHeight="1">
      <c r="A516" s="215"/>
      <c r="B516" s="220">
        <v>64209</v>
      </c>
      <c r="C516" s="205" t="s">
        <v>789</v>
      </c>
      <c r="D516" s="221">
        <f t="shared" si="10"/>
        <v>0</v>
      </c>
      <c r="E516" s="221">
        <v>0</v>
      </c>
      <c r="F516" s="222">
        <f t="shared" si="9"/>
        <v>0</v>
      </c>
      <c r="G516" s="205" t="s">
        <v>784</v>
      </c>
      <c r="H516" s="225" t="s">
        <v>671</v>
      </c>
      <c r="J516" s="207" t="s">
        <v>780</v>
      </c>
      <c r="K516" s="207"/>
      <c r="L516" s="207">
        <f>IFERROR(SUMIF(data!$E:$E,科目余额表!$B516,data!H:H),0)</f>
        <v>0</v>
      </c>
      <c r="M516" s="207">
        <f>IFERROR(SUMIF(data!$E:$E,科目余额表!$B516,data!I:I),0)</f>
        <v>0</v>
      </c>
      <c r="N516" s="207">
        <f>IFERROR(SUMIF(data!$E:$E,科目余额表!$B516,data!J:J),0)</f>
        <v>0</v>
      </c>
      <c r="O516" s="207">
        <f>IFERROR(SUMIF(data!$E:$E,科目余额表!$B516,data!K:K),0)</f>
        <v>0</v>
      </c>
      <c r="P516" s="207">
        <f>IFERROR(SUMIF(data!$E:$E,科目余额表!$B516,data!L:L),0)</f>
        <v>0</v>
      </c>
      <c r="Q516" s="207">
        <f>IFERROR(SUMIF(data!$E:$E,科目余额表!$B516,data!M:M),0)</f>
        <v>0</v>
      </c>
      <c r="R516" s="207">
        <f>IFERROR(SUMIF(data!$E:$E,科目余额表!$B516,data!N:N),0)</f>
        <v>0</v>
      </c>
      <c r="S516" s="207">
        <f>IFERROR(SUMIF(data!$E:$E,科目余额表!$B516,data!O:O),0)</f>
        <v>0</v>
      </c>
      <c r="T516" s="207">
        <f>IFERROR(SUMIF(data!$E:$E,科目余额表!$B516,data!P:P),0)</f>
        <v>0</v>
      </c>
      <c r="U516" s="207">
        <f>IFERROR(SUMIF(data!$E:$E,科目余额表!$B516,data!Q:Q),0)</f>
        <v>0</v>
      </c>
      <c r="V516" s="207">
        <f>IFERROR(SUMIF(data!$E:$E,科目余额表!$B516,data!R:R),0)</f>
        <v>0</v>
      </c>
      <c r="W516" s="207">
        <f>IFERROR(SUMIF(data!$E:$E,科目余额表!$B516,data!S:S),0)</f>
        <v>0</v>
      </c>
      <c r="X516" s="207">
        <f t="shared" si="11"/>
        <v>0</v>
      </c>
      <c r="Y516" s="207"/>
      <c r="Z516" s="207"/>
      <c r="AA516" s="207"/>
      <c r="AB516" s="207"/>
      <c r="AC516" s="207"/>
      <c r="AD516" s="207"/>
      <c r="AE516" s="207"/>
      <c r="AF516" s="207"/>
    </row>
    <row r="517" spans="1:32" s="214" customFormat="1" ht="11.65" customHeight="1">
      <c r="A517" s="215"/>
      <c r="B517" s="220">
        <v>64210</v>
      </c>
      <c r="C517" s="205" t="s">
        <v>790</v>
      </c>
      <c r="D517" s="221">
        <f t="shared" si="10"/>
        <v>0</v>
      </c>
      <c r="E517" s="221">
        <v>0</v>
      </c>
      <c r="F517" s="222">
        <f t="shared" si="9"/>
        <v>0</v>
      </c>
      <c r="G517" s="205" t="s">
        <v>784</v>
      </c>
      <c r="H517" s="225" t="s">
        <v>671</v>
      </c>
      <c r="J517" s="207" t="s">
        <v>780</v>
      </c>
      <c r="K517" s="207"/>
      <c r="L517" s="207">
        <f>IFERROR(SUMIF(data!$E:$E,科目余额表!$B517,data!H:H),0)</f>
        <v>0</v>
      </c>
      <c r="M517" s="207">
        <f>IFERROR(SUMIF(data!$E:$E,科目余额表!$B517,data!I:I),0)</f>
        <v>0</v>
      </c>
      <c r="N517" s="207">
        <f>IFERROR(SUMIF(data!$E:$E,科目余额表!$B517,data!J:J),0)</f>
        <v>0</v>
      </c>
      <c r="O517" s="207">
        <f>IFERROR(SUMIF(data!$E:$E,科目余额表!$B517,data!K:K),0)</f>
        <v>0</v>
      </c>
      <c r="P517" s="207">
        <f>IFERROR(SUMIF(data!$E:$E,科目余额表!$B517,data!L:L),0)</f>
        <v>0</v>
      </c>
      <c r="Q517" s="207">
        <f>IFERROR(SUMIF(data!$E:$E,科目余额表!$B517,data!M:M),0)</f>
        <v>0</v>
      </c>
      <c r="R517" s="207">
        <f>IFERROR(SUMIF(data!$E:$E,科目余额表!$B517,data!N:N),0)</f>
        <v>0</v>
      </c>
      <c r="S517" s="207">
        <f>IFERROR(SUMIF(data!$E:$E,科目余额表!$B517,data!O:O),0)</f>
        <v>0</v>
      </c>
      <c r="T517" s="207">
        <f>IFERROR(SUMIF(data!$E:$E,科目余额表!$B517,data!P:P),0)</f>
        <v>0</v>
      </c>
      <c r="U517" s="207">
        <f>IFERROR(SUMIF(data!$E:$E,科目余额表!$B517,data!Q:Q),0)</f>
        <v>0</v>
      </c>
      <c r="V517" s="207">
        <f>IFERROR(SUMIF(data!$E:$E,科目余额表!$B517,data!R:R),0)</f>
        <v>0</v>
      </c>
      <c r="W517" s="207">
        <f>IFERROR(SUMIF(data!$E:$E,科目余额表!$B517,data!S:S),0)</f>
        <v>0</v>
      </c>
      <c r="X517" s="207">
        <f t="shared" si="11"/>
        <v>0</v>
      </c>
      <c r="Y517" s="207"/>
      <c r="Z517" s="207"/>
      <c r="AA517" s="207"/>
      <c r="AB517" s="207"/>
      <c r="AC517" s="207"/>
      <c r="AD517" s="207"/>
      <c r="AE517" s="207"/>
      <c r="AF517" s="207"/>
    </row>
    <row r="518" spans="1:32" s="214" customFormat="1" ht="11.65" customHeight="1">
      <c r="A518" s="215"/>
      <c r="B518" s="220">
        <v>64211</v>
      </c>
      <c r="C518" s="205" t="s">
        <v>791</v>
      </c>
      <c r="D518" s="221">
        <f t="shared" si="10"/>
        <v>0</v>
      </c>
      <c r="E518" s="221">
        <v>0</v>
      </c>
      <c r="F518" s="222">
        <f t="shared" si="9"/>
        <v>0</v>
      </c>
      <c r="G518" s="205" t="s">
        <v>782</v>
      </c>
      <c r="H518" s="225" t="s">
        <v>671</v>
      </c>
      <c r="J518" s="207" t="s">
        <v>780</v>
      </c>
      <c r="K518" s="207"/>
      <c r="L518" s="207">
        <f>IFERROR(SUMIF(data!$E:$E,科目余额表!$B518,data!H:H),0)</f>
        <v>0</v>
      </c>
      <c r="M518" s="207">
        <f>IFERROR(SUMIF(data!$E:$E,科目余额表!$B518,data!I:I),0)</f>
        <v>0</v>
      </c>
      <c r="N518" s="207">
        <f>IFERROR(SUMIF(data!$E:$E,科目余额表!$B518,data!J:J),0)</f>
        <v>0</v>
      </c>
      <c r="O518" s="207">
        <f>IFERROR(SUMIF(data!$E:$E,科目余额表!$B518,data!K:K),0)</f>
        <v>0</v>
      </c>
      <c r="P518" s="207">
        <f>IFERROR(SUMIF(data!$E:$E,科目余额表!$B518,data!L:L),0)</f>
        <v>0</v>
      </c>
      <c r="Q518" s="207">
        <f>IFERROR(SUMIF(data!$E:$E,科目余额表!$B518,data!M:M),0)</f>
        <v>0</v>
      </c>
      <c r="R518" s="207">
        <f>IFERROR(SUMIF(data!$E:$E,科目余额表!$B518,data!N:N),0)</f>
        <v>0</v>
      </c>
      <c r="S518" s="207">
        <f>IFERROR(SUMIF(data!$E:$E,科目余额表!$B518,data!O:O),0)</f>
        <v>0</v>
      </c>
      <c r="T518" s="207">
        <f>IFERROR(SUMIF(data!$E:$E,科目余额表!$B518,data!P:P),0)</f>
        <v>0</v>
      </c>
      <c r="U518" s="207">
        <f>IFERROR(SUMIF(data!$E:$E,科目余额表!$B518,data!Q:Q),0)</f>
        <v>0</v>
      </c>
      <c r="V518" s="207">
        <f>IFERROR(SUMIF(data!$E:$E,科目余额表!$B518,data!R:R),0)</f>
        <v>0</v>
      </c>
      <c r="W518" s="207">
        <f>IFERROR(SUMIF(data!$E:$E,科目余额表!$B518,data!S:S),0)</f>
        <v>0</v>
      </c>
      <c r="X518" s="207">
        <f t="shared" si="11"/>
        <v>0</v>
      </c>
      <c r="Y518" s="207"/>
      <c r="Z518" s="207"/>
      <c r="AA518" s="207"/>
      <c r="AB518" s="207"/>
      <c r="AC518" s="207"/>
      <c r="AD518" s="207"/>
      <c r="AE518" s="207"/>
      <c r="AF518" s="207"/>
    </row>
    <row r="519" spans="1:32" s="214" customFormat="1" ht="11.65" customHeight="1">
      <c r="A519" s="215"/>
      <c r="B519" s="220">
        <v>64299</v>
      </c>
      <c r="C519" s="205" t="s">
        <v>792</v>
      </c>
      <c r="D519" s="221">
        <f t="shared" si="10"/>
        <v>0</v>
      </c>
      <c r="E519" s="221">
        <v>0</v>
      </c>
      <c r="F519" s="222">
        <f t="shared" si="9"/>
        <v>0</v>
      </c>
      <c r="G519" s="205" t="s">
        <v>784</v>
      </c>
      <c r="H519" s="225" t="s">
        <v>671</v>
      </c>
      <c r="J519" s="207" t="s">
        <v>780</v>
      </c>
      <c r="K519" s="207"/>
      <c r="L519" s="207">
        <f>IFERROR(SUMIF(data!$E:$E,科目余额表!$B519,data!H:H),0)</f>
        <v>0</v>
      </c>
      <c r="M519" s="207">
        <f>IFERROR(SUMIF(data!$E:$E,科目余额表!$B519,data!I:I),0)</f>
        <v>0</v>
      </c>
      <c r="N519" s="207">
        <f>IFERROR(SUMIF(data!$E:$E,科目余额表!$B519,data!J:J),0)</f>
        <v>0</v>
      </c>
      <c r="O519" s="207">
        <f>IFERROR(SUMIF(data!$E:$E,科目余额表!$B519,data!K:K),0)</f>
        <v>0</v>
      </c>
      <c r="P519" s="207">
        <f>IFERROR(SUMIF(data!$E:$E,科目余额表!$B519,data!L:L),0)</f>
        <v>0</v>
      </c>
      <c r="Q519" s="207">
        <f>IFERROR(SUMIF(data!$E:$E,科目余额表!$B519,data!M:M),0)</f>
        <v>0</v>
      </c>
      <c r="R519" s="207">
        <f>IFERROR(SUMIF(data!$E:$E,科目余额表!$B519,data!N:N),0)</f>
        <v>0</v>
      </c>
      <c r="S519" s="207">
        <f>IFERROR(SUMIF(data!$E:$E,科目余额表!$B519,data!O:O),0)</f>
        <v>0</v>
      </c>
      <c r="T519" s="207">
        <f>IFERROR(SUMIF(data!$E:$E,科目余额表!$B519,data!P:P),0)</f>
        <v>0</v>
      </c>
      <c r="U519" s="207">
        <f>IFERROR(SUMIF(data!$E:$E,科目余额表!$B519,data!Q:Q),0)</f>
        <v>0</v>
      </c>
      <c r="V519" s="207">
        <f>IFERROR(SUMIF(data!$E:$E,科目余额表!$B519,data!R:R),0)</f>
        <v>0</v>
      </c>
      <c r="W519" s="207">
        <f>IFERROR(SUMIF(data!$E:$E,科目余额表!$B519,data!S:S),0)</f>
        <v>0</v>
      </c>
      <c r="X519" s="207">
        <f t="shared" si="11"/>
        <v>0</v>
      </c>
      <c r="Y519" s="207"/>
      <c r="Z519" s="207"/>
      <c r="AA519" s="207"/>
      <c r="AB519" s="207"/>
      <c r="AC519" s="207"/>
      <c r="AD519" s="207"/>
      <c r="AE519" s="207"/>
      <c r="AF519" s="207"/>
    </row>
    <row r="520" spans="1:32" s="214" customFormat="1" ht="11.65" customHeight="1">
      <c r="A520" s="215"/>
      <c r="B520" s="220">
        <v>65000</v>
      </c>
      <c r="C520" s="205" t="s">
        <v>793</v>
      </c>
      <c r="D520" s="221">
        <f t="shared" si="10"/>
        <v>2158751.7099999995</v>
      </c>
      <c r="E520" s="221">
        <v>205070.91000000003</v>
      </c>
      <c r="F520" s="222">
        <f t="shared" si="9"/>
        <v>2363822.6199999996</v>
      </c>
      <c r="G520" s="205" t="s">
        <v>794</v>
      </c>
      <c r="H520" s="225" t="s">
        <v>671</v>
      </c>
      <c r="J520" s="207" t="s">
        <v>795</v>
      </c>
      <c r="K520" s="207"/>
      <c r="L520" s="207">
        <f>IFERROR(SUMIF(data!$E:$E,科目余额表!$B520,data!H:H),0)</f>
        <v>-202400.41</v>
      </c>
      <c r="M520" s="207">
        <f>IFERROR(SUMIF(data!$E:$E,科目余额表!$B520,data!I:I),0)</f>
        <v>-199382.49000000002</v>
      </c>
      <c r="N520" s="207">
        <f>IFERROR(SUMIF(data!$E:$E,科目余额表!$B520,data!J:J),0)</f>
        <v>-196382.49000000002</v>
      </c>
      <c r="O520" s="207">
        <f>IFERROR(SUMIF(data!$E:$E,科目余额表!$B520,data!K:K),0)</f>
        <v>-210132.49</v>
      </c>
      <c r="P520" s="207">
        <f>IFERROR(SUMIF(data!$E:$E,科目余额表!$B520,data!L:L),0)</f>
        <v>-194735.28</v>
      </c>
      <c r="Q520" s="207">
        <f>IFERROR(SUMIF(data!$E:$E,科目余额表!$B520,data!M:M),0)</f>
        <v>-208375.24</v>
      </c>
      <c r="R520" s="207">
        <f>IFERROR(SUMIF(data!$E:$E,科目余额表!$B520,data!N:N),0)</f>
        <v>-177286.41</v>
      </c>
      <c r="S520" s="207">
        <f>IFERROR(SUMIF(data!$E:$E,科目余额表!$B520,data!O:O),0)</f>
        <v>-177286.41</v>
      </c>
      <c r="T520" s="207">
        <f>IFERROR(SUMIF(data!$E:$E,科目余额表!$B520,data!P:P),0)</f>
        <v>-177286.41</v>
      </c>
      <c r="U520" s="207">
        <f>IFERROR(SUMIF(data!$E:$E,科目余额表!$B520,data!Q:Q),0)</f>
        <v>-181269.17</v>
      </c>
      <c r="V520" s="207">
        <f>IFERROR(SUMIF(data!$E:$E,科目余额表!$B520,data!R:R),0)</f>
        <v>-234214.91</v>
      </c>
      <c r="W520" s="207">
        <f>IFERROR(SUMIF(data!$E:$E,科目余额表!$B520,data!S:S),0)</f>
        <v>-205070.91000000003</v>
      </c>
      <c r="X520" s="207">
        <f t="shared" si="11"/>
        <v>-2363822.6199999996</v>
      </c>
      <c r="Y520" s="207"/>
      <c r="Z520" s="207"/>
      <c r="AA520" s="207"/>
      <c r="AB520" s="207"/>
      <c r="AC520" s="207"/>
      <c r="AD520" s="207"/>
      <c r="AE520" s="207"/>
      <c r="AF520" s="207"/>
    </row>
    <row r="521" spans="1:32" s="214" customFormat="1" ht="11.65" customHeight="1">
      <c r="A521" s="215"/>
      <c r="B521" s="220">
        <v>65001</v>
      </c>
      <c r="C521" s="205" t="s">
        <v>796</v>
      </c>
      <c r="D521" s="221">
        <f t="shared" si="10"/>
        <v>929278.07</v>
      </c>
      <c r="E521" s="221">
        <v>84670.01</v>
      </c>
      <c r="F521" s="222">
        <f t="shared" ref="F521:F584" si="12">D521+E521</f>
        <v>1013948.08</v>
      </c>
      <c r="G521" s="205" t="s">
        <v>794</v>
      </c>
      <c r="H521" s="225" t="s">
        <v>671</v>
      </c>
      <c r="J521" s="207" t="s">
        <v>795</v>
      </c>
      <c r="K521" s="207"/>
      <c r="L521" s="207">
        <f>IFERROR(SUMIF(data!$E:$E,科目余额表!$B521,data!H:H),0)</f>
        <v>-92268.41</v>
      </c>
      <c r="M521" s="207">
        <f>IFERROR(SUMIF(data!$E:$E,科目余额表!$B521,data!I:I),0)</f>
        <v>-86076.02</v>
      </c>
      <c r="N521" s="207">
        <f>IFERROR(SUMIF(data!$E:$E,科目余额表!$B521,data!J:J),0)</f>
        <v>-81264.939999999988</v>
      </c>
      <c r="O521" s="207">
        <f>IFERROR(SUMIF(data!$E:$E,科目余额表!$B521,data!K:K),0)</f>
        <v>-82723.749999999985</v>
      </c>
      <c r="P521" s="207">
        <f>IFERROR(SUMIF(data!$E:$E,科目余额表!$B521,data!L:L),0)</f>
        <v>-87134.91</v>
      </c>
      <c r="Q521" s="207">
        <f>IFERROR(SUMIF(data!$E:$E,科目余额表!$B521,data!M:M),0)</f>
        <v>-141703.50000000003</v>
      </c>
      <c r="R521" s="207">
        <f>IFERROR(SUMIF(data!$E:$E,科目余额表!$B521,data!N:N),0)</f>
        <v>-22794.819999999996</v>
      </c>
      <c r="S521" s="207">
        <f>IFERROR(SUMIF(data!$E:$E,科目余额表!$B521,data!O:O),0)</f>
        <v>-89501.81</v>
      </c>
      <c r="T521" s="207">
        <f>IFERROR(SUMIF(data!$E:$E,科目余额表!$B521,data!P:P),0)</f>
        <v>-85268.83</v>
      </c>
      <c r="U521" s="207">
        <f>IFERROR(SUMIF(data!$E:$E,科目余额表!$B521,data!Q:Q),0)</f>
        <v>-80286.42</v>
      </c>
      <c r="V521" s="207">
        <f>IFERROR(SUMIF(data!$E:$E,科目余额表!$B521,data!R:R),0)</f>
        <v>-80254.66</v>
      </c>
      <c r="W521" s="207">
        <f>IFERROR(SUMIF(data!$E:$E,科目余额表!$B521,data!S:S),0)</f>
        <v>-84670.01</v>
      </c>
      <c r="X521" s="207">
        <f t="shared" si="11"/>
        <v>-1013948.08</v>
      </c>
      <c r="Y521" s="207"/>
      <c r="Z521" s="207"/>
      <c r="AA521" s="207"/>
      <c r="AB521" s="207"/>
      <c r="AC521" s="207"/>
      <c r="AD521" s="207"/>
      <c r="AE521" s="207"/>
      <c r="AF521" s="207"/>
    </row>
    <row r="522" spans="1:32" s="214" customFormat="1" ht="11.65" customHeight="1">
      <c r="A522" s="215"/>
      <c r="B522" s="220">
        <v>65100</v>
      </c>
      <c r="C522" s="205" t="s">
        <v>797</v>
      </c>
      <c r="D522" s="221">
        <f t="shared" si="10"/>
        <v>0</v>
      </c>
      <c r="E522" s="221">
        <v>0</v>
      </c>
      <c r="F522" s="222">
        <f t="shared" si="12"/>
        <v>0</v>
      </c>
      <c r="G522" s="205" t="s">
        <v>798</v>
      </c>
      <c r="H522" s="225" t="s">
        <v>671</v>
      </c>
      <c r="J522" s="207" t="s">
        <v>795</v>
      </c>
      <c r="K522" s="207"/>
      <c r="L522" s="207">
        <f>IFERROR(SUMIF(data!$E:$E,科目余额表!$B522,data!H:H),0)</f>
        <v>0</v>
      </c>
      <c r="M522" s="207">
        <f>IFERROR(SUMIF(data!$E:$E,科目余额表!$B522,data!I:I),0)</f>
        <v>0</v>
      </c>
      <c r="N522" s="207">
        <f>IFERROR(SUMIF(data!$E:$E,科目余额表!$B522,data!J:J),0)</f>
        <v>0</v>
      </c>
      <c r="O522" s="207">
        <f>IFERROR(SUMIF(data!$E:$E,科目余额表!$B522,data!K:K),0)</f>
        <v>0</v>
      </c>
      <c r="P522" s="207">
        <f>IFERROR(SUMIF(data!$E:$E,科目余额表!$B522,data!L:L),0)</f>
        <v>0</v>
      </c>
      <c r="Q522" s="207">
        <f>IFERROR(SUMIF(data!$E:$E,科目余额表!$B522,data!M:M),0)</f>
        <v>0</v>
      </c>
      <c r="R522" s="207">
        <f>IFERROR(SUMIF(data!$E:$E,科目余额表!$B522,data!N:N),0)</f>
        <v>0</v>
      </c>
      <c r="S522" s="207">
        <f>IFERROR(SUMIF(data!$E:$E,科目余额表!$B522,data!O:O),0)</f>
        <v>0</v>
      </c>
      <c r="T522" s="207">
        <f>IFERROR(SUMIF(data!$E:$E,科目余额表!$B522,data!P:P),0)</f>
        <v>0</v>
      </c>
      <c r="U522" s="207">
        <f>IFERROR(SUMIF(data!$E:$E,科目余额表!$B522,data!Q:Q),0)</f>
        <v>0</v>
      </c>
      <c r="V522" s="207">
        <f>IFERROR(SUMIF(data!$E:$E,科目余额表!$B522,data!R:R),0)</f>
        <v>0</v>
      </c>
      <c r="W522" s="207">
        <f>IFERROR(SUMIF(data!$E:$E,科目余额表!$B522,data!S:S),0)</f>
        <v>0</v>
      </c>
      <c r="X522" s="207">
        <f t="shared" si="11"/>
        <v>0</v>
      </c>
      <c r="Y522" s="207"/>
      <c r="Z522" s="207"/>
      <c r="AA522" s="207"/>
      <c r="AB522" s="207"/>
      <c r="AC522" s="207"/>
      <c r="AD522" s="207"/>
      <c r="AE522" s="207"/>
      <c r="AF522" s="207"/>
    </row>
    <row r="523" spans="1:32" s="214" customFormat="1" ht="11.65" customHeight="1">
      <c r="A523" s="215"/>
      <c r="B523" s="220">
        <v>65200</v>
      </c>
      <c r="C523" s="205" t="s">
        <v>799</v>
      </c>
      <c r="D523" s="221">
        <f t="shared" si="10"/>
        <v>0</v>
      </c>
      <c r="E523" s="221">
        <v>0</v>
      </c>
      <c r="F523" s="222">
        <f t="shared" si="12"/>
        <v>0</v>
      </c>
      <c r="G523" s="205" t="s">
        <v>800</v>
      </c>
      <c r="H523" s="225" t="s">
        <v>671</v>
      </c>
      <c r="J523" s="207" t="s">
        <v>795</v>
      </c>
      <c r="K523" s="207"/>
      <c r="L523" s="207">
        <f>IFERROR(SUMIF(data!$E:$E,科目余额表!$B523,data!H:H),0)</f>
        <v>0</v>
      </c>
      <c r="M523" s="207">
        <f>IFERROR(SUMIF(data!$E:$E,科目余额表!$B523,data!I:I),0)</f>
        <v>0</v>
      </c>
      <c r="N523" s="207">
        <f>IFERROR(SUMIF(data!$E:$E,科目余额表!$B523,data!J:J),0)</f>
        <v>0</v>
      </c>
      <c r="O523" s="207">
        <f>IFERROR(SUMIF(data!$E:$E,科目余额表!$B523,data!K:K),0)</f>
        <v>0</v>
      </c>
      <c r="P523" s="207">
        <f>IFERROR(SUMIF(data!$E:$E,科目余额表!$B523,data!L:L),0)</f>
        <v>0</v>
      </c>
      <c r="Q523" s="207">
        <f>IFERROR(SUMIF(data!$E:$E,科目余额表!$B523,data!M:M),0)</f>
        <v>0</v>
      </c>
      <c r="R523" s="207">
        <f>IFERROR(SUMIF(data!$E:$E,科目余额表!$B523,data!N:N),0)</f>
        <v>0</v>
      </c>
      <c r="S523" s="207">
        <f>IFERROR(SUMIF(data!$E:$E,科目余额表!$B523,data!O:O),0)</f>
        <v>0</v>
      </c>
      <c r="T523" s="207">
        <f>IFERROR(SUMIF(data!$E:$E,科目余额表!$B523,data!P:P),0)</f>
        <v>0</v>
      </c>
      <c r="U523" s="207">
        <f>IFERROR(SUMIF(data!$E:$E,科目余额表!$B523,data!Q:Q),0)</f>
        <v>0</v>
      </c>
      <c r="V523" s="207">
        <f>IFERROR(SUMIF(data!$E:$E,科目余额表!$B523,data!R:R),0)</f>
        <v>0</v>
      </c>
      <c r="W523" s="207">
        <f>IFERROR(SUMIF(data!$E:$E,科目余额表!$B523,data!S:S),0)</f>
        <v>0</v>
      </c>
      <c r="X523" s="207">
        <f t="shared" si="11"/>
        <v>0</v>
      </c>
      <c r="Y523" s="207"/>
      <c r="Z523" s="207"/>
      <c r="AA523" s="207"/>
      <c r="AB523" s="207"/>
      <c r="AC523" s="207"/>
      <c r="AD523" s="207"/>
      <c r="AE523" s="207"/>
      <c r="AF523" s="207"/>
    </row>
    <row r="524" spans="1:32" s="214" customFormat="1" ht="11.65" customHeight="1">
      <c r="A524" s="215"/>
      <c r="B524" s="220">
        <v>65201</v>
      </c>
      <c r="C524" s="205" t="s">
        <v>801</v>
      </c>
      <c r="D524" s="221">
        <f t="shared" si="10"/>
        <v>4203114.2999999989</v>
      </c>
      <c r="E524" s="221">
        <v>382101.3</v>
      </c>
      <c r="F524" s="222">
        <f t="shared" si="12"/>
        <v>4585215.5999999987</v>
      </c>
      <c r="G524" s="205" t="s">
        <v>802</v>
      </c>
      <c r="H524" s="225" t="s">
        <v>671</v>
      </c>
      <c r="J524" s="207" t="s">
        <v>795</v>
      </c>
      <c r="K524" s="207"/>
      <c r="L524" s="207">
        <f>IFERROR(SUMIF(data!$E:$E,科目余额表!$B524,data!H:H),0)</f>
        <v>-382101.3</v>
      </c>
      <c r="M524" s="207">
        <f>IFERROR(SUMIF(data!$E:$E,科目余额表!$B524,data!I:I),0)</f>
        <v>-382101.3</v>
      </c>
      <c r="N524" s="207">
        <f>IFERROR(SUMIF(data!$E:$E,科目余额表!$B524,data!J:J),0)</f>
        <v>-382101.3</v>
      </c>
      <c r="O524" s="207">
        <f>IFERROR(SUMIF(data!$E:$E,科目余额表!$B524,data!K:K),0)</f>
        <v>-382101.3</v>
      </c>
      <c r="P524" s="207">
        <f>IFERROR(SUMIF(data!$E:$E,科目余额表!$B524,data!L:L),0)</f>
        <v>-382101.3</v>
      </c>
      <c r="Q524" s="207">
        <f>IFERROR(SUMIF(data!$E:$E,科目余额表!$B524,data!M:M),0)</f>
        <v>-382101.3</v>
      </c>
      <c r="R524" s="207">
        <f>IFERROR(SUMIF(data!$E:$E,科目余额表!$B524,data!N:N),0)</f>
        <v>-382101.3</v>
      </c>
      <c r="S524" s="207">
        <f>IFERROR(SUMIF(data!$E:$E,科目余额表!$B524,data!O:O),0)</f>
        <v>-382101.3</v>
      </c>
      <c r="T524" s="207">
        <f>IFERROR(SUMIF(data!$E:$E,科目余额表!$B524,data!P:P),0)</f>
        <v>-382101.3</v>
      </c>
      <c r="U524" s="207">
        <f>IFERROR(SUMIF(data!$E:$E,科目余额表!$B524,data!Q:Q),0)</f>
        <v>-382101.3</v>
      </c>
      <c r="V524" s="207">
        <f>IFERROR(SUMIF(data!$E:$E,科目余额表!$B524,data!R:R),0)</f>
        <v>-382101.3</v>
      </c>
      <c r="W524" s="207">
        <f>IFERROR(SUMIF(data!$E:$E,科目余额表!$B524,data!S:S),0)</f>
        <v>-382101.3</v>
      </c>
      <c r="X524" s="207">
        <f t="shared" si="11"/>
        <v>-4585215.5999999987</v>
      </c>
      <c r="Y524" s="207"/>
      <c r="Z524" s="207"/>
      <c r="AA524" s="207"/>
      <c r="AB524" s="207"/>
      <c r="AC524" s="207"/>
      <c r="AD524" s="207"/>
      <c r="AE524" s="207"/>
      <c r="AF524" s="207"/>
    </row>
    <row r="525" spans="1:32" s="214" customFormat="1" ht="11.65" customHeight="1">
      <c r="A525" s="215"/>
      <c r="B525" s="220">
        <v>65300</v>
      </c>
      <c r="C525" s="205" t="s">
        <v>803</v>
      </c>
      <c r="D525" s="221">
        <f t="shared" si="10"/>
        <v>130319.30999999997</v>
      </c>
      <c r="E525" s="221">
        <v>2722.2700000000004</v>
      </c>
      <c r="F525" s="222">
        <f t="shared" si="12"/>
        <v>133041.57999999996</v>
      </c>
      <c r="G525" s="205" t="s">
        <v>804</v>
      </c>
      <c r="H525" s="225" t="s">
        <v>671</v>
      </c>
      <c r="J525" s="207" t="s">
        <v>795</v>
      </c>
      <c r="K525" s="207"/>
      <c r="L525" s="207">
        <f>IFERROR(SUMIF(data!$E:$E,科目余额表!$B525,data!H:H),0)</f>
        <v>-11638.45</v>
      </c>
      <c r="M525" s="207">
        <f>IFERROR(SUMIF(data!$E:$E,科目余额表!$B525,data!I:I),0)</f>
        <v>-11638.45</v>
      </c>
      <c r="N525" s="207">
        <f>IFERROR(SUMIF(data!$E:$E,科目余额表!$B525,data!J:J),0)</f>
        <v>-11638.45</v>
      </c>
      <c r="O525" s="207">
        <f>IFERROR(SUMIF(data!$E:$E,科目余额表!$B525,data!K:K),0)</f>
        <v>-11640.849999999999</v>
      </c>
      <c r="P525" s="207">
        <f>IFERROR(SUMIF(data!$E:$E,科目余额表!$B525,data!L:L),0)</f>
        <v>-13400.41</v>
      </c>
      <c r="Q525" s="207">
        <f>IFERROR(SUMIF(data!$E:$E,科目余额表!$B525,data!M:M),0)</f>
        <v>-14638.45</v>
      </c>
      <c r="R525" s="207">
        <f>IFERROR(SUMIF(data!$E:$E,科目余额表!$B525,data!N:N),0)</f>
        <v>-30365.65</v>
      </c>
      <c r="S525" s="207">
        <f>IFERROR(SUMIF(data!$E:$E,科目余额表!$B525,data!O:O),0)</f>
        <v>-5839.65</v>
      </c>
      <c r="T525" s="207">
        <f>IFERROR(SUMIF(data!$E:$E,科目余额表!$B525,data!P:P),0)</f>
        <v>-7839.65</v>
      </c>
      <c r="U525" s="207">
        <f>IFERROR(SUMIF(data!$E:$E,科目余额表!$B525,data!Q:Q),0)</f>
        <v>-5839.65</v>
      </c>
      <c r="V525" s="207">
        <f>IFERROR(SUMIF(data!$E:$E,科目余额表!$B525,data!R:R),0)</f>
        <v>-5839.65</v>
      </c>
      <c r="W525" s="207">
        <f>IFERROR(SUMIF(data!$E:$E,科目余额表!$B525,data!S:S),0)</f>
        <v>-2722.2700000000004</v>
      </c>
      <c r="X525" s="207">
        <f t="shared" si="11"/>
        <v>-133041.57999999996</v>
      </c>
      <c r="Y525" s="207"/>
      <c r="Z525" s="207"/>
      <c r="AA525" s="207"/>
      <c r="AB525" s="207"/>
      <c r="AC525" s="207"/>
      <c r="AD525" s="207"/>
      <c r="AE525" s="207"/>
      <c r="AF525" s="207"/>
    </row>
    <row r="526" spans="1:32" s="214" customFormat="1" ht="11.65" customHeight="1">
      <c r="A526" s="215"/>
      <c r="B526" s="220">
        <v>65301</v>
      </c>
      <c r="C526" s="205" t="s">
        <v>805</v>
      </c>
      <c r="D526" s="221">
        <f t="shared" si="10"/>
        <v>10146.230000000001</v>
      </c>
      <c r="E526" s="221">
        <v>20405.66</v>
      </c>
      <c r="F526" s="222">
        <f t="shared" si="12"/>
        <v>30551.89</v>
      </c>
      <c r="G526" s="205" t="s">
        <v>804</v>
      </c>
      <c r="H526" s="225" t="s">
        <v>671</v>
      </c>
      <c r="J526" s="207" t="s">
        <v>795</v>
      </c>
      <c r="K526" s="207"/>
      <c r="L526" s="207">
        <f>IFERROR(SUMIF(data!$E:$E,科目余额表!$B526,data!H:H),0)</f>
        <v>0</v>
      </c>
      <c r="M526" s="207">
        <f>IFERROR(SUMIF(data!$E:$E,科目余额表!$B526,data!I:I),0)</f>
        <v>0</v>
      </c>
      <c r="N526" s="207">
        <f>IFERROR(SUMIF(data!$E:$E,科目余额表!$B526,data!J:J),0)</f>
        <v>-913.11</v>
      </c>
      <c r="O526" s="207">
        <f>IFERROR(SUMIF(data!$E:$E,科目余额表!$B526,data!K:K),0)</f>
        <v>-523.71</v>
      </c>
      <c r="P526" s="207">
        <f>IFERROR(SUMIF(data!$E:$E,科目余额表!$B526,data!L:L),0)</f>
        <v>-2973.21</v>
      </c>
      <c r="Q526" s="207">
        <f>IFERROR(SUMIF(data!$E:$E,科目余额表!$B526,data!M:M),0)</f>
        <v>0</v>
      </c>
      <c r="R526" s="207">
        <f>IFERROR(SUMIF(data!$E:$E,科目余额表!$B526,data!N:N),0)</f>
        <v>-1168.1500000000015</v>
      </c>
      <c r="S526" s="207">
        <f>IFERROR(SUMIF(data!$E:$E,科目余额表!$B526,data!O:O),0)</f>
        <v>-1510.66</v>
      </c>
      <c r="T526" s="207">
        <f>IFERROR(SUMIF(data!$E:$E,科目余额表!$B526,data!P:P),0)</f>
        <v>0</v>
      </c>
      <c r="U526" s="207">
        <f>IFERROR(SUMIF(data!$E:$E,科目余额表!$B526,data!Q:Q),0)</f>
        <v>-578.20000000000005</v>
      </c>
      <c r="V526" s="207">
        <f>IFERROR(SUMIF(data!$E:$E,科目余额表!$B526,data!R:R),0)</f>
        <v>-2479.19</v>
      </c>
      <c r="W526" s="207">
        <f>IFERROR(SUMIF(data!$E:$E,科目余额表!$B526,data!S:S),0)</f>
        <v>-20405.66</v>
      </c>
      <c r="X526" s="207">
        <f t="shared" si="11"/>
        <v>-30551.89</v>
      </c>
      <c r="Y526" s="207"/>
      <c r="Z526" s="207"/>
      <c r="AA526" s="207"/>
      <c r="AB526" s="207"/>
      <c r="AC526" s="207"/>
      <c r="AD526" s="207"/>
      <c r="AE526" s="207"/>
      <c r="AF526" s="207"/>
    </row>
    <row r="527" spans="1:32" s="214" customFormat="1" ht="11.65" customHeight="1">
      <c r="A527" s="215"/>
      <c r="B527" s="220">
        <v>65302</v>
      </c>
      <c r="C527" s="205" t="s">
        <v>806</v>
      </c>
      <c r="D527" s="221">
        <f t="shared" si="10"/>
        <v>0</v>
      </c>
      <c r="E527" s="221">
        <v>0</v>
      </c>
      <c r="F527" s="222">
        <f t="shared" si="12"/>
        <v>0</v>
      </c>
      <c r="G527" s="205" t="s">
        <v>804</v>
      </c>
      <c r="H527" s="225" t="s">
        <v>671</v>
      </c>
      <c r="J527" s="207" t="s">
        <v>795</v>
      </c>
      <c r="K527" s="207"/>
      <c r="L527" s="207">
        <f>IFERROR(SUMIF(data!$E:$E,科目余额表!$B527,data!H:H),0)</f>
        <v>0</v>
      </c>
      <c r="M527" s="207">
        <f>IFERROR(SUMIF(data!$E:$E,科目余额表!$B527,data!I:I),0)</f>
        <v>0</v>
      </c>
      <c r="N527" s="207">
        <f>IFERROR(SUMIF(data!$E:$E,科目余额表!$B527,data!J:J),0)</f>
        <v>0</v>
      </c>
      <c r="O527" s="207">
        <f>IFERROR(SUMIF(data!$E:$E,科目余额表!$B527,data!K:K),0)</f>
        <v>0</v>
      </c>
      <c r="P527" s="207">
        <f>IFERROR(SUMIF(data!$E:$E,科目余额表!$B527,data!L:L),0)</f>
        <v>0</v>
      </c>
      <c r="Q527" s="207">
        <f>IFERROR(SUMIF(data!$E:$E,科目余额表!$B527,data!M:M),0)</f>
        <v>0</v>
      </c>
      <c r="R527" s="207">
        <f>IFERROR(SUMIF(data!$E:$E,科目余额表!$B527,data!N:N),0)</f>
        <v>0</v>
      </c>
      <c r="S527" s="207">
        <f>IFERROR(SUMIF(data!$E:$E,科目余额表!$B527,data!O:O),0)</f>
        <v>0</v>
      </c>
      <c r="T527" s="207">
        <f>IFERROR(SUMIF(data!$E:$E,科目余额表!$B527,data!P:P),0)</f>
        <v>0</v>
      </c>
      <c r="U527" s="207">
        <f>IFERROR(SUMIF(data!$E:$E,科目余额表!$B527,data!Q:Q),0)</f>
        <v>0</v>
      </c>
      <c r="V527" s="207">
        <f>IFERROR(SUMIF(data!$E:$E,科目余额表!$B527,data!R:R),0)</f>
        <v>0</v>
      </c>
      <c r="W527" s="207">
        <f>IFERROR(SUMIF(data!$E:$E,科目余额表!$B527,data!S:S),0)</f>
        <v>0</v>
      </c>
      <c r="X527" s="207">
        <f t="shared" si="11"/>
        <v>0</v>
      </c>
      <c r="Y527" s="207"/>
      <c r="Z527" s="207"/>
      <c r="AA527" s="207"/>
      <c r="AB527" s="207"/>
      <c r="AC527" s="207"/>
      <c r="AD527" s="207"/>
      <c r="AE527" s="207"/>
      <c r="AF527" s="207"/>
    </row>
    <row r="528" spans="1:32" s="214" customFormat="1" ht="11.65" customHeight="1">
      <c r="A528" s="215"/>
      <c r="B528" s="220">
        <v>65303</v>
      </c>
      <c r="C528" s="205" t="s">
        <v>807</v>
      </c>
      <c r="D528" s="221">
        <f t="shared" si="10"/>
        <v>0</v>
      </c>
      <c r="E528" s="221">
        <v>0</v>
      </c>
      <c r="F528" s="222">
        <f t="shared" si="12"/>
        <v>0</v>
      </c>
      <c r="G528" s="205" t="s">
        <v>804</v>
      </c>
      <c r="H528" s="225" t="s">
        <v>671</v>
      </c>
      <c r="J528" s="207" t="s">
        <v>795</v>
      </c>
      <c r="K528" s="207"/>
      <c r="L528" s="207">
        <f>IFERROR(SUMIF(data!$E:$E,科目余额表!$B528,data!H:H),0)</f>
        <v>0</v>
      </c>
      <c r="M528" s="207">
        <f>IFERROR(SUMIF(data!$E:$E,科目余额表!$B528,data!I:I),0)</f>
        <v>0</v>
      </c>
      <c r="N528" s="207">
        <f>IFERROR(SUMIF(data!$E:$E,科目余额表!$B528,data!J:J),0)</f>
        <v>0</v>
      </c>
      <c r="O528" s="207">
        <f>IFERROR(SUMIF(data!$E:$E,科目余额表!$B528,data!K:K),0)</f>
        <v>0</v>
      </c>
      <c r="P528" s="207">
        <f>IFERROR(SUMIF(data!$E:$E,科目余额表!$B528,data!L:L),0)</f>
        <v>0</v>
      </c>
      <c r="Q528" s="207">
        <f>IFERROR(SUMIF(data!$E:$E,科目余额表!$B528,data!M:M),0)</f>
        <v>0</v>
      </c>
      <c r="R528" s="207">
        <f>IFERROR(SUMIF(data!$E:$E,科目余额表!$B528,data!N:N),0)</f>
        <v>0</v>
      </c>
      <c r="S528" s="207">
        <f>IFERROR(SUMIF(data!$E:$E,科目余额表!$B528,data!O:O),0)</f>
        <v>0</v>
      </c>
      <c r="T528" s="207">
        <f>IFERROR(SUMIF(data!$E:$E,科目余额表!$B528,data!P:P),0)</f>
        <v>0</v>
      </c>
      <c r="U528" s="207">
        <f>IFERROR(SUMIF(data!$E:$E,科目余额表!$B528,data!Q:Q),0)</f>
        <v>0</v>
      </c>
      <c r="V528" s="207">
        <f>IFERROR(SUMIF(data!$E:$E,科目余额表!$B528,data!R:R),0)</f>
        <v>0</v>
      </c>
      <c r="W528" s="207">
        <f>IFERROR(SUMIF(data!$E:$E,科目余额表!$B528,data!S:S),0)</f>
        <v>0</v>
      </c>
      <c r="X528" s="207">
        <f t="shared" si="11"/>
        <v>0</v>
      </c>
      <c r="Y528" s="207"/>
      <c r="Z528" s="207"/>
      <c r="AA528" s="207"/>
      <c r="AB528" s="207"/>
      <c r="AC528" s="207"/>
      <c r="AD528" s="207"/>
      <c r="AE528" s="207"/>
      <c r="AF528" s="207"/>
    </row>
    <row r="529" spans="1:32" s="214" customFormat="1" ht="11.65" customHeight="1">
      <c r="A529" s="215"/>
      <c r="B529" s="220">
        <v>65304</v>
      </c>
      <c r="C529" s="205" t="s">
        <v>808</v>
      </c>
      <c r="D529" s="221">
        <f t="shared" si="10"/>
        <v>0</v>
      </c>
      <c r="E529" s="221">
        <v>0</v>
      </c>
      <c r="F529" s="222">
        <f t="shared" si="12"/>
        <v>0</v>
      </c>
      <c r="G529" s="205" t="s">
        <v>804</v>
      </c>
      <c r="H529" s="225" t="s">
        <v>671</v>
      </c>
      <c r="J529" s="207" t="s">
        <v>795</v>
      </c>
      <c r="K529" s="207"/>
      <c r="L529" s="207">
        <f>IFERROR(SUMIF(data!$E:$E,科目余额表!$B529,data!H:H),0)</f>
        <v>0</v>
      </c>
      <c r="M529" s="207">
        <f>IFERROR(SUMIF(data!$E:$E,科目余额表!$B529,data!I:I),0)</f>
        <v>0</v>
      </c>
      <c r="N529" s="207">
        <f>IFERROR(SUMIF(data!$E:$E,科目余额表!$B529,data!J:J),0)</f>
        <v>0</v>
      </c>
      <c r="O529" s="207">
        <f>IFERROR(SUMIF(data!$E:$E,科目余额表!$B529,data!K:K),0)</f>
        <v>0</v>
      </c>
      <c r="P529" s="207">
        <f>IFERROR(SUMIF(data!$E:$E,科目余额表!$B529,data!L:L),0)</f>
        <v>0</v>
      </c>
      <c r="Q529" s="207">
        <f>IFERROR(SUMIF(data!$E:$E,科目余额表!$B529,data!M:M),0)</f>
        <v>0</v>
      </c>
      <c r="R529" s="207">
        <f>IFERROR(SUMIF(data!$E:$E,科目余额表!$B529,data!N:N),0)</f>
        <v>0</v>
      </c>
      <c r="S529" s="207">
        <f>IFERROR(SUMIF(data!$E:$E,科目余额表!$B529,data!O:O),0)</f>
        <v>0</v>
      </c>
      <c r="T529" s="207">
        <f>IFERROR(SUMIF(data!$E:$E,科目余额表!$B529,data!P:P),0)</f>
        <v>0</v>
      </c>
      <c r="U529" s="207">
        <f>IFERROR(SUMIF(data!$E:$E,科目余额表!$B529,data!Q:Q),0)</f>
        <v>0</v>
      </c>
      <c r="V529" s="207">
        <f>IFERROR(SUMIF(data!$E:$E,科目余额表!$B529,data!R:R),0)</f>
        <v>0</v>
      </c>
      <c r="W529" s="207">
        <f>IFERROR(SUMIF(data!$E:$E,科目余额表!$B529,data!S:S),0)</f>
        <v>0</v>
      </c>
      <c r="X529" s="207">
        <f t="shared" si="11"/>
        <v>0</v>
      </c>
      <c r="Y529" s="207"/>
      <c r="Z529" s="207"/>
      <c r="AA529" s="207"/>
      <c r="AB529" s="207"/>
      <c r="AC529" s="207"/>
      <c r="AD529" s="207"/>
      <c r="AE529" s="207"/>
      <c r="AF529" s="207"/>
    </row>
    <row r="530" spans="1:32" s="214" customFormat="1" ht="11.65" customHeight="1">
      <c r="A530" s="215"/>
      <c r="B530" s="220">
        <v>65305</v>
      </c>
      <c r="C530" s="205" t="s">
        <v>809</v>
      </c>
      <c r="D530" s="221">
        <f t="shared" si="10"/>
        <v>0</v>
      </c>
      <c r="E530" s="221">
        <v>0</v>
      </c>
      <c r="F530" s="222">
        <f t="shared" si="12"/>
        <v>0</v>
      </c>
      <c r="G530" s="205" t="s">
        <v>804</v>
      </c>
      <c r="H530" s="225" t="s">
        <v>671</v>
      </c>
      <c r="J530" s="207" t="s">
        <v>795</v>
      </c>
      <c r="K530" s="207"/>
      <c r="L530" s="207">
        <f>IFERROR(SUMIF(data!$E:$E,科目余额表!$B530,data!H:H),0)</f>
        <v>0</v>
      </c>
      <c r="M530" s="207">
        <f>IFERROR(SUMIF(data!$E:$E,科目余额表!$B530,data!I:I),0)</f>
        <v>0</v>
      </c>
      <c r="N530" s="207">
        <f>IFERROR(SUMIF(data!$E:$E,科目余额表!$B530,data!J:J),0)</f>
        <v>0</v>
      </c>
      <c r="O530" s="207">
        <f>IFERROR(SUMIF(data!$E:$E,科目余额表!$B530,data!K:K),0)</f>
        <v>0</v>
      </c>
      <c r="P530" s="207">
        <f>IFERROR(SUMIF(data!$E:$E,科目余额表!$B530,data!L:L),0)</f>
        <v>0</v>
      </c>
      <c r="Q530" s="207">
        <f>IFERROR(SUMIF(data!$E:$E,科目余额表!$B530,data!M:M),0)</f>
        <v>0</v>
      </c>
      <c r="R530" s="207">
        <f>IFERROR(SUMIF(data!$E:$E,科目余额表!$B530,data!N:N),0)</f>
        <v>0</v>
      </c>
      <c r="S530" s="207">
        <f>IFERROR(SUMIF(data!$E:$E,科目余额表!$B530,data!O:O),0)</f>
        <v>0</v>
      </c>
      <c r="T530" s="207">
        <f>IFERROR(SUMIF(data!$E:$E,科目余额表!$B530,data!P:P),0)</f>
        <v>0</v>
      </c>
      <c r="U530" s="207">
        <f>IFERROR(SUMIF(data!$E:$E,科目余额表!$B530,data!Q:Q),0)</f>
        <v>0</v>
      </c>
      <c r="V530" s="207">
        <f>IFERROR(SUMIF(data!$E:$E,科目余额表!$B530,data!R:R),0)</f>
        <v>0</v>
      </c>
      <c r="W530" s="207">
        <f>IFERROR(SUMIF(data!$E:$E,科目余额表!$B530,data!S:S),0)</f>
        <v>0</v>
      </c>
      <c r="X530" s="207">
        <f t="shared" si="11"/>
        <v>0</v>
      </c>
      <c r="Y530" s="207"/>
      <c r="Z530" s="207"/>
      <c r="AA530" s="207"/>
      <c r="AB530" s="207"/>
      <c r="AC530" s="207"/>
      <c r="AD530" s="207"/>
      <c r="AE530" s="207"/>
      <c r="AF530" s="207"/>
    </row>
    <row r="531" spans="1:32" s="214" customFormat="1" ht="11.65" customHeight="1">
      <c r="A531" s="215"/>
      <c r="B531" s="220">
        <v>65306</v>
      </c>
      <c r="C531" s="205" t="s">
        <v>810</v>
      </c>
      <c r="D531" s="221">
        <f t="shared" si="10"/>
        <v>0</v>
      </c>
      <c r="E531" s="221">
        <v>0</v>
      </c>
      <c r="F531" s="222">
        <f t="shared" si="12"/>
        <v>0</v>
      </c>
      <c r="G531" s="205" t="s">
        <v>804</v>
      </c>
      <c r="H531" s="225" t="s">
        <v>671</v>
      </c>
      <c r="J531" s="207" t="s">
        <v>795</v>
      </c>
      <c r="K531" s="207"/>
      <c r="L531" s="207">
        <f>IFERROR(SUMIF(data!$E:$E,科目余额表!$B531,data!H:H),0)</f>
        <v>0</v>
      </c>
      <c r="M531" s="207">
        <f>IFERROR(SUMIF(data!$E:$E,科目余额表!$B531,data!I:I),0)</f>
        <v>0</v>
      </c>
      <c r="N531" s="207">
        <f>IFERROR(SUMIF(data!$E:$E,科目余额表!$B531,data!J:J),0)</f>
        <v>0</v>
      </c>
      <c r="O531" s="207">
        <f>IFERROR(SUMIF(data!$E:$E,科目余额表!$B531,data!K:K),0)</f>
        <v>0</v>
      </c>
      <c r="P531" s="207">
        <f>IFERROR(SUMIF(data!$E:$E,科目余额表!$B531,data!L:L),0)</f>
        <v>0</v>
      </c>
      <c r="Q531" s="207">
        <f>IFERROR(SUMIF(data!$E:$E,科目余额表!$B531,data!M:M),0)</f>
        <v>0</v>
      </c>
      <c r="R531" s="207">
        <f>IFERROR(SUMIF(data!$E:$E,科目余额表!$B531,data!N:N),0)</f>
        <v>0</v>
      </c>
      <c r="S531" s="207">
        <f>IFERROR(SUMIF(data!$E:$E,科目余额表!$B531,data!O:O),0)</f>
        <v>0</v>
      </c>
      <c r="T531" s="207">
        <f>IFERROR(SUMIF(data!$E:$E,科目余额表!$B531,data!P:P),0)</f>
        <v>0</v>
      </c>
      <c r="U531" s="207">
        <f>IFERROR(SUMIF(data!$E:$E,科目余额表!$B531,data!Q:Q),0)</f>
        <v>0</v>
      </c>
      <c r="V531" s="207">
        <f>IFERROR(SUMIF(data!$E:$E,科目余额表!$B531,data!R:R),0)</f>
        <v>0</v>
      </c>
      <c r="W531" s="207">
        <f>IFERROR(SUMIF(data!$E:$E,科目余额表!$B531,data!S:S),0)</f>
        <v>0</v>
      </c>
      <c r="X531" s="207">
        <f t="shared" si="11"/>
        <v>0</v>
      </c>
      <c r="Y531" s="207"/>
      <c r="Z531" s="207"/>
      <c r="AA531" s="207"/>
      <c r="AB531" s="207"/>
      <c r="AC531" s="207"/>
      <c r="AD531" s="207"/>
      <c r="AE531" s="207"/>
      <c r="AF531" s="207"/>
    </row>
    <row r="532" spans="1:32" s="214" customFormat="1" ht="11.65" customHeight="1">
      <c r="A532" s="215"/>
      <c r="B532" s="220">
        <v>65307</v>
      </c>
      <c r="C532" s="205" t="s">
        <v>811</v>
      </c>
      <c r="D532" s="221">
        <f t="shared" si="10"/>
        <v>-991.3100000000004</v>
      </c>
      <c r="E532" s="221">
        <v>0</v>
      </c>
      <c r="F532" s="222">
        <f t="shared" si="12"/>
        <v>-991.3100000000004</v>
      </c>
      <c r="G532" s="205" t="s">
        <v>804</v>
      </c>
      <c r="H532" s="225" t="s">
        <v>671</v>
      </c>
      <c r="J532" s="207" t="s">
        <v>795</v>
      </c>
      <c r="K532" s="207"/>
      <c r="L532" s="207">
        <f>IFERROR(SUMIF(data!$E:$E,科目余额表!$B532,data!H:H),0)</f>
        <v>-843.56</v>
      </c>
      <c r="M532" s="207">
        <f>IFERROR(SUMIF(data!$E:$E,科目余额表!$B532,data!I:I),0)</f>
        <v>-1834.86</v>
      </c>
      <c r="N532" s="207">
        <f>IFERROR(SUMIF(data!$E:$E,科目余额表!$B532,data!J:J),0)</f>
        <v>-1834.86</v>
      </c>
      <c r="O532" s="207">
        <f>IFERROR(SUMIF(data!$E:$E,科目余额表!$B532,data!K:K),0)</f>
        <v>-1834.86</v>
      </c>
      <c r="P532" s="207">
        <f>IFERROR(SUMIF(data!$E:$E,科目余额表!$B532,data!L:L),0)</f>
        <v>-1834.86</v>
      </c>
      <c r="Q532" s="207">
        <f>IFERROR(SUMIF(data!$E:$E,科目余额表!$B532,data!M:M),0)</f>
        <v>0</v>
      </c>
      <c r="R532" s="207">
        <f>IFERROR(SUMIF(data!$E:$E,科目余额表!$B532,data!N:N),0)</f>
        <v>0</v>
      </c>
      <c r="S532" s="207">
        <f>IFERROR(SUMIF(data!$E:$E,科目余额表!$B532,data!O:O),0)</f>
        <v>0</v>
      </c>
      <c r="T532" s="207">
        <f>IFERROR(SUMIF(data!$E:$E,科目余额表!$B532,data!P:P),0)</f>
        <v>0</v>
      </c>
      <c r="U532" s="207">
        <f>IFERROR(SUMIF(data!$E:$E,科目余额表!$B532,data!Q:Q),0)</f>
        <v>9174.31</v>
      </c>
      <c r="V532" s="207">
        <f>IFERROR(SUMIF(data!$E:$E,科目余额表!$B532,data!R:R),0)</f>
        <v>0</v>
      </c>
      <c r="W532" s="207">
        <f>IFERROR(SUMIF(data!$E:$E,科目余额表!$B532,data!S:S),0)</f>
        <v>0</v>
      </c>
      <c r="X532" s="207">
        <f t="shared" si="11"/>
        <v>991.3100000000004</v>
      </c>
      <c r="Y532" s="207"/>
      <c r="Z532" s="207"/>
      <c r="AA532" s="207"/>
      <c r="AB532" s="207"/>
      <c r="AC532" s="207"/>
      <c r="AD532" s="207"/>
      <c r="AE532" s="207"/>
      <c r="AF532" s="207"/>
    </row>
    <row r="533" spans="1:32" s="214" customFormat="1" ht="11.65" customHeight="1">
      <c r="A533" s="215"/>
      <c r="B533" s="220">
        <v>65308</v>
      </c>
      <c r="C533" s="205" t="s">
        <v>812</v>
      </c>
      <c r="D533" s="221">
        <f t="shared" si="10"/>
        <v>18356.82</v>
      </c>
      <c r="E533" s="221">
        <v>30.7</v>
      </c>
      <c r="F533" s="222">
        <f t="shared" si="12"/>
        <v>18387.52</v>
      </c>
      <c r="G533" s="205" t="s">
        <v>804</v>
      </c>
      <c r="H533" s="225" t="s">
        <v>671</v>
      </c>
      <c r="J533" s="207" t="s">
        <v>795</v>
      </c>
      <c r="K533" s="207"/>
      <c r="L533" s="207">
        <f>IFERROR(SUMIF(data!$E:$E,科目余额表!$B533,data!H:H),0)</f>
        <v>-6972.8300000000008</v>
      </c>
      <c r="M533" s="207">
        <f>IFERROR(SUMIF(data!$E:$E,科目余额表!$B533,data!I:I),0)</f>
        <v>-2833.4400000000005</v>
      </c>
      <c r="N533" s="207">
        <f>IFERROR(SUMIF(data!$E:$E,科目余额表!$B533,data!J:J),0)</f>
        <v>-641.35</v>
      </c>
      <c r="O533" s="207">
        <f>IFERROR(SUMIF(data!$E:$E,科目余额表!$B533,data!K:K),0)</f>
        <v>-31.31</v>
      </c>
      <c r="P533" s="207">
        <f>IFERROR(SUMIF(data!$E:$E,科目余额表!$B533,data!L:L),0)</f>
        <v>-84.2</v>
      </c>
      <c r="Q533" s="207">
        <f>IFERROR(SUMIF(data!$E:$E,科目余额表!$B533,data!M:M),0)</f>
        <v>-427.79</v>
      </c>
      <c r="R533" s="207">
        <f>IFERROR(SUMIF(data!$E:$E,科目余额表!$B533,data!N:N),0)</f>
        <v>-4246.2</v>
      </c>
      <c r="S533" s="207">
        <f>IFERROR(SUMIF(data!$E:$E,科目余额表!$B533,data!O:O),0)</f>
        <v>1530</v>
      </c>
      <c r="T533" s="207">
        <f>IFERROR(SUMIF(data!$E:$E,科目余额表!$B533,data!P:P),0)</f>
        <v>-86.3</v>
      </c>
      <c r="U533" s="207">
        <f>IFERROR(SUMIF(data!$E:$E,科目余额表!$B533,data!Q:Q),0)</f>
        <v>-212.56</v>
      </c>
      <c r="V533" s="207">
        <f>IFERROR(SUMIF(data!$E:$E,科目余额表!$B533,data!R:R),0)</f>
        <v>-4350.84</v>
      </c>
      <c r="W533" s="207">
        <f>IFERROR(SUMIF(data!$E:$E,科目余额表!$B533,data!S:S),0)</f>
        <v>-30.7</v>
      </c>
      <c r="X533" s="207">
        <f t="shared" si="11"/>
        <v>-18387.52</v>
      </c>
      <c r="Y533" s="207"/>
      <c r="Z533" s="207"/>
      <c r="AA533" s="207"/>
      <c r="AB533" s="207"/>
      <c r="AC533" s="207"/>
      <c r="AD533" s="207"/>
      <c r="AE533" s="207"/>
      <c r="AF533" s="207"/>
    </row>
    <row r="534" spans="1:32" s="214" customFormat="1" ht="11.65" customHeight="1">
      <c r="A534" s="215"/>
      <c r="B534" s="220">
        <v>65309</v>
      </c>
      <c r="C534" s="205" t="s">
        <v>813</v>
      </c>
      <c r="D534" s="221">
        <f t="shared" si="10"/>
        <v>39421.630000000005</v>
      </c>
      <c r="E534" s="221">
        <v>32307</v>
      </c>
      <c r="F534" s="222">
        <f t="shared" si="12"/>
        <v>71728.63</v>
      </c>
      <c r="G534" s="205" t="s">
        <v>804</v>
      </c>
      <c r="H534" s="225" t="s">
        <v>671</v>
      </c>
      <c r="J534" s="207" t="s">
        <v>795</v>
      </c>
      <c r="K534" s="207"/>
      <c r="L534" s="207">
        <f>IFERROR(SUMIF(data!$E:$E,科目余额表!$B534,data!H:H),0)</f>
        <v>-3148</v>
      </c>
      <c r="M534" s="207">
        <f>IFERROR(SUMIF(data!$E:$E,科目余额表!$B534,data!I:I),0)</f>
        <v>-3532</v>
      </c>
      <c r="N534" s="207">
        <f>IFERROR(SUMIF(data!$E:$E,科目余额表!$B534,data!J:J),0)</f>
        <v>-6337.91</v>
      </c>
      <c r="O534" s="207">
        <f>IFERROR(SUMIF(data!$E:$E,科目余额表!$B534,data!K:K),0)</f>
        <v>-3700.9700000000003</v>
      </c>
      <c r="P534" s="207">
        <f>IFERROR(SUMIF(data!$E:$E,科目余额表!$B534,data!L:L),0)</f>
        <v>-2553.11</v>
      </c>
      <c r="Q534" s="207">
        <f>IFERROR(SUMIF(data!$E:$E,科目余额表!$B534,data!M:M),0)</f>
        <v>-1519</v>
      </c>
      <c r="R534" s="207">
        <f>IFERROR(SUMIF(data!$E:$E,科目余额表!$B534,data!N:N),0)</f>
        <v>975.56</v>
      </c>
      <c r="S534" s="207">
        <f>IFERROR(SUMIF(data!$E:$E,科目余额表!$B534,data!O:O),0)</f>
        <v>-318</v>
      </c>
      <c r="T534" s="207">
        <f>IFERROR(SUMIF(data!$E:$E,科目余额表!$B534,data!P:P),0)</f>
        <v>-7713.2</v>
      </c>
      <c r="U534" s="207">
        <f>IFERROR(SUMIF(data!$E:$E,科目余额表!$B534,data!Q:Q),0)</f>
        <v>-2217</v>
      </c>
      <c r="V534" s="207">
        <f>IFERROR(SUMIF(data!$E:$E,科目余额表!$B534,data!R:R),0)</f>
        <v>-9358</v>
      </c>
      <c r="W534" s="207">
        <f>IFERROR(SUMIF(data!$E:$E,科目余额表!$B534,data!S:S),0)</f>
        <v>-32307</v>
      </c>
      <c r="X534" s="207">
        <f t="shared" si="11"/>
        <v>-71728.63</v>
      </c>
      <c r="Y534" s="207"/>
      <c r="Z534" s="207"/>
      <c r="AA534" s="207"/>
      <c r="AB534" s="207"/>
      <c r="AC534" s="207"/>
      <c r="AD534" s="207"/>
      <c r="AE534" s="207"/>
      <c r="AF534" s="207"/>
    </row>
    <row r="535" spans="1:32" s="214" customFormat="1" ht="11.65" customHeight="1">
      <c r="A535" s="215"/>
      <c r="B535" s="220">
        <v>65310</v>
      </c>
      <c r="C535" s="205" t="s">
        <v>814</v>
      </c>
      <c r="D535" s="221">
        <f t="shared" si="10"/>
        <v>83955.4</v>
      </c>
      <c r="E535" s="221">
        <v>5444.07</v>
      </c>
      <c r="F535" s="222">
        <f t="shared" si="12"/>
        <v>89399.47</v>
      </c>
      <c r="G535" s="205" t="s">
        <v>804</v>
      </c>
      <c r="H535" s="225" t="s">
        <v>671</v>
      </c>
      <c r="J535" s="207" t="s">
        <v>795</v>
      </c>
      <c r="K535" s="207"/>
      <c r="L535" s="207">
        <f>IFERROR(SUMIF(data!$E:$E,科目余额表!$B535,data!H:H),0)</f>
        <v>-11087.18</v>
      </c>
      <c r="M535" s="207">
        <f>IFERROR(SUMIF(data!$E:$E,科目余额表!$B535,data!I:I),0)</f>
        <v>-11147.11</v>
      </c>
      <c r="N535" s="207">
        <f>IFERROR(SUMIF(data!$E:$E,科目余额表!$B535,data!J:J),0)</f>
        <v>-10544.909999999998</v>
      </c>
      <c r="O535" s="207">
        <f>IFERROR(SUMIF(data!$E:$E,科目余额表!$B535,data!K:K),0)</f>
        <v>-17693.48</v>
      </c>
      <c r="P535" s="207">
        <f>IFERROR(SUMIF(data!$E:$E,科目余额表!$B535,data!L:L),0)</f>
        <v>-9349.7099999999991</v>
      </c>
      <c r="Q535" s="207">
        <f>IFERROR(SUMIF(data!$E:$E,科目余额表!$B535,data!M:M),0)</f>
        <v>-11461.45</v>
      </c>
      <c r="R535" s="207">
        <f>IFERROR(SUMIF(data!$E:$E,科目余额表!$B535,data!N:N),0)</f>
        <v>-6015.67</v>
      </c>
      <c r="S535" s="207">
        <f>IFERROR(SUMIF(data!$E:$E,科目余额表!$B535,data!O:O),0)</f>
        <v>608.20999999999913</v>
      </c>
      <c r="T535" s="207">
        <f>IFERROR(SUMIF(data!$E:$E,科目余额表!$B535,data!P:P),0)</f>
        <v>-2686.1</v>
      </c>
      <c r="U535" s="207">
        <f>IFERROR(SUMIF(data!$E:$E,科目余额表!$B535,data!Q:Q),0)</f>
        <v>-1953.28</v>
      </c>
      <c r="V535" s="207">
        <f>IFERROR(SUMIF(data!$E:$E,科目余额表!$B535,data!R:R),0)</f>
        <v>-2624.72</v>
      </c>
      <c r="W535" s="207">
        <f>IFERROR(SUMIF(data!$E:$E,科目余额表!$B535,data!S:S),0)</f>
        <v>-5444.07</v>
      </c>
      <c r="X535" s="207">
        <f t="shared" si="11"/>
        <v>-89399.47</v>
      </c>
      <c r="Y535" s="207"/>
      <c r="Z535" s="207"/>
      <c r="AA535" s="207"/>
      <c r="AB535" s="207"/>
      <c r="AC535" s="207"/>
      <c r="AD535" s="207"/>
      <c r="AE535" s="207"/>
      <c r="AF535" s="207"/>
    </row>
    <row r="536" spans="1:32" s="214" customFormat="1" ht="11.65" customHeight="1">
      <c r="A536" s="215"/>
      <c r="B536" s="220">
        <v>65311</v>
      </c>
      <c r="C536" s="205" t="s">
        <v>815</v>
      </c>
      <c r="D536" s="221">
        <f t="shared" si="10"/>
        <v>103704.54000000001</v>
      </c>
      <c r="E536" s="221">
        <v>74349.609999999986</v>
      </c>
      <c r="F536" s="222">
        <f t="shared" si="12"/>
        <v>178054.15</v>
      </c>
      <c r="G536" s="205" t="s">
        <v>804</v>
      </c>
      <c r="H536" s="225" t="s">
        <v>671</v>
      </c>
      <c r="J536" s="207" t="s">
        <v>795</v>
      </c>
      <c r="K536" s="207"/>
      <c r="L536" s="207">
        <f>IFERROR(SUMIF(data!$E:$E,科目余额表!$B536,data!H:H),0)</f>
        <v>0</v>
      </c>
      <c r="M536" s="207">
        <f>IFERROR(SUMIF(data!$E:$E,科目余额表!$B536,data!I:I),0)</f>
        <v>0</v>
      </c>
      <c r="N536" s="207">
        <f>IFERROR(SUMIF(data!$E:$E,科目余额表!$B536,data!J:J),0)</f>
        <v>0</v>
      </c>
      <c r="O536" s="207">
        <f>IFERROR(SUMIF(data!$E:$E,科目余额表!$B536,data!K:K),0)</f>
        <v>-23190.11</v>
      </c>
      <c r="P536" s="207">
        <f>IFERROR(SUMIF(data!$E:$E,科目余额表!$B536,data!L:L),0)</f>
        <v>-33455.350000000006</v>
      </c>
      <c r="Q536" s="207">
        <f>IFERROR(SUMIF(data!$E:$E,科目余额表!$B536,data!M:M),0)</f>
        <v>-6732.67</v>
      </c>
      <c r="R536" s="207">
        <f>IFERROR(SUMIF(data!$E:$E,科目余额表!$B536,data!N:N),0)</f>
        <v>0</v>
      </c>
      <c r="S536" s="207">
        <f>IFERROR(SUMIF(data!$E:$E,科目余额表!$B536,data!O:O),0)</f>
        <v>0</v>
      </c>
      <c r="T536" s="207">
        <f>IFERROR(SUMIF(data!$E:$E,科目余额表!$B536,data!P:P),0)</f>
        <v>0</v>
      </c>
      <c r="U536" s="207">
        <f>IFERROR(SUMIF(data!$E:$E,科目余额表!$B536,data!Q:Q),0)</f>
        <v>-22125.57</v>
      </c>
      <c r="V536" s="207">
        <f>IFERROR(SUMIF(data!$E:$E,科目余额表!$B536,data!R:R),0)</f>
        <v>-18200.84</v>
      </c>
      <c r="W536" s="207">
        <f>IFERROR(SUMIF(data!$E:$E,科目余额表!$B536,data!S:S),0)</f>
        <v>-74349.609999999986</v>
      </c>
      <c r="X536" s="207">
        <f t="shared" si="11"/>
        <v>-178054.15</v>
      </c>
      <c r="Y536" s="207"/>
      <c r="Z536" s="207"/>
      <c r="AA536" s="207"/>
      <c r="AB536" s="207"/>
      <c r="AC536" s="207"/>
      <c r="AD536" s="207"/>
      <c r="AE536" s="207"/>
      <c r="AF536" s="207"/>
    </row>
    <row r="537" spans="1:32" s="214" customFormat="1" ht="11.65" customHeight="1">
      <c r="A537" s="215"/>
      <c r="B537" s="220">
        <v>65312</v>
      </c>
      <c r="C537" s="205" t="s">
        <v>816</v>
      </c>
      <c r="D537" s="221">
        <f t="shared" si="10"/>
        <v>10000</v>
      </c>
      <c r="E537" s="221">
        <v>60000</v>
      </c>
      <c r="F537" s="222">
        <f t="shared" si="12"/>
        <v>70000</v>
      </c>
      <c r="G537" s="205" t="s">
        <v>804</v>
      </c>
      <c r="H537" s="225" t="s">
        <v>671</v>
      </c>
      <c r="J537" s="207" t="s">
        <v>795</v>
      </c>
      <c r="K537" s="207"/>
      <c r="L537" s="207">
        <f>IFERROR(SUMIF(data!$E:$E,科目余额表!$B537,data!H:H),0)</f>
        <v>0</v>
      </c>
      <c r="M537" s="207">
        <f>IFERROR(SUMIF(data!$E:$E,科目余额表!$B537,data!I:I),0)</f>
        <v>0</v>
      </c>
      <c r="N537" s="207">
        <f>IFERROR(SUMIF(data!$E:$E,科目余额表!$B537,data!J:J),0)</f>
        <v>0</v>
      </c>
      <c r="O537" s="207">
        <f>IFERROR(SUMIF(data!$E:$E,科目余额表!$B537,data!K:K),0)</f>
        <v>0</v>
      </c>
      <c r="P537" s="207">
        <f>IFERROR(SUMIF(data!$E:$E,科目余额表!$B537,data!L:L),0)</f>
        <v>0</v>
      </c>
      <c r="Q537" s="207">
        <f>IFERROR(SUMIF(data!$E:$E,科目余额表!$B537,data!M:M),0)</f>
        <v>0</v>
      </c>
      <c r="R537" s="207">
        <f>IFERROR(SUMIF(data!$E:$E,科目余额表!$B537,data!N:N),0)</f>
        <v>0</v>
      </c>
      <c r="S537" s="207">
        <f>IFERROR(SUMIF(data!$E:$E,科目余额表!$B537,data!O:O),0)</f>
        <v>0</v>
      </c>
      <c r="T537" s="207">
        <f>IFERROR(SUMIF(data!$E:$E,科目余额表!$B537,data!P:P),0)</f>
        <v>0</v>
      </c>
      <c r="U537" s="207">
        <f>IFERROR(SUMIF(data!$E:$E,科目余额表!$B537,data!Q:Q),0)</f>
        <v>0</v>
      </c>
      <c r="V537" s="207">
        <f>IFERROR(SUMIF(data!$E:$E,科目余额表!$B537,data!R:R),0)</f>
        <v>-10000</v>
      </c>
      <c r="W537" s="207">
        <f>IFERROR(SUMIF(data!$E:$E,科目余额表!$B537,data!S:S),0)</f>
        <v>-60000</v>
      </c>
      <c r="X537" s="207">
        <f t="shared" si="11"/>
        <v>-70000</v>
      </c>
      <c r="Y537" s="207"/>
      <c r="Z537" s="207"/>
      <c r="AA537" s="207"/>
      <c r="AB537" s="207"/>
      <c r="AC537" s="207"/>
      <c r="AD537" s="207"/>
      <c r="AE537" s="207"/>
      <c r="AF537" s="207"/>
    </row>
    <row r="538" spans="1:32" s="214" customFormat="1" ht="11.65" customHeight="1">
      <c r="A538" s="215"/>
      <c r="B538" s="220">
        <v>65315</v>
      </c>
      <c r="C538" s="205" t="s">
        <v>817</v>
      </c>
      <c r="D538" s="221">
        <f t="shared" si="10"/>
        <v>0</v>
      </c>
      <c r="E538" s="221">
        <v>0</v>
      </c>
      <c r="F538" s="222">
        <f t="shared" si="12"/>
        <v>0</v>
      </c>
      <c r="G538" s="205" t="s">
        <v>804</v>
      </c>
      <c r="H538" s="225" t="s">
        <v>671</v>
      </c>
      <c r="J538" s="207" t="s">
        <v>795</v>
      </c>
      <c r="K538" s="207"/>
      <c r="L538" s="207">
        <f>IFERROR(SUMIF(data!$E:$E,科目余额表!$B538,data!H:H),0)</f>
        <v>0</v>
      </c>
      <c r="M538" s="207">
        <f>IFERROR(SUMIF(data!$E:$E,科目余额表!$B538,data!I:I),0)</f>
        <v>0</v>
      </c>
      <c r="N538" s="207">
        <f>IFERROR(SUMIF(data!$E:$E,科目余额表!$B538,data!J:J),0)</f>
        <v>0</v>
      </c>
      <c r="O538" s="207">
        <f>IFERROR(SUMIF(data!$E:$E,科目余额表!$B538,data!K:K),0)</f>
        <v>0</v>
      </c>
      <c r="P538" s="207">
        <f>IFERROR(SUMIF(data!$E:$E,科目余额表!$B538,data!L:L),0)</f>
        <v>0</v>
      </c>
      <c r="Q538" s="207">
        <f>IFERROR(SUMIF(data!$E:$E,科目余额表!$B538,data!M:M),0)</f>
        <v>0</v>
      </c>
      <c r="R538" s="207">
        <f>IFERROR(SUMIF(data!$E:$E,科目余额表!$B538,data!N:N),0)</f>
        <v>0</v>
      </c>
      <c r="S538" s="207">
        <f>IFERROR(SUMIF(data!$E:$E,科目余额表!$B538,data!O:O),0)</f>
        <v>0</v>
      </c>
      <c r="T538" s="207">
        <f>IFERROR(SUMIF(data!$E:$E,科目余额表!$B538,data!P:P),0)</f>
        <v>0</v>
      </c>
      <c r="U538" s="207">
        <f>IFERROR(SUMIF(data!$E:$E,科目余额表!$B538,data!Q:Q),0)</f>
        <v>0</v>
      </c>
      <c r="V538" s="207">
        <f>IFERROR(SUMIF(data!$E:$E,科目余额表!$B538,data!R:R),0)</f>
        <v>0</v>
      </c>
      <c r="W538" s="207">
        <f>IFERROR(SUMIF(data!$E:$E,科目余额表!$B538,data!S:S),0)</f>
        <v>0</v>
      </c>
      <c r="X538" s="207">
        <f t="shared" si="11"/>
        <v>0</v>
      </c>
      <c r="Y538" s="207"/>
      <c r="Z538" s="207"/>
      <c r="AA538" s="207"/>
      <c r="AB538" s="207"/>
      <c r="AC538" s="207"/>
      <c r="AD538" s="207"/>
      <c r="AE538" s="207"/>
      <c r="AF538" s="207"/>
    </row>
    <row r="539" spans="1:32" s="214" customFormat="1" ht="11.65" customHeight="1">
      <c r="A539" s="215"/>
      <c r="B539" s="220">
        <v>65316</v>
      </c>
      <c r="C539" s="205" t="s">
        <v>818</v>
      </c>
      <c r="D539" s="221">
        <f t="shared" si="10"/>
        <v>0</v>
      </c>
      <c r="E539" s="221">
        <v>0</v>
      </c>
      <c r="F539" s="222">
        <f t="shared" si="12"/>
        <v>0</v>
      </c>
      <c r="G539" s="205" t="s">
        <v>804</v>
      </c>
      <c r="H539" s="225" t="s">
        <v>671</v>
      </c>
      <c r="J539" s="207" t="s">
        <v>795</v>
      </c>
      <c r="K539" s="207"/>
      <c r="L539" s="207">
        <f>IFERROR(SUMIF(data!$E:$E,科目余额表!$B539,data!H:H),0)</f>
        <v>0</v>
      </c>
      <c r="M539" s="207">
        <f>IFERROR(SUMIF(data!$E:$E,科目余额表!$B539,data!I:I),0)</f>
        <v>0</v>
      </c>
      <c r="N539" s="207">
        <f>IFERROR(SUMIF(data!$E:$E,科目余额表!$B539,data!J:J),0)</f>
        <v>0</v>
      </c>
      <c r="O539" s="207">
        <f>IFERROR(SUMIF(data!$E:$E,科目余额表!$B539,data!K:K),0)</f>
        <v>0</v>
      </c>
      <c r="P539" s="207">
        <f>IFERROR(SUMIF(data!$E:$E,科目余额表!$B539,data!L:L),0)</f>
        <v>0</v>
      </c>
      <c r="Q539" s="207">
        <f>IFERROR(SUMIF(data!$E:$E,科目余额表!$B539,data!M:M),0)</f>
        <v>0</v>
      </c>
      <c r="R539" s="207">
        <f>IFERROR(SUMIF(data!$E:$E,科目余额表!$B539,data!N:N),0)</f>
        <v>0</v>
      </c>
      <c r="S539" s="207">
        <f>IFERROR(SUMIF(data!$E:$E,科目余额表!$B539,data!O:O),0)</f>
        <v>0</v>
      </c>
      <c r="T539" s="207">
        <f>IFERROR(SUMIF(data!$E:$E,科目余额表!$B539,data!P:P),0)</f>
        <v>0</v>
      </c>
      <c r="U539" s="207">
        <f>IFERROR(SUMIF(data!$E:$E,科目余额表!$B539,data!Q:Q),0)</f>
        <v>0</v>
      </c>
      <c r="V539" s="207">
        <f>IFERROR(SUMIF(data!$E:$E,科目余额表!$B539,data!R:R),0)</f>
        <v>0</v>
      </c>
      <c r="W539" s="207">
        <f>IFERROR(SUMIF(data!$E:$E,科目余额表!$B539,data!S:S),0)</f>
        <v>0</v>
      </c>
      <c r="X539" s="207">
        <f t="shared" si="11"/>
        <v>0</v>
      </c>
      <c r="Y539" s="207"/>
      <c r="Z539" s="207"/>
      <c r="AA539" s="207"/>
      <c r="AB539" s="207"/>
      <c r="AC539" s="207"/>
      <c r="AD539" s="207"/>
      <c r="AE539" s="207"/>
      <c r="AF539" s="207"/>
    </row>
    <row r="540" spans="1:32" s="214" customFormat="1" ht="11.65" customHeight="1">
      <c r="A540" s="215"/>
      <c r="B540" s="220">
        <v>65321</v>
      </c>
      <c r="C540" s="205" t="s">
        <v>819</v>
      </c>
      <c r="D540" s="221">
        <f t="shared" si="10"/>
        <v>0</v>
      </c>
      <c r="E540" s="221">
        <v>0</v>
      </c>
      <c r="F540" s="222">
        <f t="shared" si="12"/>
        <v>0</v>
      </c>
      <c r="G540" s="205" t="s">
        <v>804</v>
      </c>
      <c r="H540" s="225" t="s">
        <v>671</v>
      </c>
      <c r="J540" s="207" t="s">
        <v>795</v>
      </c>
      <c r="K540" s="207"/>
      <c r="L540" s="207">
        <f>IFERROR(SUMIF(data!$E:$E,科目余额表!$B540,data!H:H),0)</f>
        <v>0</v>
      </c>
      <c r="M540" s="207">
        <f>IFERROR(SUMIF(data!$E:$E,科目余额表!$B540,data!I:I),0)</f>
        <v>0</v>
      </c>
      <c r="N540" s="207">
        <f>IFERROR(SUMIF(data!$E:$E,科目余额表!$B540,data!J:J),0)</f>
        <v>0</v>
      </c>
      <c r="O540" s="207">
        <f>IFERROR(SUMIF(data!$E:$E,科目余额表!$B540,data!K:K),0)</f>
        <v>0</v>
      </c>
      <c r="P540" s="207">
        <f>IFERROR(SUMIF(data!$E:$E,科目余额表!$B540,data!L:L),0)</f>
        <v>0</v>
      </c>
      <c r="Q540" s="207">
        <f>IFERROR(SUMIF(data!$E:$E,科目余额表!$B540,data!M:M),0)</f>
        <v>0</v>
      </c>
      <c r="R540" s="207">
        <f>IFERROR(SUMIF(data!$E:$E,科目余额表!$B540,data!N:N),0)</f>
        <v>0</v>
      </c>
      <c r="S540" s="207">
        <f>IFERROR(SUMIF(data!$E:$E,科目余额表!$B540,data!O:O),0)</f>
        <v>0</v>
      </c>
      <c r="T540" s="207">
        <f>IFERROR(SUMIF(data!$E:$E,科目余额表!$B540,data!P:P),0)</f>
        <v>0</v>
      </c>
      <c r="U540" s="207">
        <f>IFERROR(SUMIF(data!$E:$E,科目余额表!$B540,data!Q:Q),0)</f>
        <v>0</v>
      </c>
      <c r="V540" s="207">
        <f>IFERROR(SUMIF(data!$E:$E,科目余额表!$B540,data!R:R),0)</f>
        <v>0</v>
      </c>
      <c r="W540" s="207">
        <f>IFERROR(SUMIF(data!$E:$E,科目余额表!$B540,data!S:S),0)</f>
        <v>0</v>
      </c>
      <c r="X540" s="207">
        <f t="shared" si="11"/>
        <v>0</v>
      </c>
      <c r="Y540" s="207"/>
      <c r="Z540" s="207"/>
      <c r="AA540" s="207"/>
      <c r="AB540" s="207"/>
      <c r="AC540" s="207"/>
      <c r="AD540" s="207"/>
      <c r="AE540" s="207"/>
      <c r="AF540" s="207"/>
    </row>
    <row r="541" spans="1:32" s="214" customFormat="1" ht="11.65" customHeight="1">
      <c r="A541" s="215"/>
      <c r="B541" s="220">
        <v>65322</v>
      </c>
      <c r="C541" s="205" t="s">
        <v>820</v>
      </c>
      <c r="D541" s="221">
        <f t="shared" ref="D541:D604" si="13">-SUM(L541:V541)</f>
        <v>0</v>
      </c>
      <c r="E541" s="221">
        <v>0</v>
      </c>
      <c r="F541" s="222">
        <f t="shared" si="12"/>
        <v>0</v>
      </c>
      <c r="G541" s="205" t="s">
        <v>804</v>
      </c>
      <c r="H541" s="225" t="s">
        <v>671</v>
      </c>
      <c r="J541" s="207" t="s">
        <v>795</v>
      </c>
      <c r="K541" s="207"/>
      <c r="L541" s="207">
        <f>IFERROR(SUMIF(data!$E:$E,科目余额表!$B541,data!H:H),0)</f>
        <v>0</v>
      </c>
      <c r="M541" s="207">
        <f>IFERROR(SUMIF(data!$E:$E,科目余额表!$B541,data!I:I),0)</f>
        <v>0</v>
      </c>
      <c r="N541" s="207">
        <f>IFERROR(SUMIF(data!$E:$E,科目余额表!$B541,data!J:J),0)</f>
        <v>0</v>
      </c>
      <c r="O541" s="207">
        <f>IFERROR(SUMIF(data!$E:$E,科目余额表!$B541,data!K:K),0)</f>
        <v>0</v>
      </c>
      <c r="P541" s="207">
        <f>IFERROR(SUMIF(data!$E:$E,科目余额表!$B541,data!L:L),0)</f>
        <v>0</v>
      </c>
      <c r="Q541" s="207">
        <f>IFERROR(SUMIF(data!$E:$E,科目余额表!$B541,data!M:M),0)</f>
        <v>0</v>
      </c>
      <c r="R541" s="207">
        <f>IFERROR(SUMIF(data!$E:$E,科目余额表!$B541,data!N:N),0)</f>
        <v>0</v>
      </c>
      <c r="S541" s="207">
        <f>IFERROR(SUMIF(data!$E:$E,科目余额表!$B541,data!O:O),0)</f>
        <v>0</v>
      </c>
      <c r="T541" s="207">
        <f>IFERROR(SUMIF(data!$E:$E,科目余额表!$B541,data!P:P),0)</f>
        <v>0</v>
      </c>
      <c r="U541" s="207">
        <f>IFERROR(SUMIF(data!$E:$E,科目余额表!$B541,data!Q:Q),0)</f>
        <v>0</v>
      </c>
      <c r="V541" s="207">
        <f>IFERROR(SUMIF(data!$E:$E,科目余额表!$B541,data!R:R),0)</f>
        <v>0</v>
      </c>
      <c r="W541" s="207">
        <f>IFERROR(SUMIF(data!$E:$E,科目余额表!$B541,data!S:S),0)</f>
        <v>0</v>
      </c>
      <c r="X541" s="207">
        <f t="shared" ref="X541:X604" si="14">SUM(L541:W541)</f>
        <v>0</v>
      </c>
      <c r="Y541" s="207"/>
      <c r="Z541" s="207"/>
      <c r="AA541" s="207"/>
      <c r="AB541" s="207"/>
      <c r="AC541" s="207"/>
      <c r="AD541" s="207"/>
      <c r="AE541" s="207"/>
      <c r="AF541" s="207"/>
    </row>
    <row r="542" spans="1:32" s="214" customFormat="1" ht="11.65" customHeight="1">
      <c r="A542" s="215"/>
      <c r="B542" s="220">
        <v>65323</v>
      </c>
      <c r="C542" s="205" t="s">
        <v>821</v>
      </c>
      <c r="D542" s="221">
        <f t="shared" si="13"/>
        <v>44738.840000000004</v>
      </c>
      <c r="E542" s="221">
        <v>0</v>
      </c>
      <c r="F542" s="222">
        <f t="shared" si="12"/>
        <v>44738.840000000004</v>
      </c>
      <c r="G542" s="205" t="s">
        <v>804</v>
      </c>
      <c r="H542" s="225" t="s">
        <v>671</v>
      </c>
      <c r="J542" s="207" t="s">
        <v>795</v>
      </c>
      <c r="K542" s="207"/>
      <c r="L542" s="207">
        <f>IFERROR(SUMIF(data!$E:$E,科目余额表!$B542,data!H:H),0)</f>
        <v>0</v>
      </c>
      <c r="M542" s="207">
        <f>IFERROR(SUMIF(data!$E:$E,科目余额表!$B542,data!I:I),0)</f>
        <v>0</v>
      </c>
      <c r="N542" s="207">
        <f>IFERROR(SUMIF(data!$E:$E,科目余额表!$B542,data!J:J),0)</f>
        <v>0</v>
      </c>
      <c r="O542" s="207">
        <f>IFERROR(SUMIF(data!$E:$E,科目余额表!$B542,data!K:K),0)</f>
        <v>0</v>
      </c>
      <c r="P542" s="207">
        <f>IFERROR(SUMIF(data!$E:$E,科目余额表!$B542,data!L:L),0)</f>
        <v>0</v>
      </c>
      <c r="Q542" s="207">
        <f>IFERROR(SUMIF(data!$E:$E,科目余额表!$B542,data!M:M),0)</f>
        <v>0</v>
      </c>
      <c r="R542" s="207">
        <f>IFERROR(SUMIF(data!$E:$E,科目余额表!$B542,data!N:N),0)</f>
        <v>0</v>
      </c>
      <c r="S542" s="207">
        <f>IFERROR(SUMIF(data!$E:$E,科目余额表!$B542,data!O:O),0)</f>
        <v>0</v>
      </c>
      <c r="T542" s="207">
        <f>IFERROR(SUMIF(data!$E:$E,科目余额表!$B542,data!P:P),0)</f>
        <v>0</v>
      </c>
      <c r="U542" s="207">
        <f>IFERROR(SUMIF(data!$E:$E,科目余额表!$B542,data!Q:Q),0)</f>
        <v>-70006.33</v>
      </c>
      <c r="V542" s="207">
        <f>IFERROR(SUMIF(data!$E:$E,科目余额表!$B542,data!R:R),0)</f>
        <v>25267.489999999998</v>
      </c>
      <c r="W542" s="207">
        <f>IFERROR(SUMIF(data!$E:$E,科目余额表!$B542,data!S:S),0)</f>
        <v>0</v>
      </c>
      <c r="X542" s="207">
        <f t="shared" si="14"/>
        <v>-44738.840000000004</v>
      </c>
      <c r="Y542" s="207"/>
      <c r="Z542" s="207"/>
      <c r="AA542" s="207"/>
      <c r="AB542" s="207"/>
      <c r="AC542" s="207"/>
      <c r="AD542" s="207"/>
      <c r="AE542" s="207"/>
      <c r="AF542" s="207"/>
    </row>
    <row r="543" spans="1:32" s="214" customFormat="1" ht="11.65" customHeight="1">
      <c r="A543" s="215"/>
      <c r="B543" s="220">
        <v>65324</v>
      </c>
      <c r="C543" s="205" t="s">
        <v>822</v>
      </c>
      <c r="D543" s="221">
        <f t="shared" si="13"/>
        <v>0</v>
      </c>
      <c r="E543" s="221">
        <v>0</v>
      </c>
      <c r="F543" s="222">
        <f t="shared" si="12"/>
        <v>0</v>
      </c>
      <c r="G543" s="205" t="s">
        <v>804</v>
      </c>
      <c r="H543" s="225" t="s">
        <v>671</v>
      </c>
      <c r="J543" s="207" t="s">
        <v>795</v>
      </c>
      <c r="K543" s="207"/>
      <c r="L543" s="207">
        <f>IFERROR(SUMIF(data!$E:$E,科目余额表!$B543,data!H:H),0)</f>
        <v>0</v>
      </c>
      <c r="M543" s="207">
        <f>IFERROR(SUMIF(data!$E:$E,科目余额表!$B543,data!I:I),0)</f>
        <v>0</v>
      </c>
      <c r="N543" s="207">
        <f>IFERROR(SUMIF(data!$E:$E,科目余额表!$B543,data!J:J),0)</f>
        <v>0</v>
      </c>
      <c r="O543" s="207">
        <f>IFERROR(SUMIF(data!$E:$E,科目余额表!$B543,data!K:K),0)</f>
        <v>0</v>
      </c>
      <c r="P543" s="207">
        <f>IFERROR(SUMIF(data!$E:$E,科目余额表!$B543,data!L:L),0)</f>
        <v>0</v>
      </c>
      <c r="Q543" s="207">
        <f>IFERROR(SUMIF(data!$E:$E,科目余额表!$B543,data!M:M),0)</f>
        <v>0</v>
      </c>
      <c r="R543" s="207">
        <f>IFERROR(SUMIF(data!$E:$E,科目余额表!$B543,data!N:N),0)</f>
        <v>0</v>
      </c>
      <c r="S543" s="207">
        <f>IFERROR(SUMIF(data!$E:$E,科目余额表!$B543,data!O:O),0)</f>
        <v>0</v>
      </c>
      <c r="T543" s="207">
        <f>IFERROR(SUMIF(data!$E:$E,科目余额表!$B543,data!P:P),0)</f>
        <v>0</v>
      </c>
      <c r="U543" s="207">
        <f>IFERROR(SUMIF(data!$E:$E,科目余额表!$B543,data!Q:Q),0)</f>
        <v>0</v>
      </c>
      <c r="V543" s="207">
        <f>IFERROR(SUMIF(data!$E:$E,科目余额表!$B543,data!R:R),0)</f>
        <v>0</v>
      </c>
      <c r="W543" s="207">
        <f>IFERROR(SUMIF(data!$E:$E,科目余额表!$B543,data!S:S),0)</f>
        <v>0</v>
      </c>
      <c r="X543" s="207">
        <f t="shared" si="14"/>
        <v>0</v>
      </c>
      <c r="Y543" s="207"/>
      <c r="Z543" s="207"/>
      <c r="AA543" s="207"/>
      <c r="AB543" s="207"/>
      <c r="AC543" s="207"/>
      <c r="AD543" s="207"/>
      <c r="AE543" s="207"/>
      <c r="AF543" s="207"/>
    </row>
    <row r="544" spans="1:32" s="214" customFormat="1" ht="11.65" customHeight="1">
      <c r="A544" s="215"/>
      <c r="B544" s="220">
        <v>65325</v>
      </c>
      <c r="C544" s="205" t="s">
        <v>823</v>
      </c>
      <c r="D544" s="221">
        <f t="shared" si="13"/>
        <v>3126146.1399999997</v>
      </c>
      <c r="E544" s="221">
        <v>108117.44</v>
      </c>
      <c r="F544" s="222">
        <f t="shared" si="12"/>
        <v>3234263.5799999996</v>
      </c>
      <c r="G544" s="205" t="s">
        <v>804</v>
      </c>
      <c r="H544" s="225" t="s">
        <v>671</v>
      </c>
      <c r="J544" s="207" t="s">
        <v>795</v>
      </c>
      <c r="K544" s="207"/>
      <c r="L544" s="226">
        <f>IFERROR(SUMIF(data!$E:$E,科目余额表!$B544,data!H:H),0)</f>
        <v>-321618.23</v>
      </c>
      <c r="M544" s="207">
        <f>IFERROR(SUMIF(data!$E:$E,科目余额表!$B544,data!I:I),0)</f>
        <v>-370937.31999999995</v>
      </c>
      <c r="N544" s="207">
        <f>IFERROR(SUMIF(data!$E:$E,科目余额表!$B544,data!J:J),0)</f>
        <v>-449332.04999999993</v>
      </c>
      <c r="O544" s="207">
        <f>IFERROR(SUMIF(data!$E:$E,科目余额表!$B544,data!K:K),0)</f>
        <v>-206753.48</v>
      </c>
      <c r="P544" s="207">
        <f>IFERROR(SUMIF(data!$E:$E,科目余额表!$B544,data!L:L),0)</f>
        <v>-267693.23</v>
      </c>
      <c r="Q544" s="207">
        <f>IFERROR(SUMIF(data!$E:$E,科目余额表!$B544,data!M:M),0)</f>
        <v>-274082.86</v>
      </c>
      <c r="R544" s="207">
        <f>IFERROR(SUMIF(data!$E:$E,科目余额表!$B544,data!N:N),0)</f>
        <v>-240210.9</v>
      </c>
      <c r="S544" s="207">
        <f>IFERROR(SUMIF(data!$E:$E,科目余额表!$B544,data!O:O),0)</f>
        <v>-238857.21000000002</v>
      </c>
      <c r="T544" s="207">
        <f>IFERROR(SUMIF(data!$E:$E,科目余额表!$B544,data!P:P),0)</f>
        <v>-235107.54</v>
      </c>
      <c r="U544" s="207">
        <f>IFERROR(SUMIF(data!$E:$E,科目余额表!$B544,data!Q:Q),0)</f>
        <v>-266881.04000000004</v>
      </c>
      <c r="V544" s="207">
        <f>IFERROR(SUMIF(data!$E:$E,科目余额表!$B544,data!R:R),0)</f>
        <v>-254672.28</v>
      </c>
      <c r="W544" s="207">
        <f>IFERROR(SUMIF(data!$E:$E,科目余额表!$B544,data!S:S),0)</f>
        <v>-108117.44</v>
      </c>
      <c r="X544" s="207">
        <f t="shared" si="14"/>
        <v>-3234263.5799999996</v>
      </c>
      <c r="Y544" s="207"/>
      <c r="Z544" s="207"/>
      <c r="AA544" s="207"/>
      <c r="AB544" s="207"/>
      <c r="AC544" s="207"/>
      <c r="AD544" s="207"/>
      <c r="AE544" s="207"/>
      <c r="AF544" s="207"/>
    </row>
    <row r="545" spans="1:32" s="214" customFormat="1" ht="11.65" customHeight="1">
      <c r="A545" s="215"/>
      <c r="B545" s="220">
        <v>65327</v>
      </c>
      <c r="C545" s="205" t="s">
        <v>824</v>
      </c>
      <c r="D545" s="221">
        <f t="shared" si="13"/>
        <v>0</v>
      </c>
      <c r="E545" s="221">
        <v>0</v>
      </c>
      <c r="F545" s="222">
        <f t="shared" si="12"/>
        <v>0</v>
      </c>
      <c r="G545" s="205" t="s">
        <v>804</v>
      </c>
      <c r="H545" s="225" t="s">
        <v>671</v>
      </c>
      <c r="J545" s="207" t="s">
        <v>795</v>
      </c>
      <c r="K545" s="207"/>
      <c r="L545" s="226">
        <f>IFERROR(SUMIF(data!$E:$E,科目余额表!$B545,data!H:H),0)</f>
        <v>0</v>
      </c>
      <c r="M545" s="207">
        <f>IFERROR(SUMIF(data!$E:$E,科目余额表!$B545,data!I:I),0)</f>
        <v>0</v>
      </c>
      <c r="N545" s="207">
        <f>IFERROR(SUMIF(data!$E:$E,科目余额表!$B545,data!J:J),0)</f>
        <v>0</v>
      </c>
      <c r="O545" s="207">
        <f>IFERROR(SUMIF(data!$E:$E,科目余额表!$B545,data!K:K),0)</f>
        <v>0</v>
      </c>
      <c r="P545" s="207">
        <f>IFERROR(SUMIF(data!$E:$E,科目余额表!$B545,data!L:L),0)</f>
        <v>0</v>
      </c>
      <c r="Q545" s="207">
        <f>IFERROR(SUMIF(data!$E:$E,科目余额表!$B545,data!M:M),0)</f>
        <v>0</v>
      </c>
      <c r="R545" s="207">
        <f>IFERROR(SUMIF(data!$E:$E,科目余额表!$B545,data!N:N),0)</f>
        <v>0</v>
      </c>
      <c r="S545" s="207">
        <f>IFERROR(SUMIF(data!$E:$E,科目余额表!$B545,data!O:O),0)</f>
        <v>0</v>
      </c>
      <c r="T545" s="207">
        <f>IFERROR(SUMIF(data!$E:$E,科目余额表!$B545,data!P:P),0)</f>
        <v>0</v>
      </c>
      <c r="U545" s="207">
        <f>IFERROR(SUMIF(data!$E:$E,科目余额表!$B545,data!Q:Q),0)</f>
        <v>0</v>
      </c>
      <c r="V545" s="207">
        <f>IFERROR(SUMIF(data!$E:$E,科目余额表!$B545,data!R:R),0)</f>
        <v>0</v>
      </c>
      <c r="W545" s="207">
        <f>IFERROR(SUMIF(data!$E:$E,科目余额表!$B545,data!S:S),0)</f>
        <v>0</v>
      </c>
      <c r="X545" s="207">
        <f t="shared" si="14"/>
        <v>0</v>
      </c>
      <c r="Y545" s="207"/>
      <c r="Z545" s="207"/>
      <c r="AA545" s="207"/>
      <c r="AB545" s="207"/>
      <c r="AC545" s="207"/>
      <c r="AD545" s="207"/>
      <c r="AE545" s="207"/>
      <c r="AF545" s="207"/>
    </row>
    <row r="546" spans="1:32" s="214" customFormat="1" ht="11.65" customHeight="1">
      <c r="A546" s="215"/>
      <c r="B546" s="220">
        <v>65328</v>
      </c>
      <c r="C546" s="205" t="s">
        <v>825</v>
      </c>
      <c r="D546" s="221">
        <f t="shared" si="13"/>
        <v>0</v>
      </c>
      <c r="E546" s="221">
        <v>0</v>
      </c>
      <c r="F546" s="222">
        <f t="shared" si="12"/>
        <v>0</v>
      </c>
      <c r="G546" s="205" t="s">
        <v>804</v>
      </c>
      <c r="H546" s="225" t="s">
        <v>671</v>
      </c>
      <c r="J546" s="207" t="s">
        <v>795</v>
      </c>
      <c r="K546" s="207"/>
      <c r="L546" s="226">
        <f>IFERROR(SUMIF(data!$E:$E,科目余额表!$B546,data!H:H),0)</f>
        <v>0</v>
      </c>
      <c r="M546" s="207">
        <f>IFERROR(SUMIF(data!$E:$E,科目余额表!$B546,data!I:I),0)</f>
        <v>0</v>
      </c>
      <c r="N546" s="207">
        <f>IFERROR(SUMIF(data!$E:$E,科目余额表!$B546,data!J:J),0)</f>
        <v>0</v>
      </c>
      <c r="O546" s="207">
        <f>IFERROR(SUMIF(data!$E:$E,科目余额表!$B546,data!K:K),0)</f>
        <v>0</v>
      </c>
      <c r="P546" s="207">
        <f>IFERROR(SUMIF(data!$E:$E,科目余额表!$B546,data!L:L),0)</f>
        <v>0</v>
      </c>
      <c r="Q546" s="207">
        <f>IFERROR(SUMIF(data!$E:$E,科目余额表!$B546,data!M:M),0)</f>
        <v>0</v>
      </c>
      <c r="R546" s="207">
        <f>IFERROR(SUMIF(data!$E:$E,科目余额表!$B546,data!N:N),0)</f>
        <v>0</v>
      </c>
      <c r="S546" s="207">
        <f>IFERROR(SUMIF(data!$E:$E,科目余额表!$B546,data!O:O),0)</f>
        <v>0</v>
      </c>
      <c r="T546" s="207">
        <f>IFERROR(SUMIF(data!$E:$E,科目余额表!$B546,data!P:P),0)</f>
        <v>0</v>
      </c>
      <c r="U546" s="207">
        <f>IFERROR(SUMIF(data!$E:$E,科目余额表!$B546,data!Q:Q),0)</f>
        <v>0</v>
      </c>
      <c r="V546" s="207">
        <f>IFERROR(SUMIF(data!$E:$E,科目余额表!$B546,data!R:R),0)</f>
        <v>0</v>
      </c>
      <c r="W546" s="207">
        <f>IFERROR(SUMIF(data!$E:$E,科目余额表!$B546,data!S:S),0)</f>
        <v>0</v>
      </c>
      <c r="X546" s="207">
        <f t="shared" si="14"/>
        <v>0</v>
      </c>
      <c r="Y546" s="207"/>
      <c r="Z546" s="207"/>
      <c r="AA546" s="207"/>
      <c r="AB546" s="207"/>
      <c r="AC546" s="207"/>
      <c r="AD546" s="207"/>
      <c r="AE546" s="207"/>
      <c r="AF546" s="207"/>
    </row>
    <row r="547" spans="1:32" s="214" customFormat="1" ht="11.65" customHeight="1">
      <c r="A547" s="215"/>
      <c r="B547" s="220">
        <v>65329</v>
      </c>
      <c r="C547" s="205" t="s">
        <v>826</v>
      </c>
      <c r="D547" s="221">
        <f t="shared" si="13"/>
        <v>0</v>
      </c>
      <c r="E547" s="221">
        <v>0</v>
      </c>
      <c r="F547" s="222">
        <f t="shared" si="12"/>
        <v>0</v>
      </c>
      <c r="G547" s="205" t="s">
        <v>798</v>
      </c>
      <c r="H547" s="225" t="s">
        <v>671</v>
      </c>
      <c r="J547" s="207" t="s">
        <v>795</v>
      </c>
      <c r="K547" s="207"/>
      <c r="L547" s="226">
        <f>IFERROR(SUMIF(data!$E:$E,科目余额表!$B547,data!H:H),0)</f>
        <v>0</v>
      </c>
      <c r="M547" s="207">
        <f>IFERROR(SUMIF(data!$E:$E,科目余额表!$B547,data!I:I),0)</f>
        <v>0</v>
      </c>
      <c r="N547" s="207">
        <f>IFERROR(SUMIF(data!$E:$E,科目余额表!$B547,data!J:J),0)</f>
        <v>0</v>
      </c>
      <c r="O547" s="207">
        <f>IFERROR(SUMIF(data!$E:$E,科目余额表!$B547,data!K:K),0)</f>
        <v>0</v>
      </c>
      <c r="P547" s="207">
        <f>IFERROR(SUMIF(data!$E:$E,科目余额表!$B547,data!L:L),0)</f>
        <v>0</v>
      </c>
      <c r="Q547" s="207">
        <f>IFERROR(SUMIF(data!$E:$E,科目余额表!$B547,data!M:M),0)</f>
        <v>0</v>
      </c>
      <c r="R547" s="207">
        <f>IFERROR(SUMIF(data!$E:$E,科目余额表!$B547,data!N:N),0)</f>
        <v>0</v>
      </c>
      <c r="S547" s="207">
        <f>IFERROR(SUMIF(data!$E:$E,科目余额表!$B547,data!O:O),0)</f>
        <v>0</v>
      </c>
      <c r="T547" s="207">
        <f>IFERROR(SUMIF(data!$E:$E,科目余额表!$B547,data!P:P),0)</f>
        <v>0</v>
      </c>
      <c r="U547" s="207">
        <f>IFERROR(SUMIF(data!$E:$E,科目余额表!$B547,data!Q:Q),0)</f>
        <v>0</v>
      </c>
      <c r="V547" s="207">
        <f>IFERROR(SUMIF(data!$E:$E,科目余额表!$B547,data!R:R),0)</f>
        <v>0</v>
      </c>
      <c r="W547" s="207">
        <f>IFERROR(SUMIF(data!$E:$E,科目余额表!$B547,data!S:S),0)</f>
        <v>0</v>
      </c>
      <c r="X547" s="207">
        <f t="shared" si="14"/>
        <v>0</v>
      </c>
      <c r="Y547" s="207"/>
      <c r="Z547" s="207"/>
      <c r="AA547" s="207"/>
      <c r="AB547" s="207"/>
      <c r="AC547" s="207"/>
      <c r="AD547" s="207"/>
      <c r="AE547" s="207"/>
      <c r="AF547" s="207"/>
    </row>
    <row r="548" spans="1:32" s="214" customFormat="1" ht="11.65" customHeight="1">
      <c r="A548" s="215"/>
      <c r="B548" s="220">
        <v>65330</v>
      </c>
      <c r="C548" s="205" t="s">
        <v>827</v>
      </c>
      <c r="D548" s="221">
        <f t="shared" si="13"/>
        <v>25097.75</v>
      </c>
      <c r="E548" s="221">
        <v>2460.42</v>
      </c>
      <c r="F548" s="222">
        <f t="shared" si="12"/>
        <v>27558.17</v>
      </c>
      <c r="G548" s="205" t="s">
        <v>804</v>
      </c>
      <c r="H548" s="225" t="s">
        <v>671</v>
      </c>
      <c r="J548" s="207" t="s">
        <v>795</v>
      </c>
      <c r="K548" s="207"/>
      <c r="L548" s="226">
        <f>IFERROR(SUMIF(data!$E:$E,科目余额表!$B548,data!H:H),0)</f>
        <v>-3586.9599999999996</v>
      </c>
      <c r="M548" s="207">
        <f>IFERROR(SUMIF(data!$E:$E,科目余额表!$B548,data!I:I),0)</f>
        <v>-2672.35</v>
      </c>
      <c r="N548" s="207">
        <f>IFERROR(SUMIF(data!$E:$E,科目余额表!$B548,data!J:J),0)</f>
        <v>-4319.7299999999996</v>
      </c>
      <c r="O548" s="207">
        <f>IFERROR(SUMIF(data!$E:$E,科目余额表!$B548,data!K:K),0)</f>
        <v>-2917.73</v>
      </c>
      <c r="P548" s="207">
        <f>IFERROR(SUMIF(data!$E:$E,科目余额表!$B548,data!L:L),0)</f>
        <v>-3932.880000000001</v>
      </c>
      <c r="Q548" s="207">
        <f>IFERROR(SUMIF(data!$E:$E,科目余额表!$B548,data!M:M),0)</f>
        <v>-938.25</v>
      </c>
      <c r="R548" s="207">
        <f>IFERROR(SUMIF(data!$E:$E,科目余额表!$B548,data!N:N),0)</f>
        <v>-2723.01</v>
      </c>
      <c r="S548" s="207">
        <f>IFERROR(SUMIF(data!$E:$E,科目余额表!$B548,data!O:O),0)</f>
        <v>-3.3599999999999</v>
      </c>
      <c r="T548" s="207">
        <f>IFERROR(SUMIF(data!$E:$E,科目余额表!$B548,data!P:P),0)</f>
        <v>-1522.12</v>
      </c>
      <c r="U548" s="207">
        <f>IFERROR(SUMIF(data!$E:$E,科目余额表!$B548,data!Q:Q),0)</f>
        <v>-1625.76</v>
      </c>
      <c r="V548" s="207">
        <f>IFERROR(SUMIF(data!$E:$E,科目余额表!$B548,data!R:R),0)</f>
        <v>-855.6</v>
      </c>
      <c r="W548" s="207">
        <f>IFERROR(SUMIF(data!$E:$E,科目余额表!$B548,data!S:S),0)</f>
        <v>-2460.42</v>
      </c>
      <c r="X548" s="207">
        <f t="shared" si="14"/>
        <v>-27558.17</v>
      </c>
      <c r="Y548" s="207"/>
      <c r="Z548" s="207"/>
      <c r="AA548" s="207"/>
      <c r="AB548" s="207"/>
      <c r="AC548" s="207"/>
      <c r="AD548" s="207"/>
      <c r="AE548" s="207"/>
      <c r="AF548" s="207"/>
    </row>
    <row r="549" spans="1:32" s="214" customFormat="1" ht="11.65" customHeight="1">
      <c r="A549" s="215"/>
      <c r="B549" s="220">
        <v>65331</v>
      </c>
      <c r="C549" s="205" t="s">
        <v>828</v>
      </c>
      <c r="D549" s="221">
        <f t="shared" si="13"/>
        <v>134390.71</v>
      </c>
      <c r="E549" s="221">
        <v>0</v>
      </c>
      <c r="F549" s="222">
        <f t="shared" si="12"/>
        <v>134390.71</v>
      </c>
      <c r="G549" s="205" t="s">
        <v>804</v>
      </c>
      <c r="H549" s="225" t="s">
        <v>671</v>
      </c>
      <c r="J549" s="207" t="s">
        <v>795</v>
      </c>
      <c r="K549" s="207"/>
      <c r="L549" s="226">
        <f>IFERROR(SUMIF(data!$E:$E,科目余额表!$B549,data!H:H),0)</f>
        <v>0</v>
      </c>
      <c r="M549" s="207">
        <f>IFERROR(SUMIF(data!$E:$E,科目余额表!$B549,data!I:I),0)</f>
        <v>0</v>
      </c>
      <c r="N549" s="207">
        <f>IFERROR(SUMIF(data!$E:$E,科目余额表!$B549,data!J:J),0)</f>
        <v>0</v>
      </c>
      <c r="O549" s="207">
        <f>IFERROR(SUMIF(data!$E:$E,科目余额表!$B549,data!K:K),0)</f>
        <v>0</v>
      </c>
      <c r="P549" s="207">
        <f>IFERROR(SUMIF(data!$E:$E,科目余额表!$B549,data!L:L),0)</f>
        <v>0</v>
      </c>
      <c r="Q549" s="207">
        <f>IFERROR(SUMIF(data!$E:$E,科目余额表!$B549,data!M:M),0)</f>
        <v>0</v>
      </c>
      <c r="R549" s="207">
        <f>IFERROR(SUMIF(data!$E:$E,科目余额表!$B549,data!N:N),0)</f>
        <v>0</v>
      </c>
      <c r="S549" s="207">
        <f>IFERROR(SUMIF(data!$E:$E,科目余额表!$B549,data!O:O),0)</f>
        <v>0</v>
      </c>
      <c r="T549" s="207">
        <f>IFERROR(SUMIF(data!$E:$E,科目余额表!$B549,data!P:P),0)</f>
        <v>0</v>
      </c>
      <c r="U549" s="207">
        <f>IFERROR(SUMIF(data!$E:$E,科目余额表!$B549,data!Q:Q),0)</f>
        <v>-134390.71</v>
      </c>
      <c r="V549" s="207">
        <f>IFERROR(SUMIF(data!$E:$E,科目余额表!$B549,data!R:R),0)</f>
        <v>0</v>
      </c>
      <c r="W549" s="207">
        <f>IFERROR(SUMIF(data!$E:$E,科目余额表!$B549,data!S:S),0)</f>
        <v>0</v>
      </c>
      <c r="X549" s="207">
        <f t="shared" si="14"/>
        <v>-134390.71</v>
      </c>
      <c r="Y549" s="207"/>
      <c r="Z549" s="207"/>
      <c r="AA549" s="207"/>
      <c r="AB549" s="207"/>
      <c r="AC549" s="207"/>
      <c r="AD549" s="207"/>
      <c r="AE549" s="207"/>
      <c r="AF549" s="207"/>
    </row>
    <row r="550" spans="1:32" s="214" customFormat="1" ht="11.65" customHeight="1">
      <c r="A550" s="215"/>
      <c r="B550" s="220">
        <v>65332</v>
      </c>
      <c r="C550" s="205" t="s">
        <v>829</v>
      </c>
      <c r="D550" s="221">
        <f t="shared" si="13"/>
        <v>0</v>
      </c>
      <c r="E550" s="221">
        <v>0</v>
      </c>
      <c r="F550" s="222">
        <f t="shared" si="12"/>
        <v>0</v>
      </c>
      <c r="G550" s="205" t="s">
        <v>804</v>
      </c>
      <c r="H550" s="225" t="s">
        <v>671</v>
      </c>
      <c r="J550" s="207" t="s">
        <v>795</v>
      </c>
      <c r="K550" s="207"/>
      <c r="L550" s="226">
        <f>IFERROR(SUMIF(data!$E:$E,科目余额表!$B550,data!H:H),0)</f>
        <v>0</v>
      </c>
      <c r="M550" s="207">
        <f>IFERROR(SUMIF(data!$E:$E,科目余额表!$B550,data!I:I),0)</f>
        <v>0</v>
      </c>
      <c r="N550" s="207">
        <f>IFERROR(SUMIF(data!$E:$E,科目余额表!$B550,data!J:J),0)</f>
        <v>0</v>
      </c>
      <c r="O550" s="207">
        <f>IFERROR(SUMIF(data!$E:$E,科目余额表!$B550,data!K:K),0)</f>
        <v>0</v>
      </c>
      <c r="P550" s="207">
        <f>IFERROR(SUMIF(data!$E:$E,科目余额表!$B550,data!L:L),0)</f>
        <v>0</v>
      </c>
      <c r="Q550" s="207">
        <f>IFERROR(SUMIF(data!$E:$E,科目余额表!$B550,data!M:M),0)</f>
        <v>0</v>
      </c>
      <c r="R550" s="207">
        <f>IFERROR(SUMIF(data!$E:$E,科目余额表!$B550,data!N:N),0)</f>
        <v>0</v>
      </c>
      <c r="S550" s="207">
        <f>IFERROR(SUMIF(data!$E:$E,科目余额表!$B550,data!O:O),0)</f>
        <v>0</v>
      </c>
      <c r="T550" s="207">
        <f>IFERROR(SUMIF(data!$E:$E,科目余额表!$B550,data!P:P),0)</f>
        <v>0</v>
      </c>
      <c r="U550" s="207">
        <f>IFERROR(SUMIF(data!$E:$E,科目余额表!$B550,data!Q:Q),0)</f>
        <v>0</v>
      </c>
      <c r="V550" s="207">
        <f>IFERROR(SUMIF(data!$E:$E,科目余额表!$B550,data!R:R),0)</f>
        <v>0</v>
      </c>
      <c r="W550" s="207">
        <f>IFERROR(SUMIF(data!$E:$E,科目余额表!$B550,data!S:S),0)</f>
        <v>0</v>
      </c>
      <c r="X550" s="207">
        <f t="shared" si="14"/>
        <v>0</v>
      </c>
      <c r="Y550" s="207"/>
      <c r="Z550" s="207"/>
      <c r="AA550" s="207"/>
      <c r="AB550" s="207"/>
      <c r="AC550" s="207"/>
      <c r="AD550" s="207"/>
      <c r="AE550" s="207"/>
      <c r="AF550" s="207"/>
    </row>
    <row r="551" spans="1:32" s="214" customFormat="1" ht="11.65" customHeight="1">
      <c r="A551" s="215"/>
      <c r="B551" s="220">
        <v>65399</v>
      </c>
      <c r="C551" s="205" t="s">
        <v>830</v>
      </c>
      <c r="D551" s="221">
        <f t="shared" si="13"/>
        <v>303628.0400000012</v>
      </c>
      <c r="E551" s="221">
        <v>23125.30999999999</v>
      </c>
      <c r="F551" s="222">
        <f t="shared" si="12"/>
        <v>326753.3500000012</v>
      </c>
      <c r="G551" s="205" t="s">
        <v>804</v>
      </c>
      <c r="H551" s="225" t="s">
        <v>671</v>
      </c>
      <c r="J551" s="207" t="s">
        <v>795</v>
      </c>
      <c r="K551" s="207"/>
      <c r="L551" s="226">
        <f>IFERROR(SUMIF(data!$E:$E,科目余额表!$B551,data!H:H),0)</f>
        <v>-23618.23</v>
      </c>
      <c r="M551" s="207">
        <f>IFERROR(SUMIF(data!$E:$E,科目余额表!$B551,data!I:I),0)</f>
        <v>-25687.08</v>
      </c>
      <c r="N551" s="207">
        <f>IFERROR(SUMIF(data!$E:$E,科目余额表!$B551,data!J:J),0)</f>
        <v>-24939.439999999999</v>
      </c>
      <c r="O551" s="207">
        <f>IFERROR(SUMIF(data!$E:$E,科目余额表!$B551,data!K:K),0)</f>
        <v>-38052.190000000017</v>
      </c>
      <c r="P551" s="207">
        <f>IFERROR(SUMIF(data!$E:$E,科目余额表!$B551,data!L:L),0)</f>
        <v>-26423.010000001123</v>
      </c>
      <c r="Q551" s="207">
        <f>IFERROR(SUMIF(data!$E:$E,科目余额表!$B551,data!M:M),0)</f>
        <v>-29303.55000000001</v>
      </c>
      <c r="R551" s="207">
        <f>IFERROR(SUMIF(data!$E:$E,科目余额表!$B551,data!N:N),0)</f>
        <v>-17754.669999999991</v>
      </c>
      <c r="S551" s="207">
        <f>IFERROR(SUMIF(data!$E:$E,科目余额表!$B551,data!O:O),0)</f>
        <v>-35455.969999999987</v>
      </c>
      <c r="T551" s="207">
        <f>IFERROR(SUMIF(data!$E:$E,科目余额表!$B551,data!P:P),0)</f>
        <v>-26720.120000000014</v>
      </c>
      <c r="U551" s="207">
        <f>IFERROR(SUMIF(data!$E:$E,科目余额表!$B551,data!Q:Q),0)</f>
        <v>-31523.99</v>
      </c>
      <c r="V551" s="207">
        <f>IFERROR(SUMIF(data!$E:$E,科目余额表!$B551,data!R:R),0)</f>
        <v>-24149.790000000015</v>
      </c>
      <c r="W551" s="207">
        <f>IFERROR(SUMIF(data!$E:$E,科目余额表!$B551,data!S:S),0)</f>
        <v>-23125.30999999999</v>
      </c>
      <c r="X551" s="207">
        <f t="shared" si="14"/>
        <v>-326753.3500000012</v>
      </c>
      <c r="Y551" s="207"/>
      <c r="Z551" s="207"/>
      <c r="AA551" s="207"/>
      <c r="AB551" s="207"/>
      <c r="AC551" s="207"/>
      <c r="AD551" s="207"/>
      <c r="AE551" s="207"/>
      <c r="AF551" s="207"/>
    </row>
    <row r="552" spans="1:32" s="214" customFormat="1" ht="11.65" customHeight="1">
      <c r="A552" s="215"/>
      <c r="B552" s="220">
        <v>65400</v>
      </c>
      <c r="C552" s="205" t="s">
        <v>831</v>
      </c>
      <c r="D552" s="221">
        <f t="shared" si="13"/>
        <v>557682.67000000004</v>
      </c>
      <c r="E552" s="221">
        <v>16385.299999999996</v>
      </c>
      <c r="F552" s="222">
        <f t="shared" si="12"/>
        <v>574067.97000000009</v>
      </c>
      <c r="G552" s="205" t="s">
        <v>794</v>
      </c>
      <c r="H552" s="225" t="s">
        <v>671</v>
      </c>
      <c r="J552" s="207" t="s">
        <v>832</v>
      </c>
      <c r="K552" s="207"/>
      <c r="L552" s="226">
        <f>IFERROR(SUMIF(data!$E:$E,科目余额表!$B552,data!H:H),0)</f>
        <v>-59800</v>
      </c>
      <c r="M552" s="207">
        <f>IFERROR(SUMIF(data!$E:$E,科目余额表!$B552,data!I:I),0)</f>
        <v>-59800</v>
      </c>
      <c r="N552" s="207">
        <f>IFERROR(SUMIF(data!$E:$E,科目余额表!$B552,data!J:J),0)</f>
        <v>-59800</v>
      </c>
      <c r="O552" s="207">
        <f>IFERROR(SUMIF(data!$E:$E,科目余额表!$B552,data!K:K),0)</f>
        <v>-59800</v>
      </c>
      <c r="P552" s="207">
        <f>IFERROR(SUMIF(data!$E:$E,科目余额表!$B552,data!L:L),0)</f>
        <v>-61946.5</v>
      </c>
      <c r="Q552" s="207">
        <f>IFERROR(SUMIF(data!$E:$E,科目余额表!$B552,data!M:M),0)</f>
        <v>-60992.5</v>
      </c>
      <c r="R552" s="207">
        <f>IFERROR(SUMIF(data!$E:$E,科目余额表!$B552,data!N:N),0)</f>
        <v>-46213.919999999998</v>
      </c>
      <c r="S552" s="207">
        <f>IFERROR(SUMIF(data!$E:$E,科目余额表!$B552,data!O:O),0)</f>
        <v>-42669.25</v>
      </c>
      <c r="T552" s="207">
        <f>IFERROR(SUMIF(data!$E:$E,科目余额表!$B552,data!P:P),0)</f>
        <v>-41449.83</v>
      </c>
      <c r="U552" s="207">
        <f>IFERROR(SUMIF(data!$E:$E,科目余额表!$B552,data!Q:Q),0)</f>
        <v>-30142.510000000002</v>
      </c>
      <c r="V552" s="207">
        <f>IFERROR(SUMIF(data!$E:$E,科目余额表!$B552,data!R:R),0)</f>
        <v>-35068.160000000003</v>
      </c>
      <c r="W552" s="207">
        <f>IFERROR(SUMIF(data!$E:$E,科目余额表!$B552,data!S:S),0)</f>
        <v>-16385.299999999996</v>
      </c>
      <c r="X552" s="207">
        <f t="shared" si="14"/>
        <v>-574067.97000000009</v>
      </c>
      <c r="Y552" s="207"/>
      <c r="Z552" s="207"/>
      <c r="AA552" s="207"/>
      <c r="AB552" s="207"/>
      <c r="AC552" s="207"/>
      <c r="AD552" s="207"/>
      <c r="AE552" s="207"/>
      <c r="AF552" s="207"/>
    </row>
    <row r="553" spans="1:32" s="214" customFormat="1" ht="11.65" customHeight="1">
      <c r="A553" s="215"/>
      <c r="B553" s="220">
        <v>65401</v>
      </c>
      <c r="C553" s="205" t="s">
        <v>833</v>
      </c>
      <c r="D553" s="221">
        <f t="shared" si="13"/>
        <v>302049.96000000002</v>
      </c>
      <c r="E553" s="221">
        <v>11608.51</v>
      </c>
      <c r="F553" s="222">
        <f t="shared" si="12"/>
        <v>313658.47000000003</v>
      </c>
      <c r="G553" s="205" t="s">
        <v>794</v>
      </c>
      <c r="H553" s="225" t="s">
        <v>671</v>
      </c>
      <c r="J553" s="207" t="s">
        <v>832</v>
      </c>
      <c r="K553" s="207"/>
      <c r="L553" s="207">
        <f>IFERROR(SUMIF(data!$E:$E,科目余额表!$B553,data!H:H),0)</f>
        <v>-26923.39</v>
      </c>
      <c r="M553" s="207">
        <f>IFERROR(SUMIF(data!$E:$E,科目余额表!$B553,data!I:I),0)</f>
        <v>-28242.29</v>
      </c>
      <c r="N553" s="207">
        <f>IFERROR(SUMIF(data!$E:$E,科目余额表!$B553,data!J:J),0)</f>
        <v>-25730.020000000004</v>
      </c>
      <c r="O553" s="207">
        <f>IFERROR(SUMIF(data!$E:$E,科目余额表!$B553,data!K:K),0)</f>
        <v>-24864.66</v>
      </c>
      <c r="P553" s="207">
        <f>IFERROR(SUMIF(data!$E:$E,科目余额表!$B553,data!L:L),0)</f>
        <v>-25930.959999999999</v>
      </c>
      <c r="Q553" s="207">
        <f>IFERROR(SUMIF(data!$E:$E,科目余额表!$B553,data!M:M),0)</f>
        <v>-25226</v>
      </c>
      <c r="R553" s="207">
        <f>IFERROR(SUMIF(data!$E:$E,科目余额表!$B553,data!N:N),0)</f>
        <v>-75378.84</v>
      </c>
      <c r="S553" s="207">
        <f>IFERROR(SUMIF(data!$E:$E,科目余额表!$B553,data!O:O),0)</f>
        <v>-19988.34</v>
      </c>
      <c r="T553" s="207">
        <f>IFERROR(SUMIF(data!$E:$E,科目余额表!$B553,data!P:P),0)</f>
        <v>-20273.949999999997</v>
      </c>
      <c r="U553" s="207">
        <f>IFERROR(SUMIF(data!$E:$E,科目余额表!$B553,data!Q:Q),0)</f>
        <v>-18295.36</v>
      </c>
      <c r="V553" s="207">
        <f>IFERROR(SUMIF(data!$E:$E,科目余额表!$B553,data!R:R),0)</f>
        <v>-11196.15</v>
      </c>
      <c r="W553" s="207">
        <f>IFERROR(SUMIF(data!$E:$E,科目余额表!$B553,data!S:S),0)</f>
        <v>-11608.51</v>
      </c>
      <c r="X553" s="207">
        <f t="shared" si="14"/>
        <v>-313658.47000000003</v>
      </c>
      <c r="Y553" s="207"/>
      <c r="Z553" s="207"/>
      <c r="AA553" s="207"/>
      <c r="AB553" s="207"/>
      <c r="AC553" s="207"/>
      <c r="AD553" s="207"/>
      <c r="AE553" s="207"/>
      <c r="AF553" s="207"/>
    </row>
    <row r="554" spans="1:32" s="214" customFormat="1" ht="11.65" customHeight="1">
      <c r="A554" s="215"/>
      <c r="B554" s="220">
        <v>65500</v>
      </c>
      <c r="C554" s="205" t="s">
        <v>834</v>
      </c>
      <c r="D554" s="221">
        <f t="shared" si="13"/>
        <v>0</v>
      </c>
      <c r="E554" s="221">
        <v>0</v>
      </c>
      <c r="F554" s="222">
        <f t="shared" si="12"/>
        <v>0</v>
      </c>
      <c r="G554" s="205" t="s">
        <v>798</v>
      </c>
      <c r="H554" s="225" t="s">
        <v>671</v>
      </c>
      <c r="J554" s="207" t="s">
        <v>832</v>
      </c>
      <c r="K554" s="207"/>
      <c r="L554" s="207">
        <f>IFERROR(SUMIF(data!$E:$E,科目余额表!$B554,data!H:H),0)</f>
        <v>0</v>
      </c>
      <c r="M554" s="207">
        <f>IFERROR(SUMIF(data!$E:$E,科目余额表!$B554,data!I:I),0)</f>
        <v>0</v>
      </c>
      <c r="N554" s="207">
        <f>IFERROR(SUMIF(data!$E:$E,科目余额表!$B554,data!J:J),0)</f>
        <v>0</v>
      </c>
      <c r="O554" s="207">
        <f>IFERROR(SUMIF(data!$E:$E,科目余额表!$B554,data!K:K),0)</f>
        <v>0</v>
      </c>
      <c r="P554" s="207">
        <f>IFERROR(SUMIF(data!$E:$E,科目余额表!$B554,data!L:L),0)</f>
        <v>0</v>
      </c>
      <c r="Q554" s="207">
        <f>IFERROR(SUMIF(data!$E:$E,科目余额表!$B554,data!M:M),0)</f>
        <v>0</v>
      </c>
      <c r="R554" s="207">
        <f>IFERROR(SUMIF(data!$E:$E,科目余额表!$B554,data!N:N),0)</f>
        <v>0</v>
      </c>
      <c r="S554" s="207">
        <f>IFERROR(SUMIF(data!$E:$E,科目余额表!$B554,data!O:O),0)</f>
        <v>0</v>
      </c>
      <c r="T554" s="207">
        <f>IFERROR(SUMIF(data!$E:$E,科目余额表!$B554,data!P:P),0)</f>
        <v>0</v>
      </c>
      <c r="U554" s="207">
        <f>IFERROR(SUMIF(data!$E:$E,科目余额表!$B554,data!Q:Q),0)</f>
        <v>0</v>
      </c>
      <c r="V554" s="207">
        <f>IFERROR(SUMIF(data!$E:$E,科目余额表!$B554,data!R:R),0)</f>
        <v>0</v>
      </c>
      <c r="W554" s="207">
        <f>IFERROR(SUMIF(data!$E:$E,科目余额表!$B554,data!S:S),0)</f>
        <v>0</v>
      </c>
      <c r="X554" s="207">
        <f t="shared" si="14"/>
        <v>0</v>
      </c>
      <c r="Y554" s="207"/>
      <c r="Z554" s="207"/>
      <c r="AA554" s="207"/>
      <c r="AB554" s="207"/>
      <c r="AC554" s="207"/>
      <c r="AD554" s="207"/>
      <c r="AE554" s="207"/>
      <c r="AF554" s="207"/>
    </row>
    <row r="555" spans="1:32" s="214" customFormat="1" ht="11.65" customHeight="1">
      <c r="A555" s="215"/>
      <c r="B555" s="220">
        <v>65600</v>
      </c>
      <c r="C555" s="205" t="s">
        <v>835</v>
      </c>
      <c r="D555" s="221">
        <f t="shared" si="13"/>
        <v>4700526.1099999994</v>
      </c>
      <c r="E555" s="221">
        <v>262442.08999999997</v>
      </c>
      <c r="F555" s="222">
        <f t="shared" si="12"/>
        <v>4962968.1999999993</v>
      </c>
      <c r="G555" s="205" t="s">
        <v>800</v>
      </c>
      <c r="H555" s="225" t="s">
        <v>671</v>
      </c>
      <c r="J555" s="207" t="s">
        <v>832</v>
      </c>
      <c r="K555" s="207"/>
      <c r="L555" s="207">
        <f>IFERROR(SUMIF(data!$E:$E,科目余额表!$B555,data!H:H),0)</f>
        <v>-332343.81</v>
      </c>
      <c r="M555" s="207">
        <f>IFERROR(SUMIF(data!$E:$E,科目余额表!$B555,data!I:I),0)</f>
        <v>-332343.8</v>
      </c>
      <c r="N555" s="207">
        <f>IFERROR(SUMIF(data!$E:$E,科目余额表!$B555,data!J:J),0)</f>
        <v>-414948.62999999995</v>
      </c>
      <c r="O555" s="207">
        <f>IFERROR(SUMIF(data!$E:$E,科目余额表!$B555,data!K:K),0)</f>
        <v>-420316.1</v>
      </c>
      <c r="P555" s="207">
        <f>IFERROR(SUMIF(data!$E:$E,科目余额表!$B555,data!L:L),0)</f>
        <v>-420316.1</v>
      </c>
      <c r="Q555" s="207">
        <f>IFERROR(SUMIF(data!$E:$E,科目余额表!$B555,data!M:M),0)</f>
        <v>-420316.1</v>
      </c>
      <c r="R555" s="207">
        <f>IFERROR(SUMIF(data!$E:$E,科目余额表!$B555,data!N:N),0)</f>
        <v>-420316.1</v>
      </c>
      <c r="S555" s="207">
        <f>IFERROR(SUMIF(data!$E:$E,科目余额表!$B555,data!O:O),0)</f>
        <v>-789403.34</v>
      </c>
      <c r="T555" s="207">
        <f>IFERROR(SUMIF(data!$E:$E,科目余额表!$B555,data!P:P),0)</f>
        <v>-383407.38</v>
      </c>
      <c r="U555" s="207">
        <f>IFERROR(SUMIF(data!$E:$E,科目余额表!$B555,data!Q:Q),0)</f>
        <v>-383407.37</v>
      </c>
      <c r="V555" s="207">
        <f>IFERROR(SUMIF(data!$E:$E,科目余额表!$B555,data!R:R),0)</f>
        <v>-383407.38</v>
      </c>
      <c r="W555" s="207">
        <f>IFERROR(SUMIF(data!$E:$E,科目余额表!$B555,data!S:S),0)</f>
        <v>-262442.08999999997</v>
      </c>
      <c r="X555" s="207">
        <f t="shared" si="14"/>
        <v>-4962968.1999999993</v>
      </c>
      <c r="Y555" s="207"/>
      <c r="Z555" s="207"/>
      <c r="AA555" s="207"/>
      <c r="AB555" s="207"/>
      <c r="AC555" s="207"/>
      <c r="AD555" s="207"/>
      <c r="AE555" s="207"/>
      <c r="AF555" s="207"/>
    </row>
    <row r="556" spans="1:32" s="214" customFormat="1" ht="11.65" customHeight="1">
      <c r="A556" s="215"/>
      <c r="B556" s="220">
        <v>65601</v>
      </c>
      <c r="C556" s="205" t="s">
        <v>836</v>
      </c>
      <c r="D556" s="221">
        <f t="shared" si="13"/>
        <v>0</v>
      </c>
      <c r="E556" s="221">
        <v>0</v>
      </c>
      <c r="F556" s="222">
        <f t="shared" si="12"/>
        <v>0</v>
      </c>
      <c r="G556" s="205" t="s">
        <v>802</v>
      </c>
      <c r="H556" s="225" t="s">
        <v>671</v>
      </c>
      <c r="J556" s="207" t="s">
        <v>832</v>
      </c>
      <c r="K556" s="207"/>
      <c r="L556" s="207">
        <f>IFERROR(SUMIF(data!$E:$E,科目余额表!$B556,data!H:H),0)</f>
        <v>0</v>
      </c>
      <c r="M556" s="207">
        <f>IFERROR(SUMIF(data!$E:$E,科目余额表!$B556,data!I:I),0)</f>
        <v>0</v>
      </c>
      <c r="N556" s="207">
        <f>IFERROR(SUMIF(data!$E:$E,科目余额表!$B556,data!J:J),0)</f>
        <v>0</v>
      </c>
      <c r="O556" s="207">
        <f>IFERROR(SUMIF(data!$E:$E,科目余额表!$B556,data!K:K),0)</f>
        <v>0</v>
      </c>
      <c r="P556" s="207">
        <f>IFERROR(SUMIF(data!$E:$E,科目余额表!$B556,data!L:L),0)</f>
        <v>0</v>
      </c>
      <c r="Q556" s="207">
        <f>IFERROR(SUMIF(data!$E:$E,科目余额表!$B556,data!M:M),0)</f>
        <v>0</v>
      </c>
      <c r="R556" s="207">
        <f>IFERROR(SUMIF(data!$E:$E,科目余额表!$B556,data!N:N),0)</f>
        <v>0</v>
      </c>
      <c r="S556" s="207">
        <f>IFERROR(SUMIF(data!$E:$E,科目余额表!$B556,data!O:O),0)</f>
        <v>0</v>
      </c>
      <c r="T556" s="207">
        <f>IFERROR(SUMIF(data!$E:$E,科目余额表!$B556,data!P:P),0)</f>
        <v>0</v>
      </c>
      <c r="U556" s="207">
        <f>IFERROR(SUMIF(data!$E:$E,科目余额表!$B556,data!Q:Q),0)</f>
        <v>0</v>
      </c>
      <c r="V556" s="207">
        <f>IFERROR(SUMIF(data!$E:$E,科目余额表!$B556,data!R:R),0)</f>
        <v>0</v>
      </c>
      <c r="W556" s="207">
        <f>IFERROR(SUMIF(data!$E:$E,科目余额表!$B556,data!S:S),0)</f>
        <v>0</v>
      </c>
      <c r="X556" s="207">
        <f t="shared" si="14"/>
        <v>0</v>
      </c>
      <c r="Y556" s="207"/>
      <c r="Z556" s="207"/>
      <c r="AA556" s="207"/>
      <c r="AB556" s="207"/>
      <c r="AC556" s="207"/>
      <c r="AD556" s="207"/>
      <c r="AE556" s="207"/>
      <c r="AF556" s="207"/>
    </row>
    <row r="557" spans="1:32" s="214" customFormat="1" ht="11.65" customHeight="1">
      <c r="A557" s="215"/>
      <c r="B557" s="220">
        <v>65700</v>
      </c>
      <c r="C557" s="205" t="s">
        <v>837</v>
      </c>
      <c r="D557" s="221">
        <f t="shared" si="13"/>
        <v>0</v>
      </c>
      <c r="E557" s="221">
        <v>0</v>
      </c>
      <c r="F557" s="222">
        <f t="shared" si="12"/>
        <v>0</v>
      </c>
      <c r="G557" s="205" t="s">
        <v>804</v>
      </c>
      <c r="H557" s="225" t="s">
        <v>671</v>
      </c>
      <c r="J557" s="207" t="s">
        <v>832</v>
      </c>
      <c r="K557" s="207"/>
      <c r="L557" s="207">
        <f>IFERROR(SUMIF(data!$E:$E,科目余额表!$B557,data!H:H),0)</f>
        <v>0</v>
      </c>
      <c r="M557" s="207">
        <f>IFERROR(SUMIF(data!$E:$E,科目余额表!$B557,data!I:I),0)</f>
        <v>0</v>
      </c>
      <c r="N557" s="207">
        <f>IFERROR(SUMIF(data!$E:$E,科目余额表!$B557,data!J:J),0)</f>
        <v>0</v>
      </c>
      <c r="O557" s="207">
        <f>IFERROR(SUMIF(data!$E:$E,科目余额表!$B557,data!K:K),0)</f>
        <v>0</v>
      </c>
      <c r="P557" s="207">
        <f>IFERROR(SUMIF(data!$E:$E,科目余额表!$B557,data!L:L),0)</f>
        <v>0</v>
      </c>
      <c r="Q557" s="207">
        <f>IFERROR(SUMIF(data!$E:$E,科目余额表!$B557,data!M:M),0)</f>
        <v>0</v>
      </c>
      <c r="R557" s="207">
        <f>IFERROR(SUMIF(data!$E:$E,科目余额表!$B557,data!N:N),0)</f>
        <v>0</v>
      </c>
      <c r="S557" s="207">
        <f>IFERROR(SUMIF(data!$E:$E,科目余额表!$B557,data!O:O),0)</f>
        <v>0</v>
      </c>
      <c r="T557" s="207">
        <f>IFERROR(SUMIF(data!$E:$E,科目余额表!$B557,data!P:P),0)</f>
        <v>0</v>
      </c>
      <c r="U557" s="207">
        <f>IFERROR(SUMIF(data!$E:$E,科目余额表!$B557,data!Q:Q),0)</f>
        <v>0</v>
      </c>
      <c r="V557" s="207">
        <f>IFERROR(SUMIF(data!$E:$E,科目余额表!$B557,data!R:R),0)</f>
        <v>0</v>
      </c>
      <c r="W557" s="207">
        <f>IFERROR(SUMIF(data!$E:$E,科目余额表!$B557,data!S:S),0)</f>
        <v>0</v>
      </c>
      <c r="X557" s="207">
        <f t="shared" si="14"/>
        <v>0</v>
      </c>
      <c r="Y557" s="207"/>
      <c r="Z557" s="207"/>
      <c r="AA557" s="207"/>
      <c r="AB557" s="207"/>
      <c r="AC557" s="207"/>
      <c r="AD557" s="207"/>
      <c r="AE557" s="207"/>
      <c r="AF557" s="207"/>
    </row>
    <row r="558" spans="1:32" s="214" customFormat="1" ht="11.65" customHeight="1">
      <c r="A558" s="215"/>
      <c r="B558" s="220">
        <v>65701</v>
      </c>
      <c r="C558" s="205" t="s">
        <v>838</v>
      </c>
      <c r="D558" s="221">
        <f t="shared" si="13"/>
        <v>0</v>
      </c>
      <c r="E558" s="221">
        <v>0</v>
      </c>
      <c r="F558" s="222">
        <f t="shared" si="12"/>
        <v>0</v>
      </c>
      <c r="G558" s="205" t="s">
        <v>804</v>
      </c>
      <c r="H558" s="225" t="s">
        <v>671</v>
      </c>
      <c r="J558" s="207" t="s">
        <v>832</v>
      </c>
      <c r="K558" s="207"/>
      <c r="L558" s="207">
        <f>IFERROR(SUMIF(data!$E:$E,科目余额表!$B558,data!H:H),0)</f>
        <v>0</v>
      </c>
      <c r="M558" s="207">
        <f>IFERROR(SUMIF(data!$E:$E,科目余额表!$B558,data!I:I),0)</f>
        <v>0</v>
      </c>
      <c r="N558" s="207">
        <f>IFERROR(SUMIF(data!$E:$E,科目余额表!$B558,data!J:J),0)</f>
        <v>0</v>
      </c>
      <c r="O558" s="207">
        <f>IFERROR(SUMIF(data!$E:$E,科目余额表!$B558,data!K:K),0)</f>
        <v>0</v>
      </c>
      <c r="P558" s="207">
        <f>IFERROR(SUMIF(data!$E:$E,科目余额表!$B558,data!L:L),0)</f>
        <v>0</v>
      </c>
      <c r="Q558" s="207">
        <f>IFERROR(SUMIF(data!$E:$E,科目余额表!$B558,data!M:M),0)</f>
        <v>0</v>
      </c>
      <c r="R558" s="207">
        <f>IFERROR(SUMIF(data!$E:$E,科目余额表!$B558,data!N:N),0)</f>
        <v>0</v>
      </c>
      <c r="S558" s="207">
        <f>IFERROR(SUMIF(data!$E:$E,科目余额表!$B558,data!O:O),0)</f>
        <v>0</v>
      </c>
      <c r="T558" s="207">
        <f>IFERROR(SUMIF(data!$E:$E,科目余额表!$B558,data!P:P),0)</f>
        <v>0</v>
      </c>
      <c r="U558" s="207">
        <f>IFERROR(SUMIF(data!$E:$E,科目余额表!$B558,data!Q:Q),0)</f>
        <v>0</v>
      </c>
      <c r="V558" s="207">
        <f>IFERROR(SUMIF(data!$E:$E,科目余额表!$B558,data!R:R),0)</f>
        <v>0</v>
      </c>
      <c r="W558" s="207">
        <f>IFERROR(SUMIF(data!$E:$E,科目余额表!$B558,data!S:S),0)</f>
        <v>0</v>
      </c>
      <c r="X558" s="207">
        <f t="shared" si="14"/>
        <v>0</v>
      </c>
      <c r="Y558" s="207"/>
      <c r="Z558" s="207"/>
      <c r="AA558" s="207"/>
      <c r="AB558" s="207"/>
      <c r="AC558" s="207"/>
      <c r="AD558" s="207"/>
      <c r="AE558" s="207"/>
      <c r="AF558" s="207"/>
    </row>
    <row r="559" spans="1:32" s="214" customFormat="1" ht="11.65" customHeight="1">
      <c r="A559" s="215"/>
      <c r="B559" s="220">
        <v>65702</v>
      </c>
      <c r="C559" s="205" t="s">
        <v>839</v>
      </c>
      <c r="D559" s="221">
        <f t="shared" si="13"/>
        <v>0</v>
      </c>
      <c r="E559" s="221">
        <v>0</v>
      </c>
      <c r="F559" s="222">
        <f t="shared" si="12"/>
        <v>0</v>
      </c>
      <c r="G559" s="205" t="s">
        <v>804</v>
      </c>
      <c r="H559" s="225" t="s">
        <v>671</v>
      </c>
      <c r="J559" s="207" t="s">
        <v>832</v>
      </c>
      <c r="K559" s="207"/>
      <c r="L559" s="207">
        <f>IFERROR(SUMIF(data!$E:$E,科目余额表!$B559,data!H:H),0)</f>
        <v>0</v>
      </c>
      <c r="M559" s="207">
        <f>IFERROR(SUMIF(data!$E:$E,科目余额表!$B559,data!I:I),0)</f>
        <v>0</v>
      </c>
      <c r="N559" s="207">
        <f>IFERROR(SUMIF(data!$E:$E,科目余额表!$B559,data!J:J),0)</f>
        <v>0</v>
      </c>
      <c r="O559" s="207">
        <f>IFERROR(SUMIF(data!$E:$E,科目余额表!$B559,data!K:K),0)</f>
        <v>0</v>
      </c>
      <c r="P559" s="207">
        <f>IFERROR(SUMIF(data!$E:$E,科目余额表!$B559,data!L:L),0)</f>
        <v>0</v>
      </c>
      <c r="Q559" s="207">
        <f>IFERROR(SUMIF(data!$E:$E,科目余额表!$B559,data!M:M),0)</f>
        <v>0</v>
      </c>
      <c r="R559" s="207">
        <f>IFERROR(SUMIF(data!$E:$E,科目余额表!$B559,data!N:N),0)</f>
        <v>0</v>
      </c>
      <c r="S559" s="207">
        <f>IFERROR(SUMIF(data!$E:$E,科目余额表!$B559,data!O:O),0)</f>
        <v>0</v>
      </c>
      <c r="T559" s="207">
        <f>IFERROR(SUMIF(data!$E:$E,科目余额表!$B559,data!P:P),0)</f>
        <v>0</v>
      </c>
      <c r="U559" s="207">
        <f>IFERROR(SUMIF(data!$E:$E,科目余额表!$B559,data!Q:Q),0)</f>
        <v>0</v>
      </c>
      <c r="V559" s="207">
        <f>IFERROR(SUMIF(data!$E:$E,科目余额表!$B559,data!R:R),0)</f>
        <v>0</v>
      </c>
      <c r="W559" s="207">
        <f>IFERROR(SUMIF(data!$E:$E,科目余额表!$B559,data!S:S),0)</f>
        <v>0</v>
      </c>
      <c r="X559" s="207">
        <f t="shared" si="14"/>
        <v>0</v>
      </c>
      <c r="Y559" s="207"/>
      <c r="Z559" s="207"/>
      <c r="AA559" s="207"/>
      <c r="AB559" s="207"/>
      <c r="AC559" s="207"/>
      <c r="AD559" s="207"/>
      <c r="AE559" s="207"/>
      <c r="AF559" s="207"/>
    </row>
    <row r="560" spans="1:32" s="214" customFormat="1" ht="11.65" customHeight="1">
      <c r="A560" s="215"/>
      <c r="B560" s="220">
        <v>65703</v>
      </c>
      <c r="C560" s="205" t="s">
        <v>840</v>
      </c>
      <c r="D560" s="221">
        <f t="shared" si="13"/>
        <v>0</v>
      </c>
      <c r="E560" s="221">
        <v>0</v>
      </c>
      <c r="F560" s="222">
        <f t="shared" si="12"/>
        <v>0</v>
      </c>
      <c r="G560" s="205" t="s">
        <v>804</v>
      </c>
      <c r="H560" s="225" t="s">
        <v>671</v>
      </c>
      <c r="J560" s="207" t="s">
        <v>832</v>
      </c>
      <c r="K560" s="207"/>
      <c r="L560" s="207">
        <f>IFERROR(SUMIF(data!$E:$E,科目余额表!$B560,data!H:H),0)</f>
        <v>0</v>
      </c>
      <c r="M560" s="207">
        <f>IFERROR(SUMIF(data!$E:$E,科目余额表!$B560,data!I:I),0)</f>
        <v>0</v>
      </c>
      <c r="N560" s="207">
        <f>IFERROR(SUMIF(data!$E:$E,科目余额表!$B560,data!J:J),0)</f>
        <v>0</v>
      </c>
      <c r="O560" s="207">
        <f>IFERROR(SUMIF(data!$E:$E,科目余额表!$B560,data!K:K),0)</f>
        <v>0</v>
      </c>
      <c r="P560" s="207">
        <f>IFERROR(SUMIF(data!$E:$E,科目余额表!$B560,data!L:L),0)</f>
        <v>0</v>
      </c>
      <c r="Q560" s="207">
        <f>IFERROR(SUMIF(data!$E:$E,科目余额表!$B560,data!M:M),0)</f>
        <v>0</v>
      </c>
      <c r="R560" s="207">
        <f>IFERROR(SUMIF(data!$E:$E,科目余额表!$B560,data!N:N),0)</f>
        <v>0</v>
      </c>
      <c r="S560" s="207">
        <f>IFERROR(SUMIF(data!$E:$E,科目余额表!$B560,data!O:O),0)</f>
        <v>0</v>
      </c>
      <c r="T560" s="207">
        <f>IFERROR(SUMIF(data!$E:$E,科目余额表!$B560,data!P:P),0)</f>
        <v>0</v>
      </c>
      <c r="U560" s="207">
        <f>IFERROR(SUMIF(data!$E:$E,科目余额表!$B560,data!Q:Q),0)</f>
        <v>0</v>
      </c>
      <c r="V560" s="207">
        <f>IFERROR(SUMIF(data!$E:$E,科目余额表!$B560,data!R:R),0)</f>
        <v>0</v>
      </c>
      <c r="W560" s="207">
        <f>IFERROR(SUMIF(data!$E:$E,科目余额表!$B560,data!S:S),0)</f>
        <v>0</v>
      </c>
      <c r="X560" s="207">
        <f t="shared" si="14"/>
        <v>0</v>
      </c>
      <c r="Y560" s="207"/>
      <c r="Z560" s="207"/>
      <c r="AA560" s="207"/>
      <c r="AB560" s="207"/>
      <c r="AC560" s="207"/>
      <c r="AD560" s="207"/>
      <c r="AE560" s="207"/>
      <c r="AF560" s="207"/>
    </row>
    <row r="561" spans="1:32" s="214" customFormat="1" ht="11.65" customHeight="1">
      <c r="A561" s="215"/>
      <c r="B561" s="220">
        <v>65704</v>
      </c>
      <c r="C561" s="205" t="s">
        <v>841</v>
      </c>
      <c r="D561" s="221">
        <f t="shared" si="13"/>
        <v>0</v>
      </c>
      <c r="E561" s="221">
        <v>0</v>
      </c>
      <c r="F561" s="222">
        <f t="shared" si="12"/>
        <v>0</v>
      </c>
      <c r="G561" s="205" t="s">
        <v>804</v>
      </c>
      <c r="H561" s="225" t="s">
        <v>671</v>
      </c>
      <c r="J561" s="207" t="s">
        <v>832</v>
      </c>
      <c r="K561" s="207"/>
      <c r="L561" s="207">
        <f>IFERROR(SUMIF(data!$E:$E,科目余额表!$B561,data!H:H),0)</f>
        <v>0</v>
      </c>
      <c r="M561" s="207">
        <f>IFERROR(SUMIF(data!$E:$E,科目余额表!$B561,data!I:I),0)</f>
        <v>0</v>
      </c>
      <c r="N561" s="207">
        <f>IFERROR(SUMIF(data!$E:$E,科目余额表!$B561,data!J:J),0)</f>
        <v>0</v>
      </c>
      <c r="O561" s="207">
        <f>IFERROR(SUMIF(data!$E:$E,科目余额表!$B561,data!K:K),0)</f>
        <v>0</v>
      </c>
      <c r="P561" s="207">
        <f>IFERROR(SUMIF(data!$E:$E,科目余额表!$B561,data!L:L),0)</f>
        <v>0</v>
      </c>
      <c r="Q561" s="207">
        <f>IFERROR(SUMIF(data!$E:$E,科目余额表!$B561,data!M:M),0)</f>
        <v>0</v>
      </c>
      <c r="R561" s="207">
        <f>IFERROR(SUMIF(data!$E:$E,科目余额表!$B561,data!N:N),0)</f>
        <v>0</v>
      </c>
      <c r="S561" s="207">
        <f>IFERROR(SUMIF(data!$E:$E,科目余额表!$B561,data!O:O),0)</f>
        <v>0</v>
      </c>
      <c r="T561" s="207">
        <f>IFERROR(SUMIF(data!$E:$E,科目余额表!$B561,data!P:P),0)</f>
        <v>0</v>
      </c>
      <c r="U561" s="207">
        <f>IFERROR(SUMIF(data!$E:$E,科目余额表!$B561,data!Q:Q),0)</f>
        <v>0</v>
      </c>
      <c r="V561" s="207">
        <f>IFERROR(SUMIF(data!$E:$E,科目余额表!$B561,data!R:R),0)</f>
        <v>0</v>
      </c>
      <c r="W561" s="207">
        <f>IFERROR(SUMIF(data!$E:$E,科目余额表!$B561,data!S:S),0)</f>
        <v>0</v>
      </c>
      <c r="X561" s="207">
        <f t="shared" si="14"/>
        <v>0</v>
      </c>
      <c r="Y561" s="207"/>
      <c r="Z561" s="207"/>
      <c r="AA561" s="207"/>
      <c r="AB561" s="207"/>
      <c r="AC561" s="207"/>
      <c r="AD561" s="207"/>
      <c r="AE561" s="207"/>
      <c r="AF561" s="207"/>
    </row>
    <row r="562" spans="1:32" s="214" customFormat="1" ht="11.65" customHeight="1">
      <c r="A562" s="215"/>
      <c r="B562" s="220">
        <v>65705</v>
      </c>
      <c r="C562" s="205" t="s">
        <v>842</v>
      </c>
      <c r="D562" s="221">
        <f t="shared" si="13"/>
        <v>0</v>
      </c>
      <c r="E562" s="221">
        <v>0</v>
      </c>
      <c r="F562" s="222">
        <f t="shared" si="12"/>
        <v>0</v>
      </c>
      <c r="G562" s="205" t="s">
        <v>804</v>
      </c>
      <c r="H562" s="225" t="s">
        <v>671</v>
      </c>
      <c r="J562" s="207" t="s">
        <v>832</v>
      </c>
      <c r="K562" s="207"/>
      <c r="L562" s="207">
        <f>IFERROR(SUMIF(data!$E:$E,科目余额表!$B562,data!H:H),0)</f>
        <v>0</v>
      </c>
      <c r="M562" s="207">
        <f>IFERROR(SUMIF(data!$E:$E,科目余额表!$B562,data!I:I),0)</f>
        <v>0</v>
      </c>
      <c r="N562" s="207">
        <f>IFERROR(SUMIF(data!$E:$E,科目余额表!$B562,data!J:J),0)</f>
        <v>0</v>
      </c>
      <c r="O562" s="207">
        <f>IFERROR(SUMIF(data!$E:$E,科目余额表!$B562,data!K:K),0)</f>
        <v>0</v>
      </c>
      <c r="P562" s="207">
        <f>IFERROR(SUMIF(data!$E:$E,科目余额表!$B562,data!L:L),0)</f>
        <v>0</v>
      </c>
      <c r="Q562" s="207">
        <f>IFERROR(SUMIF(data!$E:$E,科目余额表!$B562,data!M:M),0)</f>
        <v>0</v>
      </c>
      <c r="R562" s="207">
        <f>IFERROR(SUMIF(data!$E:$E,科目余额表!$B562,data!N:N),0)</f>
        <v>0</v>
      </c>
      <c r="S562" s="207">
        <f>IFERROR(SUMIF(data!$E:$E,科目余额表!$B562,data!O:O),0)</f>
        <v>0</v>
      </c>
      <c r="T562" s="207">
        <f>IFERROR(SUMIF(data!$E:$E,科目余额表!$B562,data!P:P),0)</f>
        <v>0</v>
      </c>
      <c r="U562" s="207">
        <f>IFERROR(SUMIF(data!$E:$E,科目余额表!$B562,data!Q:Q),0)</f>
        <v>0</v>
      </c>
      <c r="V562" s="207">
        <f>IFERROR(SUMIF(data!$E:$E,科目余额表!$B562,data!R:R),0)</f>
        <v>0</v>
      </c>
      <c r="W562" s="207">
        <f>IFERROR(SUMIF(data!$E:$E,科目余额表!$B562,data!S:S),0)</f>
        <v>0</v>
      </c>
      <c r="X562" s="207">
        <f t="shared" si="14"/>
        <v>0</v>
      </c>
      <c r="Y562" s="207"/>
      <c r="Z562" s="207"/>
      <c r="AA562" s="207"/>
      <c r="AB562" s="207"/>
      <c r="AC562" s="207"/>
      <c r="AD562" s="207"/>
      <c r="AE562" s="207"/>
      <c r="AF562" s="207"/>
    </row>
    <row r="563" spans="1:32" s="214" customFormat="1" ht="11.65" customHeight="1">
      <c r="A563" s="215"/>
      <c r="B563" s="220">
        <v>65706</v>
      </c>
      <c r="C563" s="205" t="s">
        <v>843</v>
      </c>
      <c r="D563" s="221">
        <f t="shared" si="13"/>
        <v>0</v>
      </c>
      <c r="E563" s="221">
        <v>0</v>
      </c>
      <c r="F563" s="222">
        <f t="shared" si="12"/>
        <v>0</v>
      </c>
      <c r="G563" s="205" t="s">
        <v>804</v>
      </c>
      <c r="H563" s="225" t="s">
        <v>671</v>
      </c>
      <c r="J563" s="207" t="s">
        <v>832</v>
      </c>
      <c r="K563" s="207"/>
      <c r="L563" s="207">
        <f>IFERROR(SUMIF(data!$E:$E,科目余额表!$B563,data!H:H),0)</f>
        <v>0</v>
      </c>
      <c r="M563" s="207">
        <f>IFERROR(SUMIF(data!$E:$E,科目余额表!$B563,data!I:I),0)</f>
        <v>0</v>
      </c>
      <c r="N563" s="207">
        <f>IFERROR(SUMIF(data!$E:$E,科目余额表!$B563,data!J:J),0)</f>
        <v>0</v>
      </c>
      <c r="O563" s="207">
        <f>IFERROR(SUMIF(data!$E:$E,科目余额表!$B563,data!K:K),0)</f>
        <v>0</v>
      </c>
      <c r="P563" s="207">
        <f>IFERROR(SUMIF(data!$E:$E,科目余额表!$B563,data!L:L),0)</f>
        <v>0</v>
      </c>
      <c r="Q563" s="207">
        <f>IFERROR(SUMIF(data!$E:$E,科目余额表!$B563,data!M:M),0)</f>
        <v>0</v>
      </c>
      <c r="R563" s="207">
        <f>IFERROR(SUMIF(data!$E:$E,科目余额表!$B563,data!N:N),0)</f>
        <v>0</v>
      </c>
      <c r="S563" s="207">
        <f>IFERROR(SUMIF(data!$E:$E,科目余额表!$B563,data!O:O),0)</f>
        <v>0</v>
      </c>
      <c r="T563" s="207">
        <f>IFERROR(SUMIF(data!$E:$E,科目余额表!$B563,data!P:P),0)</f>
        <v>0</v>
      </c>
      <c r="U563" s="207">
        <f>IFERROR(SUMIF(data!$E:$E,科目余额表!$B563,data!Q:Q),0)</f>
        <v>0</v>
      </c>
      <c r="V563" s="207">
        <f>IFERROR(SUMIF(data!$E:$E,科目余额表!$B563,data!R:R),0)</f>
        <v>0</v>
      </c>
      <c r="W563" s="207">
        <f>IFERROR(SUMIF(data!$E:$E,科目余额表!$B563,data!S:S),0)</f>
        <v>0</v>
      </c>
      <c r="X563" s="207">
        <f t="shared" si="14"/>
        <v>0</v>
      </c>
      <c r="Y563" s="207"/>
      <c r="Z563" s="207"/>
      <c r="AA563" s="207"/>
      <c r="AB563" s="207"/>
      <c r="AC563" s="207"/>
      <c r="AD563" s="207"/>
      <c r="AE563" s="207"/>
      <c r="AF563" s="207"/>
    </row>
    <row r="564" spans="1:32" s="214" customFormat="1" ht="11.65" customHeight="1">
      <c r="A564" s="215"/>
      <c r="B564" s="220">
        <v>65707</v>
      </c>
      <c r="C564" s="205" t="s">
        <v>844</v>
      </c>
      <c r="D564" s="221">
        <f t="shared" si="13"/>
        <v>0</v>
      </c>
      <c r="E564" s="221">
        <v>0</v>
      </c>
      <c r="F564" s="222">
        <f t="shared" si="12"/>
        <v>0</v>
      </c>
      <c r="G564" s="205" t="s">
        <v>804</v>
      </c>
      <c r="H564" s="225" t="s">
        <v>671</v>
      </c>
      <c r="J564" s="207" t="s">
        <v>832</v>
      </c>
      <c r="K564" s="207"/>
      <c r="L564" s="207">
        <f>IFERROR(SUMIF(data!$E:$E,科目余额表!$B564,data!H:H),0)</f>
        <v>0</v>
      </c>
      <c r="M564" s="207">
        <f>IFERROR(SUMIF(data!$E:$E,科目余额表!$B564,data!I:I),0)</f>
        <v>0</v>
      </c>
      <c r="N564" s="207">
        <f>IFERROR(SUMIF(data!$E:$E,科目余额表!$B564,data!J:J),0)</f>
        <v>0</v>
      </c>
      <c r="O564" s="207">
        <f>IFERROR(SUMIF(data!$E:$E,科目余额表!$B564,data!K:K),0)</f>
        <v>0</v>
      </c>
      <c r="P564" s="207">
        <f>IFERROR(SUMIF(data!$E:$E,科目余额表!$B564,data!L:L),0)</f>
        <v>0</v>
      </c>
      <c r="Q564" s="207">
        <f>IFERROR(SUMIF(data!$E:$E,科目余额表!$B564,data!M:M),0)</f>
        <v>0</v>
      </c>
      <c r="R564" s="207">
        <f>IFERROR(SUMIF(data!$E:$E,科目余额表!$B564,data!N:N),0)</f>
        <v>0</v>
      </c>
      <c r="S564" s="207">
        <f>IFERROR(SUMIF(data!$E:$E,科目余额表!$B564,data!O:O),0)</f>
        <v>0</v>
      </c>
      <c r="T564" s="207">
        <f>IFERROR(SUMIF(data!$E:$E,科目余额表!$B564,data!P:P),0)</f>
        <v>0</v>
      </c>
      <c r="U564" s="207">
        <f>IFERROR(SUMIF(data!$E:$E,科目余额表!$B564,data!Q:Q),0)</f>
        <v>0</v>
      </c>
      <c r="V564" s="207">
        <f>IFERROR(SUMIF(data!$E:$E,科目余额表!$B564,data!R:R),0)</f>
        <v>0</v>
      </c>
      <c r="W564" s="207">
        <f>IFERROR(SUMIF(data!$E:$E,科目余额表!$B564,data!S:S),0)</f>
        <v>0</v>
      </c>
      <c r="X564" s="207">
        <f t="shared" si="14"/>
        <v>0</v>
      </c>
      <c r="Y564" s="207"/>
      <c r="Z564" s="207"/>
      <c r="AA564" s="207"/>
      <c r="AB564" s="207"/>
      <c r="AC564" s="207"/>
      <c r="AD564" s="207"/>
      <c r="AE564" s="207"/>
      <c r="AF564" s="207"/>
    </row>
    <row r="565" spans="1:32" s="214" customFormat="1" ht="11.65" customHeight="1">
      <c r="A565" s="215"/>
      <c r="B565" s="220">
        <v>65708</v>
      </c>
      <c r="C565" s="205" t="s">
        <v>845</v>
      </c>
      <c r="D565" s="221">
        <f t="shared" si="13"/>
        <v>0</v>
      </c>
      <c r="E565" s="221">
        <v>0</v>
      </c>
      <c r="F565" s="222">
        <f t="shared" si="12"/>
        <v>0</v>
      </c>
      <c r="G565" s="205" t="s">
        <v>804</v>
      </c>
      <c r="H565" s="225" t="s">
        <v>671</v>
      </c>
      <c r="J565" s="207" t="s">
        <v>832</v>
      </c>
      <c r="K565" s="207"/>
      <c r="L565" s="207">
        <f>IFERROR(SUMIF(data!$E:$E,科目余额表!$B565,data!H:H),0)</f>
        <v>0</v>
      </c>
      <c r="M565" s="207">
        <f>IFERROR(SUMIF(data!$E:$E,科目余额表!$B565,data!I:I),0)</f>
        <v>0</v>
      </c>
      <c r="N565" s="207">
        <f>IFERROR(SUMIF(data!$E:$E,科目余额表!$B565,data!J:J),0)</f>
        <v>0</v>
      </c>
      <c r="O565" s="207">
        <f>IFERROR(SUMIF(data!$E:$E,科目余额表!$B565,data!K:K),0)</f>
        <v>0</v>
      </c>
      <c r="P565" s="207">
        <f>IFERROR(SUMIF(data!$E:$E,科目余额表!$B565,data!L:L),0)</f>
        <v>0</v>
      </c>
      <c r="Q565" s="207">
        <f>IFERROR(SUMIF(data!$E:$E,科目余额表!$B565,data!M:M),0)</f>
        <v>0</v>
      </c>
      <c r="R565" s="207">
        <f>IFERROR(SUMIF(data!$E:$E,科目余额表!$B565,data!N:N),0)</f>
        <v>0</v>
      </c>
      <c r="S565" s="207">
        <f>IFERROR(SUMIF(data!$E:$E,科目余额表!$B565,data!O:O),0)</f>
        <v>0</v>
      </c>
      <c r="T565" s="207">
        <f>IFERROR(SUMIF(data!$E:$E,科目余额表!$B565,data!P:P),0)</f>
        <v>0</v>
      </c>
      <c r="U565" s="207">
        <f>IFERROR(SUMIF(data!$E:$E,科目余额表!$B565,data!Q:Q),0)</f>
        <v>0</v>
      </c>
      <c r="V565" s="207">
        <f>IFERROR(SUMIF(data!$E:$E,科目余额表!$B565,data!R:R),0)</f>
        <v>0</v>
      </c>
      <c r="W565" s="207">
        <f>IFERROR(SUMIF(data!$E:$E,科目余额表!$B565,data!S:S),0)</f>
        <v>0</v>
      </c>
      <c r="X565" s="207">
        <f t="shared" si="14"/>
        <v>0</v>
      </c>
      <c r="Y565" s="207"/>
      <c r="Z565" s="207"/>
      <c r="AA565" s="207"/>
      <c r="AB565" s="207"/>
      <c r="AC565" s="207"/>
      <c r="AD565" s="207"/>
      <c r="AE565" s="207"/>
      <c r="AF565" s="207"/>
    </row>
    <row r="566" spans="1:32" s="214" customFormat="1" ht="11.65" customHeight="1">
      <c r="A566" s="215"/>
      <c r="B566" s="220">
        <v>65709</v>
      </c>
      <c r="C566" s="205" t="s">
        <v>846</v>
      </c>
      <c r="D566" s="221">
        <f t="shared" si="13"/>
        <v>0</v>
      </c>
      <c r="E566" s="221">
        <v>0</v>
      </c>
      <c r="F566" s="222">
        <f t="shared" si="12"/>
        <v>0</v>
      </c>
      <c r="G566" s="205" t="s">
        <v>804</v>
      </c>
      <c r="H566" s="225" t="s">
        <v>671</v>
      </c>
      <c r="J566" s="207" t="s">
        <v>832</v>
      </c>
      <c r="K566" s="207"/>
      <c r="L566" s="207">
        <f>IFERROR(SUMIF(data!$E:$E,科目余额表!$B566,data!H:H),0)</f>
        <v>0</v>
      </c>
      <c r="M566" s="207">
        <f>IFERROR(SUMIF(data!$E:$E,科目余额表!$B566,data!I:I),0)</f>
        <v>0</v>
      </c>
      <c r="N566" s="207">
        <f>IFERROR(SUMIF(data!$E:$E,科目余额表!$B566,data!J:J),0)</f>
        <v>0</v>
      </c>
      <c r="O566" s="207">
        <f>IFERROR(SUMIF(data!$E:$E,科目余额表!$B566,data!K:K),0)</f>
        <v>0</v>
      </c>
      <c r="P566" s="207">
        <f>IFERROR(SUMIF(data!$E:$E,科目余额表!$B566,data!L:L),0)</f>
        <v>0</v>
      </c>
      <c r="Q566" s="207">
        <f>IFERROR(SUMIF(data!$E:$E,科目余额表!$B566,data!M:M),0)</f>
        <v>0</v>
      </c>
      <c r="R566" s="207">
        <f>IFERROR(SUMIF(data!$E:$E,科目余额表!$B566,data!N:N),0)</f>
        <v>0</v>
      </c>
      <c r="S566" s="207">
        <f>IFERROR(SUMIF(data!$E:$E,科目余额表!$B566,data!O:O),0)</f>
        <v>0</v>
      </c>
      <c r="T566" s="207">
        <f>IFERROR(SUMIF(data!$E:$E,科目余额表!$B566,data!P:P),0)</f>
        <v>0</v>
      </c>
      <c r="U566" s="207">
        <f>IFERROR(SUMIF(data!$E:$E,科目余额表!$B566,data!Q:Q),0)</f>
        <v>0</v>
      </c>
      <c r="V566" s="207">
        <f>IFERROR(SUMIF(data!$E:$E,科目余额表!$B566,data!R:R),0)</f>
        <v>0</v>
      </c>
      <c r="W566" s="207">
        <f>IFERROR(SUMIF(data!$E:$E,科目余额表!$B566,data!S:S),0)</f>
        <v>0</v>
      </c>
      <c r="X566" s="207">
        <f t="shared" si="14"/>
        <v>0</v>
      </c>
      <c r="Y566" s="207"/>
      <c r="Z566" s="207"/>
      <c r="AA566" s="207"/>
      <c r="AB566" s="207"/>
      <c r="AC566" s="207"/>
      <c r="AD566" s="207"/>
      <c r="AE566" s="207"/>
      <c r="AF566" s="207"/>
    </row>
    <row r="567" spans="1:32" s="214" customFormat="1" ht="11.65" customHeight="1">
      <c r="A567" s="215"/>
      <c r="B567" s="220">
        <v>65710</v>
      </c>
      <c r="C567" s="205" t="s">
        <v>847</v>
      </c>
      <c r="D567" s="221">
        <f t="shared" si="13"/>
        <v>0</v>
      </c>
      <c r="E567" s="221">
        <v>0</v>
      </c>
      <c r="F567" s="222">
        <f t="shared" si="12"/>
        <v>0</v>
      </c>
      <c r="G567" s="205" t="s">
        <v>804</v>
      </c>
      <c r="H567" s="225" t="s">
        <v>671</v>
      </c>
      <c r="J567" s="207" t="s">
        <v>832</v>
      </c>
      <c r="K567" s="207"/>
      <c r="L567" s="207">
        <f>IFERROR(SUMIF(data!$E:$E,科目余额表!$B567,data!H:H),0)</f>
        <v>0</v>
      </c>
      <c r="M567" s="207">
        <f>IFERROR(SUMIF(data!$E:$E,科目余额表!$B567,data!I:I),0)</f>
        <v>0</v>
      </c>
      <c r="N567" s="207">
        <f>IFERROR(SUMIF(data!$E:$E,科目余额表!$B567,data!J:J),0)</f>
        <v>0</v>
      </c>
      <c r="O567" s="207">
        <f>IFERROR(SUMIF(data!$E:$E,科目余额表!$B567,data!K:K),0)</f>
        <v>0</v>
      </c>
      <c r="P567" s="207">
        <f>IFERROR(SUMIF(data!$E:$E,科目余额表!$B567,data!L:L),0)</f>
        <v>0</v>
      </c>
      <c r="Q567" s="207">
        <f>IFERROR(SUMIF(data!$E:$E,科目余额表!$B567,data!M:M),0)</f>
        <v>0</v>
      </c>
      <c r="R567" s="207">
        <f>IFERROR(SUMIF(data!$E:$E,科目余额表!$B567,data!N:N),0)</f>
        <v>0</v>
      </c>
      <c r="S567" s="207">
        <f>IFERROR(SUMIF(data!$E:$E,科目余额表!$B567,data!O:O),0)</f>
        <v>0</v>
      </c>
      <c r="T567" s="207">
        <f>IFERROR(SUMIF(data!$E:$E,科目余额表!$B567,data!P:P),0)</f>
        <v>0</v>
      </c>
      <c r="U567" s="207">
        <f>IFERROR(SUMIF(data!$E:$E,科目余额表!$B567,data!Q:Q),0)</f>
        <v>0</v>
      </c>
      <c r="V567" s="207">
        <f>IFERROR(SUMIF(data!$E:$E,科目余额表!$B567,data!R:R),0)</f>
        <v>0</v>
      </c>
      <c r="W567" s="207">
        <f>IFERROR(SUMIF(data!$E:$E,科目余额表!$B567,data!S:S),0)</f>
        <v>0</v>
      </c>
      <c r="X567" s="207">
        <f t="shared" si="14"/>
        <v>0</v>
      </c>
      <c r="Y567" s="207"/>
      <c r="Z567" s="207"/>
      <c r="AA567" s="207"/>
      <c r="AB567" s="207"/>
      <c r="AC567" s="207"/>
      <c r="AD567" s="207"/>
      <c r="AE567" s="207"/>
      <c r="AF567" s="207"/>
    </row>
    <row r="568" spans="1:32" s="214" customFormat="1" ht="11.65" customHeight="1">
      <c r="A568" s="215"/>
      <c r="B568" s="220">
        <v>65711</v>
      </c>
      <c r="C568" s="205" t="s">
        <v>848</v>
      </c>
      <c r="D568" s="221">
        <f t="shared" si="13"/>
        <v>0</v>
      </c>
      <c r="E568" s="221">
        <v>0</v>
      </c>
      <c r="F568" s="222">
        <f t="shared" si="12"/>
        <v>0</v>
      </c>
      <c r="G568" s="205" t="s">
        <v>804</v>
      </c>
      <c r="H568" s="225" t="s">
        <v>671</v>
      </c>
      <c r="J568" s="207" t="s">
        <v>832</v>
      </c>
      <c r="K568" s="207"/>
      <c r="L568" s="207">
        <f>IFERROR(SUMIF(data!$E:$E,科目余额表!$B568,data!H:H),0)</f>
        <v>0</v>
      </c>
      <c r="M568" s="207">
        <f>IFERROR(SUMIF(data!$E:$E,科目余额表!$B568,data!I:I),0)</f>
        <v>0</v>
      </c>
      <c r="N568" s="207">
        <f>IFERROR(SUMIF(data!$E:$E,科目余额表!$B568,data!J:J),0)</f>
        <v>0</v>
      </c>
      <c r="O568" s="207">
        <f>IFERROR(SUMIF(data!$E:$E,科目余额表!$B568,data!K:K),0)</f>
        <v>0</v>
      </c>
      <c r="P568" s="207">
        <f>IFERROR(SUMIF(data!$E:$E,科目余额表!$B568,data!L:L),0)</f>
        <v>0</v>
      </c>
      <c r="Q568" s="207">
        <f>IFERROR(SUMIF(data!$E:$E,科目余额表!$B568,data!M:M),0)</f>
        <v>0</v>
      </c>
      <c r="R568" s="207">
        <f>IFERROR(SUMIF(data!$E:$E,科目余额表!$B568,data!N:N),0)</f>
        <v>0</v>
      </c>
      <c r="S568" s="207">
        <f>IFERROR(SUMIF(data!$E:$E,科目余额表!$B568,data!O:O),0)</f>
        <v>0</v>
      </c>
      <c r="T568" s="207">
        <f>IFERROR(SUMIF(data!$E:$E,科目余额表!$B568,data!P:P),0)</f>
        <v>0</v>
      </c>
      <c r="U568" s="207">
        <f>IFERROR(SUMIF(data!$E:$E,科目余额表!$B568,data!Q:Q),0)</f>
        <v>0</v>
      </c>
      <c r="V568" s="207">
        <f>IFERROR(SUMIF(data!$E:$E,科目余额表!$B568,data!R:R),0)</f>
        <v>0</v>
      </c>
      <c r="W568" s="207">
        <f>IFERROR(SUMIF(data!$E:$E,科目余额表!$B568,data!S:S),0)</f>
        <v>0</v>
      </c>
      <c r="X568" s="207">
        <f t="shared" si="14"/>
        <v>0</v>
      </c>
      <c r="Y568" s="207"/>
      <c r="Z568" s="207"/>
      <c r="AA568" s="207"/>
      <c r="AB568" s="207"/>
      <c r="AC568" s="207"/>
      <c r="AD568" s="207"/>
      <c r="AE568" s="207"/>
      <c r="AF568" s="207"/>
    </row>
    <row r="569" spans="1:32" s="214" customFormat="1" ht="11.65" customHeight="1">
      <c r="A569" s="215"/>
      <c r="B569" s="220">
        <v>65712</v>
      </c>
      <c r="C569" s="205" t="s">
        <v>849</v>
      </c>
      <c r="D569" s="221">
        <f t="shared" si="13"/>
        <v>0</v>
      </c>
      <c r="E569" s="221">
        <v>0</v>
      </c>
      <c r="F569" s="222">
        <f t="shared" si="12"/>
        <v>0</v>
      </c>
      <c r="G569" s="205" t="s">
        <v>804</v>
      </c>
      <c r="H569" s="225" t="s">
        <v>671</v>
      </c>
      <c r="J569" s="207" t="s">
        <v>832</v>
      </c>
      <c r="K569" s="207"/>
      <c r="L569" s="207">
        <f>IFERROR(SUMIF(data!$E:$E,科目余额表!$B569,data!H:H),0)</f>
        <v>0</v>
      </c>
      <c r="M569" s="207">
        <f>IFERROR(SUMIF(data!$E:$E,科目余额表!$B569,data!I:I),0)</f>
        <v>0</v>
      </c>
      <c r="N569" s="207">
        <f>IFERROR(SUMIF(data!$E:$E,科目余额表!$B569,data!J:J),0)</f>
        <v>0</v>
      </c>
      <c r="O569" s="207">
        <f>IFERROR(SUMIF(data!$E:$E,科目余额表!$B569,data!K:K),0)</f>
        <v>0</v>
      </c>
      <c r="P569" s="207">
        <f>IFERROR(SUMIF(data!$E:$E,科目余额表!$B569,data!L:L),0)</f>
        <v>0</v>
      </c>
      <c r="Q569" s="207">
        <f>IFERROR(SUMIF(data!$E:$E,科目余额表!$B569,data!M:M),0)</f>
        <v>0</v>
      </c>
      <c r="R569" s="207">
        <f>IFERROR(SUMIF(data!$E:$E,科目余额表!$B569,data!N:N),0)</f>
        <v>0</v>
      </c>
      <c r="S569" s="207">
        <f>IFERROR(SUMIF(data!$E:$E,科目余额表!$B569,data!O:O),0)</f>
        <v>0</v>
      </c>
      <c r="T569" s="207">
        <f>IFERROR(SUMIF(data!$E:$E,科目余额表!$B569,data!P:P),0)</f>
        <v>0</v>
      </c>
      <c r="U569" s="207">
        <f>IFERROR(SUMIF(data!$E:$E,科目余额表!$B569,data!Q:Q),0)</f>
        <v>0</v>
      </c>
      <c r="V569" s="207">
        <f>IFERROR(SUMIF(data!$E:$E,科目余额表!$B569,data!R:R),0)</f>
        <v>0</v>
      </c>
      <c r="W569" s="207">
        <f>IFERROR(SUMIF(data!$E:$E,科目余额表!$B569,data!S:S),0)</f>
        <v>0</v>
      </c>
      <c r="X569" s="207">
        <f t="shared" si="14"/>
        <v>0</v>
      </c>
      <c r="Y569" s="207"/>
      <c r="Z569" s="207"/>
      <c r="AA569" s="207"/>
      <c r="AB569" s="207"/>
      <c r="AC569" s="207"/>
      <c r="AD569" s="207"/>
      <c r="AE569" s="207"/>
      <c r="AF569" s="207"/>
    </row>
    <row r="570" spans="1:32" s="214" customFormat="1" ht="11.65" customHeight="1">
      <c r="A570" s="215"/>
      <c r="B570" s="220">
        <v>65713</v>
      </c>
      <c r="C570" s="205" t="s">
        <v>850</v>
      </c>
      <c r="D570" s="221">
        <f t="shared" si="13"/>
        <v>0</v>
      </c>
      <c r="E570" s="221">
        <v>0</v>
      </c>
      <c r="F570" s="222">
        <f t="shared" si="12"/>
        <v>0</v>
      </c>
      <c r="G570" s="205" t="s">
        <v>804</v>
      </c>
      <c r="H570" s="225" t="s">
        <v>671</v>
      </c>
      <c r="J570" s="207" t="s">
        <v>832</v>
      </c>
      <c r="K570" s="207"/>
      <c r="L570" s="207">
        <f>IFERROR(SUMIF(data!$E:$E,科目余额表!$B570,data!H:H),0)</f>
        <v>0</v>
      </c>
      <c r="M570" s="207">
        <f>IFERROR(SUMIF(data!$E:$E,科目余额表!$B570,data!I:I),0)</f>
        <v>0</v>
      </c>
      <c r="N570" s="207">
        <f>IFERROR(SUMIF(data!$E:$E,科目余额表!$B570,data!J:J),0)</f>
        <v>0</v>
      </c>
      <c r="O570" s="207">
        <f>IFERROR(SUMIF(data!$E:$E,科目余额表!$B570,data!K:K),0)</f>
        <v>0</v>
      </c>
      <c r="P570" s="207">
        <f>IFERROR(SUMIF(data!$E:$E,科目余额表!$B570,data!L:L),0)</f>
        <v>0</v>
      </c>
      <c r="Q570" s="207">
        <f>IFERROR(SUMIF(data!$E:$E,科目余额表!$B570,data!M:M),0)</f>
        <v>0</v>
      </c>
      <c r="R570" s="207">
        <f>IFERROR(SUMIF(data!$E:$E,科目余额表!$B570,data!N:N),0)</f>
        <v>0</v>
      </c>
      <c r="S570" s="207">
        <f>IFERROR(SUMIF(data!$E:$E,科目余额表!$B570,data!O:O),0)</f>
        <v>0</v>
      </c>
      <c r="T570" s="207">
        <f>IFERROR(SUMIF(data!$E:$E,科目余额表!$B570,data!P:P),0)</f>
        <v>0</v>
      </c>
      <c r="U570" s="207">
        <f>IFERROR(SUMIF(data!$E:$E,科目余额表!$B570,data!Q:Q),0)</f>
        <v>0</v>
      </c>
      <c r="V570" s="207">
        <f>IFERROR(SUMIF(data!$E:$E,科目余额表!$B570,data!R:R),0)</f>
        <v>0</v>
      </c>
      <c r="W570" s="207">
        <f>IFERROR(SUMIF(data!$E:$E,科目余额表!$B570,data!S:S),0)</f>
        <v>0</v>
      </c>
      <c r="X570" s="207">
        <f t="shared" si="14"/>
        <v>0</v>
      </c>
      <c r="Y570" s="207"/>
      <c r="Z570" s="207"/>
      <c r="AA570" s="207"/>
      <c r="AB570" s="207"/>
      <c r="AC570" s="207"/>
      <c r="AD570" s="207"/>
      <c r="AE570" s="207"/>
      <c r="AF570" s="207"/>
    </row>
    <row r="571" spans="1:32" s="214" customFormat="1" ht="11.65" customHeight="1">
      <c r="A571" s="215"/>
      <c r="B571" s="220">
        <v>65714</v>
      </c>
      <c r="C571" s="205" t="s">
        <v>851</v>
      </c>
      <c r="D571" s="221">
        <f t="shared" si="13"/>
        <v>3602.13</v>
      </c>
      <c r="E571" s="221">
        <v>0</v>
      </c>
      <c r="F571" s="222">
        <f t="shared" si="12"/>
        <v>3602.13</v>
      </c>
      <c r="G571" s="205" t="s">
        <v>804</v>
      </c>
      <c r="H571" s="225" t="s">
        <v>671</v>
      </c>
      <c r="J571" s="207" t="s">
        <v>832</v>
      </c>
      <c r="K571" s="207"/>
      <c r="L571" s="207">
        <f>IFERROR(SUMIF(data!$E:$E,科目余额表!$B571,data!H:H),0)</f>
        <v>0</v>
      </c>
      <c r="M571" s="207">
        <f>IFERROR(SUMIF(data!$E:$E,科目余额表!$B571,data!I:I),0)</f>
        <v>-843</v>
      </c>
      <c r="N571" s="207">
        <f>IFERROR(SUMIF(data!$E:$E,科目余额表!$B571,data!J:J),0)</f>
        <v>-2541.6</v>
      </c>
      <c r="O571" s="207">
        <f>IFERROR(SUMIF(data!$E:$E,科目余额表!$B571,data!K:K),0)</f>
        <v>-217.52999999999997</v>
      </c>
      <c r="P571" s="207">
        <f>IFERROR(SUMIF(data!$E:$E,科目余额表!$B571,data!L:L),0)</f>
        <v>0</v>
      </c>
      <c r="Q571" s="207">
        <f>IFERROR(SUMIF(data!$E:$E,科目余额表!$B571,data!M:M),0)</f>
        <v>0</v>
      </c>
      <c r="R571" s="207">
        <f>IFERROR(SUMIF(data!$E:$E,科目余额表!$B571,data!N:N),0)</f>
        <v>0</v>
      </c>
      <c r="S571" s="207">
        <f>IFERROR(SUMIF(data!$E:$E,科目余额表!$B571,data!O:O),0)</f>
        <v>0</v>
      </c>
      <c r="T571" s="207">
        <f>IFERROR(SUMIF(data!$E:$E,科目余额表!$B571,data!P:P),0)</f>
        <v>0</v>
      </c>
      <c r="U571" s="207">
        <f>IFERROR(SUMIF(data!$E:$E,科目余额表!$B571,data!Q:Q),0)</f>
        <v>0</v>
      </c>
      <c r="V571" s="207">
        <f>IFERROR(SUMIF(data!$E:$E,科目余额表!$B571,data!R:R),0)</f>
        <v>0</v>
      </c>
      <c r="W571" s="207">
        <f>IFERROR(SUMIF(data!$E:$E,科目余额表!$B571,data!S:S),0)</f>
        <v>0</v>
      </c>
      <c r="X571" s="207">
        <f t="shared" si="14"/>
        <v>-3602.13</v>
      </c>
      <c r="Y571" s="207"/>
      <c r="Z571" s="207"/>
      <c r="AA571" s="207"/>
      <c r="AB571" s="207"/>
      <c r="AC571" s="207"/>
      <c r="AD571" s="207"/>
      <c r="AE571" s="207"/>
      <c r="AF571" s="207"/>
    </row>
    <row r="572" spans="1:32" s="214" customFormat="1" ht="11.65" customHeight="1">
      <c r="A572" s="215"/>
      <c r="B572" s="220">
        <v>65715</v>
      </c>
      <c r="C572" s="205" t="s">
        <v>852</v>
      </c>
      <c r="D572" s="221">
        <f t="shared" si="13"/>
        <v>21876.35</v>
      </c>
      <c r="E572" s="221">
        <v>0</v>
      </c>
      <c r="F572" s="222">
        <f t="shared" si="12"/>
        <v>21876.35</v>
      </c>
      <c r="G572" s="205" t="s">
        <v>804</v>
      </c>
      <c r="H572" s="225" t="s">
        <v>671</v>
      </c>
      <c r="J572" s="207" t="s">
        <v>832</v>
      </c>
      <c r="K572" s="207"/>
      <c r="L572" s="207">
        <f>IFERROR(SUMIF(data!$E:$E,科目余额表!$B572,data!H:H),0)</f>
        <v>-394.32</v>
      </c>
      <c r="M572" s="207">
        <f>IFERROR(SUMIF(data!$E:$E,科目余额表!$B572,data!I:I),0)</f>
        <v>-1208</v>
      </c>
      <c r="N572" s="207">
        <f>IFERROR(SUMIF(data!$E:$E,科目余额表!$B572,data!J:J),0)</f>
        <v>-4093.75</v>
      </c>
      <c r="O572" s="207">
        <f>IFERROR(SUMIF(data!$E:$E,科目余额表!$B572,data!K:K),0)</f>
        <v>-3241.58</v>
      </c>
      <c r="P572" s="207">
        <f>IFERROR(SUMIF(data!$E:$E,科目余额表!$B572,data!L:L),0)</f>
        <v>-668.80000000000007</v>
      </c>
      <c r="Q572" s="207">
        <f>IFERROR(SUMIF(data!$E:$E,科目余额表!$B572,data!M:M),0)</f>
        <v>-35.56</v>
      </c>
      <c r="R572" s="207">
        <f>IFERROR(SUMIF(data!$E:$E,科目余额表!$B572,data!N:N),0)</f>
        <v>0</v>
      </c>
      <c r="S572" s="207">
        <f>IFERROR(SUMIF(data!$E:$E,科目余额表!$B572,data!O:O),0)</f>
        <v>-491.54</v>
      </c>
      <c r="T572" s="207">
        <f>IFERROR(SUMIF(data!$E:$E,科目余额表!$B572,data!P:P),0)</f>
        <v>-1719.8</v>
      </c>
      <c r="U572" s="207">
        <f>IFERROR(SUMIF(data!$E:$E,科目余额表!$B572,data!Q:Q),0)</f>
        <v>-10023</v>
      </c>
      <c r="V572" s="207">
        <f>IFERROR(SUMIF(data!$E:$E,科目余额表!$B572,data!R:R),0)</f>
        <v>0</v>
      </c>
      <c r="W572" s="207">
        <f>IFERROR(SUMIF(data!$E:$E,科目余额表!$B572,data!S:S),0)</f>
        <v>0</v>
      </c>
      <c r="X572" s="207">
        <f t="shared" si="14"/>
        <v>-21876.35</v>
      </c>
      <c r="Y572" s="207"/>
      <c r="Z572" s="207"/>
      <c r="AA572" s="207"/>
      <c r="AB572" s="207"/>
      <c r="AC572" s="207"/>
      <c r="AD572" s="207"/>
      <c r="AE572" s="207"/>
      <c r="AF572" s="207"/>
    </row>
    <row r="573" spans="1:32" s="214" customFormat="1" ht="11.65" customHeight="1">
      <c r="A573" s="215"/>
      <c r="B573" s="220">
        <v>65716</v>
      </c>
      <c r="C573" s="205" t="s">
        <v>853</v>
      </c>
      <c r="D573" s="221">
        <f t="shared" si="13"/>
        <v>0</v>
      </c>
      <c r="E573" s="221">
        <v>0</v>
      </c>
      <c r="F573" s="222">
        <f t="shared" si="12"/>
        <v>0</v>
      </c>
      <c r="G573" s="205" t="s">
        <v>804</v>
      </c>
      <c r="H573" s="225" t="s">
        <v>671</v>
      </c>
      <c r="J573" s="207" t="s">
        <v>832</v>
      </c>
      <c r="K573" s="207"/>
      <c r="L573" s="207">
        <f>IFERROR(SUMIF(data!$E:$E,科目余额表!$B573,data!H:H),0)</f>
        <v>0</v>
      </c>
      <c r="M573" s="207">
        <f>IFERROR(SUMIF(data!$E:$E,科目余额表!$B573,data!I:I),0)</f>
        <v>0</v>
      </c>
      <c r="N573" s="207">
        <f>IFERROR(SUMIF(data!$E:$E,科目余额表!$B573,data!J:J),0)</f>
        <v>0</v>
      </c>
      <c r="O573" s="207">
        <f>IFERROR(SUMIF(data!$E:$E,科目余额表!$B573,data!K:K),0)</f>
        <v>0</v>
      </c>
      <c r="P573" s="207">
        <f>IFERROR(SUMIF(data!$E:$E,科目余额表!$B573,data!L:L),0)</f>
        <v>0</v>
      </c>
      <c r="Q573" s="207">
        <f>IFERROR(SUMIF(data!$E:$E,科目余额表!$B573,data!M:M),0)</f>
        <v>0</v>
      </c>
      <c r="R573" s="207">
        <f>IFERROR(SUMIF(data!$E:$E,科目余额表!$B573,data!N:N),0)</f>
        <v>0</v>
      </c>
      <c r="S573" s="207">
        <f>IFERROR(SUMIF(data!$E:$E,科目余额表!$B573,data!O:O),0)</f>
        <v>0</v>
      </c>
      <c r="T573" s="207">
        <f>IFERROR(SUMIF(data!$E:$E,科目余额表!$B573,data!P:P),0)</f>
        <v>0</v>
      </c>
      <c r="U573" s="207">
        <f>IFERROR(SUMIF(data!$E:$E,科目余额表!$B573,data!Q:Q),0)</f>
        <v>0</v>
      </c>
      <c r="V573" s="207">
        <f>IFERROR(SUMIF(data!$E:$E,科目余额表!$B573,data!R:R),0)</f>
        <v>0</v>
      </c>
      <c r="W573" s="207">
        <f>IFERROR(SUMIF(data!$E:$E,科目余额表!$B573,data!S:S),0)</f>
        <v>0</v>
      </c>
      <c r="X573" s="207">
        <f t="shared" si="14"/>
        <v>0</v>
      </c>
      <c r="Y573" s="207"/>
      <c r="Z573" s="207"/>
      <c r="AA573" s="207"/>
      <c r="AB573" s="207"/>
      <c r="AC573" s="207"/>
      <c r="AD573" s="207"/>
      <c r="AE573" s="207"/>
      <c r="AF573" s="207"/>
    </row>
    <row r="574" spans="1:32" s="214" customFormat="1" ht="11.65" customHeight="1">
      <c r="A574" s="215"/>
      <c r="B574" s="220">
        <v>65717</v>
      </c>
      <c r="C574" s="205" t="s">
        <v>854</v>
      </c>
      <c r="D574" s="221">
        <f t="shared" si="13"/>
        <v>0</v>
      </c>
      <c r="E574" s="221">
        <v>0</v>
      </c>
      <c r="F574" s="222">
        <f t="shared" si="12"/>
        <v>0</v>
      </c>
      <c r="G574" s="205" t="s">
        <v>804</v>
      </c>
      <c r="H574" s="225" t="s">
        <v>671</v>
      </c>
      <c r="J574" s="207" t="s">
        <v>832</v>
      </c>
      <c r="K574" s="207"/>
      <c r="L574" s="207">
        <f>IFERROR(SUMIF(data!$E:$E,科目余额表!$B574,data!H:H),0)</f>
        <v>0</v>
      </c>
      <c r="M574" s="207">
        <f>IFERROR(SUMIF(data!$E:$E,科目余额表!$B574,data!I:I),0)</f>
        <v>0</v>
      </c>
      <c r="N574" s="207">
        <f>IFERROR(SUMIF(data!$E:$E,科目余额表!$B574,data!J:J),0)</f>
        <v>0</v>
      </c>
      <c r="O574" s="207">
        <f>IFERROR(SUMIF(data!$E:$E,科目余额表!$B574,data!K:K),0)</f>
        <v>0</v>
      </c>
      <c r="P574" s="207">
        <f>IFERROR(SUMIF(data!$E:$E,科目余额表!$B574,data!L:L),0)</f>
        <v>0</v>
      </c>
      <c r="Q574" s="207">
        <f>IFERROR(SUMIF(data!$E:$E,科目余额表!$B574,data!M:M),0)</f>
        <v>0</v>
      </c>
      <c r="R574" s="207">
        <f>IFERROR(SUMIF(data!$E:$E,科目余额表!$B574,data!N:N),0)</f>
        <v>0</v>
      </c>
      <c r="S574" s="207">
        <f>IFERROR(SUMIF(data!$E:$E,科目余额表!$B574,data!O:O),0)</f>
        <v>0</v>
      </c>
      <c r="T574" s="207">
        <f>IFERROR(SUMIF(data!$E:$E,科目余额表!$B574,data!P:P),0)</f>
        <v>0</v>
      </c>
      <c r="U574" s="207">
        <f>IFERROR(SUMIF(data!$E:$E,科目余额表!$B574,data!Q:Q),0)</f>
        <v>0</v>
      </c>
      <c r="V574" s="207">
        <f>IFERROR(SUMIF(data!$E:$E,科目余额表!$B574,data!R:R),0)</f>
        <v>0</v>
      </c>
      <c r="W574" s="207">
        <f>IFERROR(SUMIF(data!$E:$E,科目余额表!$B574,data!S:S),0)</f>
        <v>0</v>
      </c>
      <c r="X574" s="207">
        <f t="shared" si="14"/>
        <v>0</v>
      </c>
      <c r="Y574" s="207"/>
      <c r="Z574" s="207"/>
      <c r="AA574" s="207"/>
      <c r="AB574" s="207"/>
      <c r="AC574" s="207"/>
      <c r="AD574" s="207"/>
      <c r="AE574" s="207"/>
      <c r="AF574" s="207"/>
    </row>
    <row r="575" spans="1:32" s="214" customFormat="1" ht="11.65" customHeight="1">
      <c r="A575" s="215"/>
      <c r="B575" s="220">
        <v>65718</v>
      </c>
      <c r="C575" s="205" t="s">
        <v>855</v>
      </c>
      <c r="D575" s="221">
        <f t="shared" si="13"/>
        <v>0</v>
      </c>
      <c r="E575" s="221">
        <v>0</v>
      </c>
      <c r="F575" s="222">
        <f t="shared" si="12"/>
        <v>0</v>
      </c>
      <c r="G575" s="205" t="s">
        <v>804</v>
      </c>
      <c r="H575" s="225" t="s">
        <v>671</v>
      </c>
      <c r="J575" s="207" t="s">
        <v>832</v>
      </c>
      <c r="K575" s="207"/>
      <c r="L575" s="207">
        <f>IFERROR(SUMIF(data!$E:$E,科目余额表!$B575,data!H:H),0)</f>
        <v>0</v>
      </c>
      <c r="M575" s="207">
        <f>IFERROR(SUMIF(data!$E:$E,科目余额表!$B575,data!I:I),0)</f>
        <v>0</v>
      </c>
      <c r="N575" s="207">
        <f>IFERROR(SUMIF(data!$E:$E,科目余额表!$B575,data!J:J),0)</f>
        <v>0</v>
      </c>
      <c r="O575" s="207">
        <f>IFERROR(SUMIF(data!$E:$E,科目余额表!$B575,data!K:K),0)</f>
        <v>0</v>
      </c>
      <c r="P575" s="207">
        <f>IFERROR(SUMIF(data!$E:$E,科目余额表!$B575,data!L:L),0)</f>
        <v>0</v>
      </c>
      <c r="Q575" s="207">
        <f>IFERROR(SUMIF(data!$E:$E,科目余额表!$B575,data!M:M),0)</f>
        <v>0</v>
      </c>
      <c r="R575" s="207">
        <f>IFERROR(SUMIF(data!$E:$E,科目余额表!$B575,data!N:N),0)</f>
        <v>0</v>
      </c>
      <c r="S575" s="207">
        <f>IFERROR(SUMIF(data!$E:$E,科目余额表!$B575,data!O:O),0)</f>
        <v>0</v>
      </c>
      <c r="T575" s="207">
        <f>IFERROR(SUMIF(data!$E:$E,科目余额表!$B575,data!P:P),0)</f>
        <v>0</v>
      </c>
      <c r="U575" s="207">
        <f>IFERROR(SUMIF(data!$E:$E,科目余额表!$B575,data!Q:Q),0)</f>
        <v>0</v>
      </c>
      <c r="V575" s="207">
        <f>IFERROR(SUMIF(data!$E:$E,科目余额表!$B575,data!R:R),0)</f>
        <v>0</v>
      </c>
      <c r="W575" s="207">
        <f>IFERROR(SUMIF(data!$E:$E,科目余额表!$B575,data!S:S),0)</f>
        <v>0</v>
      </c>
      <c r="X575" s="207">
        <f t="shared" si="14"/>
        <v>0</v>
      </c>
      <c r="Y575" s="207"/>
      <c r="Z575" s="207"/>
      <c r="AA575" s="207"/>
      <c r="AB575" s="207"/>
      <c r="AC575" s="207"/>
      <c r="AD575" s="207"/>
      <c r="AE575" s="207"/>
      <c r="AF575" s="207"/>
    </row>
    <row r="576" spans="1:32" s="214" customFormat="1" ht="11.65" customHeight="1">
      <c r="A576" s="215"/>
      <c r="B576" s="220">
        <v>65719</v>
      </c>
      <c r="C576" s="205" t="s">
        <v>856</v>
      </c>
      <c r="D576" s="221">
        <f t="shared" si="13"/>
        <v>0</v>
      </c>
      <c r="E576" s="221">
        <v>0</v>
      </c>
      <c r="F576" s="222">
        <f t="shared" si="12"/>
        <v>0</v>
      </c>
      <c r="G576" s="205" t="s">
        <v>804</v>
      </c>
      <c r="H576" s="225" t="s">
        <v>671</v>
      </c>
      <c r="J576" s="207" t="s">
        <v>832</v>
      </c>
      <c r="K576" s="207"/>
      <c r="L576" s="207">
        <f>IFERROR(SUMIF(data!$E:$E,科目余额表!$B576,data!H:H),0)</f>
        <v>0</v>
      </c>
      <c r="M576" s="207">
        <f>IFERROR(SUMIF(data!$E:$E,科目余额表!$B576,data!I:I),0)</f>
        <v>0</v>
      </c>
      <c r="N576" s="207">
        <f>IFERROR(SUMIF(data!$E:$E,科目余额表!$B576,data!J:J),0)</f>
        <v>0</v>
      </c>
      <c r="O576" s="207">
        <f>IFERROR(SUMIF(data!$E:$E,科目余额表!$B576,data!K:K),0)</f>
        <v>0</v>
      </c>
      <c r="P576" s="207">
        <f>IFERROR(SUMIF(data!$E:$E,科目余额表!$B576,data!L:L),0)</f>
        <v>0</v>
      </c>
      <c r="Q576" s="207">
        <f>IFERROR(SUMIF(data!$E:$E,科目余额表!$B576,data!M:M),0)</f>
        <v>0</v>
      </c>
      <c r="R576" s="207">
        <f>IFERROR(SUMIF(data!$E:$E,科目余额表!$B576,data!N:N),0)</f>
        <v>0</v>
      </c>
      <c r="S576" s="207">
        <f>IFERROR(SUMIF(data!$E:$E,科目余额表!$B576,data!O:O),0)</f>
        <v>0</v>
      </c>
      <c r="T576" s="207">
        <f>IFERROR(SUMIF(data!$E:$E,科目余额表!$B576,data!P:P),0)</f>
        <v>0</v>
      </c>
      <c r="U576" s="207">
        <f>IFERROR(SUMIF(data!$E:$E,科目余额表!$B576,data!Q:Q),0)</f>
        <v>0</v>
      </c>
      <c r="V576" s="207">
        <f>IFERROR(SUMIF(data!$E:$E,科目余额表!$B576,data!R:R),0)</f>
        <v>0</v>
      </c>
      <c r="W576" s="207">
        <f>IFERROR(SUMIF(data!$E:$E,科目余额表!$B576,data!S:S),0)</f>
        <v>0</v>
      </c>
      <c r="X576" s="207">
        <f t="shared" si="14"/>
        <v>0</v>
      </c>
      <c r="Y576" s="207"/>
      <c r="Z576" s="207"/>
      <c r="AA576" s="207"/>
      <c r="AB576" s="207"/>
      <c r="AC576" s="207"/>
      <c r="AD576" s="207"/>
      <c r="AE576" s="207"/>
      <c r="AF576" s="207"/>
    </row>
    <row r="577" spans="1:32" s="214" customFormat="1" ht="11.65" customHeight="1">
      <c r="A577" s="215"/>
      <c r="B577" s="220">
        <v>65720</v>
      </c>
      <c r="C577" s="205" t="s">
        <v>857</v>
      </c>
      <c r="D577" s="221">
        <f t="shared" si="13"/>
        <v>0</v>
      </c>
      <c r="E577" s="221">
        <v>0</v>
      </c>
      <c r="F577" s="222">
        <f t="shared" si="12"/>
        <v>0</v>
      </c>
      <c r="G577" s="205" t="s">
        <v>804</v>
      </c>
      <c r="H577" s="225" t="s">
        <v>671</v>
      </c>
      <c r="J577" s="207" t="s">
        <v>832</v>
      </c>
      <c r="K577" s="207"/>
      <c r="L577" s="207">
        <f>IFERROR(SUMIF(data!$E:$E,科目余额表!$B577,data!H:H),0)</f>
        <v>0</v>
      </c>
      <c r="M577" s="207">
        <f>IFERROR(SUMIF(data!$E:$E,科目余额表!$B577,data!I:I),0)</f>
        <v>0</v>
      </c>
      <c r="N577" s="207">
        <f>IFERROR(SUMIF(data!$E:$E,科目余额表!$B577,data!J:J),0)</f>
        <v>0</v>
      </c>
      <c r="O577" s="207">
        <f>IFERROR(SUMIF(data!$E:$E,科目余额表!$B577,data!K:K),0)</f>
        <v>0</v>
      </c>
      <c r="P577" s="207">
        <f>IFERROR(SUMIF(data!$E:$E,科目余额表!$B577,data!L:L),0)</f>
        <v>0</v>
      </c>
      <c r="Q577" s="207">
        <f>IFERROR(SUMIF(data!$E:$E,科目余额表!$B577,data!M:M),0)</f>
        <v>0</v>
      </c>
      <c r="R577" s="207">
        <f>IFERROR(SUMIF(data!$E:$E,科目余额表!$B577,data!N:N),0)</f>
        <v>0</v>
      </c>
      <c r="S577" s="207">
        <f>IFERROR(SUMIF(data!$E:$E,科目余额表!$B577,data!O:O),0)</f>
        <v>0</v>
      </c>
      <c r="T577" s="207">
        <f>IFERROR(SUMIF(data!$E:$E,科目余额表!$B577,data!P:P),0)</f>
        <v>0</v>
      </c>
      <c r="U577" s="207">
        <f>IFERROR(SUMIF(data!$E:$E,科目余额表!$B577,data!Q:Q),0)</f>
        <v>0</v>
      </c>
      <c r="V577" s="207">
        <f>IFERROR(SUMIF(data!$E:$E,科目余额表!$B577,data!R:R),0)</f>
        <v>0</v>
      </c>
      <c r="W577" s="207">
        <f>IFERROR(SUMIF(data!$E:$E,科目余额表!$B577,data!S:S),0)</f>
        <v>0</v>
      </c>
      <c r="X577" s="207">
        <f t="shared" si="14"/>
        <v>0</v>
      </c>
      <c r="Y577" s="207"/>
      <c r="Z577" s="207"/>
      <c r="AA577" s="207"/>
      <c r="AB577" s="207"/>
      <c r="AC577" s="207"/>
      <c r="AD577" s="207"/>
      <c r="AE577" s="207"/>
      <c r="AF577" s="207"/>
    </row>
    <row r="578" spans="1:32" s="214" customFormat="1" ht="11.65" customHeight="1">
      <c r="A578" s="215"/>
      <c r="B578" s="220">
        <v>65721</v>
      </c>
      <c r="C578" s="205" t="s">
        <v>858</v>
      </c>
      <c r="D578" s="221">
        <f t="shared" si="13"/>
        <v>0</v>
      </c>
      <c r="E578" s="221">
        <v>0</v>
      </c>
      <c r="F578" s="222">
        <f t="shared" si="12"/>
        <v>0</v>
      </c>
      <c r="G578" s="205" t="s">
        <v>804</v>
      </c>
      <c r="H578" s="225" t="s">
        <v>671</v>
      </c>
      <c r="J578" s="207" t="s">
        <v>832</v>
      </c>
      <c r="K578" s="207"/>
      <c r="L578" s="207">
        <f>IFERROR(SUMIF(data!$E:$E,科目余额表!$B578,data!H:H),0)</f>
        <v>0</v>
      </c>
      <c r="M578" s="207">
        <f>IFERROR(SUMIF(data!$E:$E,科目余额表!$B578,data!I:I),0)</f>
        <v>0</v>
      </c>
      <c r="N578" s="207">
        <f>IFERROR(SUMIF(data!$E:$E,科目余额表!$B578,data!J:J),0)</f>
        <v>0</v>
      </c>
      <c r="O578" s="207">
        <f>IFERROR(SUMIF(data!$E:$E,科目余额表!$B578,data!K:K),0)</f>
        <v>0</v>
      </c>
      <c r="P578" s="207">
        <f>IFERROR(SUMIF(data!$E:$E,科目余额表!$B578,data!L:L),0)</f>
        <v>0</v>
      </c>
      <c r="Q578" s="207">
        <f>IFERROR(SUMIF(data!$E:$E,科目余额表!$B578,data!M:M),0)</f>
        <v>0</v>
      </c>
      <c r="R578" s="207">
        <f>IFERROR(SUMIF(data!$E:$E,科目余额表!$B578,data!N:N),0)</f>
        <v>0</v>
      </c>
      <c r="S578" s="207">
        <f>IFERROR(SUMIF(data!$E:$E,科目余额表!$B578,data!O:O),0)</f>
        <v>0</v>
      </c>
      <c r="T578" s="207">
        <f>IFERROR(SUMIF(data!$E:$E,科目余额表!$B578,data!P:P),0)</f>
        <v>0</v>
      </c>
      <c r="U578" s="207">
        <f>IFERROR(SUMIF(data!$E:$E,科目余额表!$B578,data!Q:Q),0)</f>
        <v>0</v>
      </c>
      <c r="V578" s="207">
        <f>IFERROR(SUMIF(data!$E:$E,科目余额表!$B578,data!R:R),0)</f>
        <v>0</v>
      </c>
      <c r="W578" s="207">
        <f>IFERROR(SUMIF(data!$E:$E,科目余额表!$B578,data!S:S),0)</f>
        <v>0</v>
      </c>
      <c r="X578" s="207">
        <f t="shared" si="14"/>
        <v>0</v>
      </c>
      <c r="Y578" s="207"/>
      <c r="Z578" s="207"/>
      <c r="AA578" s="207"/>
      <c r="AB578" s="207"/>
      <c r="AC578" s="207"/>
      <c r="AD578" s="207"/>
      <c r="AE578" s="207"/>
      <c r="AF578" s="207"/>
    </row>
    <row r="579" spans="1:32" s="214" customFormat="1" ht="11.65" customHeight="1">
      <c r="A579" s="215"/>
      <c r="B579" s="220">
        <v>65722</v>
      </c>
      <c r="C579" s="205" t="s">
        <v>859</v>
      </c>
      <c r="D579" s="221">
        <f t="shared" si="13"/>
        <v>0</v>
      </c>
      <c r="E579" s="221">
        <v>0</v>
      </c>
      <c r="F579" s="222">
        <f t="shared" si="12"/>
        <v>0</v>
      </c>
      <c r="G579" s="205" t="s">
        <v>804</v>
      </c>
      <c r="H579" s="225" t="s">
        <v>671</v>
      </c>
      <c r="J579" s="207" t="s">
        <v>832</v>
      </c>
      <c r="K579" s="207"/>
      <c r="L579" s="207">
        <f>IFERROR(SUMIF(data!$E:$E,科目余额表!$B579,data!H:H),0)</f>
        <v>0</v>
      </c>
      <c r="M579" s="207">
        <f>IFERROR(SUMIF(data!$E:$E,科目余额表!$B579,data!I:I),0)</f>
        <v>0</v>
      </c>
      <c r="N579" s="207">
        <f>IFERROR(SUMIF(data!$E:$E,科目余额表!$B579,data!J:J),0)</f>
        <v>0</v>
      </c>
      <c r="O579" s="207">
        <f>IFERROR(SUMIF(data!$E:$E,科目余额表!$B579,data!K:K),0)</f>
        <v>0</v>
      </c>
      <c r="P579" s="207">
        <f>IFERROR(SUMIF(data!$E:$E,科目余额表!$B579,data!L:L),0)</f>
        <v>0</v>
      </c>
      <c r="Q579" s="207">
        <f>IFERROR(SUMIF(data!$E:$E,科目余额表!$B579,data!M:M),0)</f>
        <v>0</v>
      </c>
      <c r="R579" s="207">
        <f>IFERROR(SUMIF(data!$E:$E,科目余额表!$B579,data!N:N),0)</f>
        <v>0</v>
      </c>
      <c r="S579" s="207">
        <f>IFERROR(SUMIF(data!$E:$E,科目余额表!$B579,data!O:O),0)</f>
        <v>0</v>
      </c>
      <c r="T579" s="207">
        <f>IFERROR(SUMIF(data!$E:$E,科目余额表!$B579,data!P:P),0)</f>
        <v>0</v>
      </c>
      <c r="U579" s="207">
        <f>IFERROR(SUMIF(data!$E:$E,科目余额表!$B579,data!Q:Q),0)</f>
        <v>0</v>
      </c>
      <c r="V579" s="207">
        <f>IFERROR(SUMIF(data!$E:$E,科目余额表!$B579,data!R:R),0)</f>
        <v>0</v>
      </c>
      <c r="W579" s="207">
        <f>IFERROR(SUMIF(data!$E:$E,科目余额表!$B579,data!S:S),0)</f>
        <v>0</v>
      </c>
      <c r="X579" s="207">
        <f t="shared" si="14"/>
        <v>0</v>
      </c>
      <c r="Y579" s="207"/>
      <c r="Z579" s="207"/>
      <c r="AA579" s="207"/>
      <c r="AB579" s="207"/>
      <c r="AC579" s="207"/>
      <c r="AD579" s="207"/>
      <c r="AE579" s="207"/>
      <c r="AF579" s="207"/>
    </row>
    <row r="580" spans="1:32" s="214" customFormat="1" ht="11.65" customHeight="1">
      <c r="A580" s="215"/>
      <c r="B580" s="220">
        <v>65723</v>
      </c>
      <c r="C580" s="205" t="s">
        <v>860</v>
      </c>
      <c r="D580" s="221">
        <f t="shared" si="13"/>
        <v>0</v>
      </c>
      <c r="E580" s="221">
        <v>0</v>
      </c>
      <c r="F580" s="222">
        <f t="shared" si="12"/>
        <v>0</v>
      </c>
      <c r="G580" s="205" t="s">
        <v>804</v>
      </c>
      <c r="H580" s="225" t="s">
        <v>671</v>
      </c>
      <c r="J580" s="207" t="s">
        <v>832</v>
      </c>
      <c r="K580" s="207"/>
      <c r="L580" s="207">
        <f>IFERROR(SUMIF(data!$E:$E,科目余额表!$B580,data!H:H),0)</f>
        <v>0</v>
      </c>
      <c r="M580" s="207">
        <f>IFERROR(SUMIF(data!$E:$E,科目余额表!$B580,data!I:I),0)</f>
        <v>0</v>
      </c>
      <c r="N580" s="207">
        <f>IFERROR(SUMIF(data!$E:$E,科目余额表!$B580,data!J:J),0)</f>
        <v>0</v>
      </c>
      <c r="O580" s="207">
        <f>IFERROR(SUMIF(data!$E:$E,科目余额表!$B580,data!K:K),0)</f>
        <v>0</v>
      </c>
      <c r="P580" s="207">
        <f>IFERROR(SUMIF(data!$E:$E,科目余额表!$B580,data!L:L),0)</f>
        <v>0</v>
      </c>
      <c r="Q580" s="207">
        <f>IFERROR(SUMIF(data!$E:$E,科目余额表!$B580,data!M:M),0)</f>
        <v>0</v>
      </c>
      <c r="R580" s="207">
        <f>IFERROR(SUMIF(data!$E:$E,科目余额表!$B580,data!N:N),0)</f>
        <v>0</v>
      </c>
      <c r="S580" s="207">
        <f>IFERROR(SUMIF(data!$E:$E,科目余额表!$B580,data!O:O),0)</f>
        <v>0</v>
      </c>
      <c r="T580" s="207">
        <f>IFERROR(SUMIF(data!$E:$E,科目余额表!$B580,data!P:P),0)</f>
        <v>0</v>
      </c>
      <c r="U580" s="207">
        <f>IFERROR(SUMIF(data!$E:$E,科目余额表!$B580,data!Q:Q),0)</f>
        <v>0</v>
      </c>
      <c r="V580" s="207">
        <f>IFERROR(SUMIF(data!$E:$E,科目余额表!$B580,data!R:R),0)</f>
        <v>0</v>
      </c>
      <c r="W580" s="207">
        <f>IFERROR(SUMIF(data!$E:$E,科目余额表!$B580,data!S:S),0)</f>
        <v>0</v>
      </c>
      <c r="X580" s="207">
        <f t="shared" si="14"/>
        <v>0</v>
      </c>
      <c r="Y580" s="207"/>
      <c r="Z580" s="207"/>
      <c r="AA580" s="207"/>
      <c r="AB580" s="207"/>
      <c r="AC580" s="207"/>
      <c r="AD580" s="207"/>
      <c r="AE580" s="207"/>
      <c r="AF580" s="207"/>
    </row>
    <row r="581" spans="1:32" s="214" customFormat="1" ht="11.65" customHeight="1">
      <c r="A581" s="215"/>
      <c r="B581" s="220">
        <v>65724</v>
      </c>
      <c r="C581" s="205" t="s">
        <v>861</v>
      </c>
      <c r="D581" s="221">
        <f t="shared" si="13"/>
        <v>0</v>
      </c>
      <c r="E581" s="221">
        <v>0</v>
      </c>
      <c r="F581" s="222">
        <f t="shared" si="12"/>
        <v>0</v>
      </c>
      <c r="G581" s="205" t="s">
        <v>804</v>
      </c>
      <c r="H581" s="225" t="s">
        <v>671</v>
      </c>
      <c r="J581" s="207" t="s">
        <v>832</v>
      </c>
      <c r="K581" s="207"/>
      <c r="L581" s="207">
        <f>IFERROR(SUMIF(data!$E:$E,科目余额表!$B581,data!H:H),0)</f>
        <v>0</v>
      </c>
      <c r="M581" s="207">
        <f>IFERROR(SUMIF(data!$E:$E,科目余额表!$B581,data!I:I),0)</f>
        <v>0</v>
      </c>
      <c r="N581" s="207">
        <f>IFERROR(SUMIF(data!$E:$E,科目余额表!$B581,data!J:J),0)</f>
        <v>0</v>
      </c>
      <c r="O581" s="207">
        <f>IFERROR(SUMIF(data!$E:$E,科目余额表!$B581,data!K:K),0)</f>
        <v>0</v>
      </c>
      <c r="P581" s="207">
        <f>IFERROR(SUMIF(data!$E:$E,科目余额表!$B581,data!L:L),0)</f>
        <v>0</v>
      </c>
      <c r="Q581" s="207">
        <f>IFERROR(SUMIF(data!$E:$E,科目余额表!$B581,data!M:M),0)</f>
        <v>0</v>
      </c>
      <c r="R581" s="207">
        <f>IFERROR(SUMIF(data!$E:$E,科目余额表!$B581,data!N:N),0)</f>
        <v>0</v>
      </c>
      <c r="S581" s="207">
        <f>IFERROR(SUMIF(data!$E:$E,科目余额表!$B581,data!O:O),0)</f>
        <v>0</v>
      </c>
      <c r="T581" s="207">
        <f>IFERROR(SUMIF(data!$E:$E,科目余额表!$B581,data!P:P),0)</f>
        <v>0</v>
      </c>
      <c r="U581" s="207">
        <f>IFERROR(SUMIF(data!$E:$E,科目余额表!$B581,data!Q:Q),0)</f>
        <v>0</v>
      </c>
      <c r="V581" s="207">
        <f>IFERROR(SUMIF(data!$E:$E,科目余额表!$B581,data!R:R),0)</f>
        <v>0</v>
      </c>
      <c r="W581" s="207">
        <f>IFERROR(SUMIF(data!$E:$E,科目余额表!$B581,data!S:S),0)</f>
        <v>0</v>
      </c>
      <c r="X581" s="207">
        <f t="shared" si="14"/>
        <v>0</v>
      </c>
      <c r="Y581" s="207"/>
      <c r="Z581" s="207"/>
      <c r="AA581" s="207"/>
      <c r="AB581" s="207"/>
      <c r="AC581" s="207"/>
      <c r="AD581" s="207"/>
      <c r="AE581" s="207"/>
      <c r="AF581" s="207"/>
    </row>
    <row r="582" spans="1:32" s="214" customFormat="1" ht="11.65" customHeight="1">
      <c r="A582" s="215"/>
      <c r="B582" s="220">
        <v>65725</v>
      </c>
      <c r="C582" s="205" t="s">
        <v>862</v>
      </c>
      <c r="D582" s="221">
        <f t="shared" si="13"/>
        <v>0</v>
      </c>
      <c r="E582" s="221">
        <v>0</v>
      </c>
      <c r="F582" s="222">
        <f t="shared" si="12"/>
        <v>0</v>
      </c>
      <c r="G582" s="205" t="s">
        <v>804</v>
      </c>
      <c r="H582" s="225" t="s">
        <v>671</v>
      </c>
      <c r="J582" s="207" t="s">
        <v>832</v>
      </c>
      <c r="K582" s="207"/>
      <c r="L582" s="207">
        <f>IFERROR(SUMIF(data!$E:$E,科目余额表!$B582,data!H:H),0)</f>
        <v>0</v>
      </c>
      <c r="M582" s="207">
        <f>IFERROR(SUMIF(data!$E:$E,科目余额表!$B582,data!I:I),0)</f>
        <v>0</v>
      </c>
      <c r="N582" s="207">
        <f>IFERROR(SUMIF(data!$E:$E,科目余额表!$B582,data!J:J),0)</f>
        <v>0</v>
      </c>
      <c r="O582" s="207">
        <f>IFERROR(SUMIF(data!$E:$E,科目余额表!$B582,data!K:K),0)</f>
        <v>0</v>
      </c>
      <c r="P582" s="207">
        <f>IFERROR(SUMIF(data!$E:$E,科目余额表!$B582,data!L:L),0)</f>
        <v>0</v>
      </c>
      <c r="Q582" s="207">
        <f>IFERROR(SUMIF(data!$E:$E,科目余额表!$B582,data!M:M),0)</f>
        <v>0</v>
      </c>
      <c r="R582" s="207">
        <f>IFERROR(SUMIF(data!$E:$E,科目余额表!$B582,data!N:N),0)</f>
        <v>0</v>
      </c>
      <c r="S582" s="207">
        <f>IFERROR(SUMIF(data!$E:$E,科目余额表!$B582,data!O:O),0)</f>
        <v>0</v>
      </c>
      <c r="T582" s="207">
        <f>IFERROR(SUMIF(data!$E:$E,科目余额表!$B582,data!P:P),0)</f>
        <v>0</v>
      </c>
      <c r="U582" s="207">
        <f>IFERROR(SUMIF(data!$E:$E,科目余额表!$B582,data!Q:Q),0)</f>
        <v>0</v>
      </c>
      <c r="V582" s="207">
        <f>IFERROR(SUMIF(data!$E:$E,科目余额表!$B582,data!R:R),0)</f>
        <v>0</v>
      </c>
      <c r="W582" s="207">
        <f>IFERROR(SUMIF(data!$E:$E,科目余额表!$B582,data!S:S),0)</f>
        <v>0</v>
      </c>
      <c r="X582" s="207">
        <f t="shared" si="14"/>
        <v>0</v>
      </c>
      <c r="Y582" s="207"/>
      <c r="Z582" s="207"/>
      <c r="AA582" s="207"/>
      <c r="AB582" s="207"/>
      <c r="AC582" s="207"/>
      <c r="AD582" s="207"/>
      <c r="AE582" s="207"/>
      <c r="AF582" s="207"/>
    </row>
    <row r="583" spans="1:32" s="214" customFormat="1" ht="11.65" customHeight="1">
      <c r="A583" s="215"/>
      <c r="B583" s="220">
        <v>65726</v>
      </c>
      <c r="C583" s="205" t="s">
        <v>863</v>
      </c>
      <c r="D583" s="221">
        <f t="shared" si="13"/>
        <v>0</v>
      </c>
      <c r="E583" s="221">
        <v>0</v>
      </c>
      <c r="F583" s="222">
        <f t="shared" si="12"/>
        <v>0</v>
      </c>
      <c r="G583" s="205" t="s">
        <v>804</v>
      </c>
      <c r="H583" s="225" t="s">
        <v>671</v>
      </c>
      <c r="J583" s="207" t="s">
        <v>832</v>
      </c>
      <c r="K583" s="207"/>
      <c r="L583" s="207">
        <f>IFERROR(SUMIF(data!$E:$E,科目余额表!$B583,data!H:H),0)</f>
        <v>0</v>
      </c>
      <c r="M583" s="207">
        <f>IFERROR(SUMIF(data!$E:$E,科目余额表!$B583,data!I:I),0)</f>
        <v>0</v>
      </c>
      <c r="N583" s="207">
        <f>IFERROR(SUMIF(data!$E:$E,科目余额表!$B583,data!J:J),0)</f>
        <v>0</v>
      </c>
      <c r="O583" s="207">
        <f>IFERROR(SUMIF(data!$E:$E,科目余额表!$B583,data!K:K),0)</f>
        <v>0</v>
      </c>
      <c r="P583" s="207">
        <f>IFERROR(SUMIF(data!$E:$E,科目余额表!$B583,data!L:L),0)</f>
        <v>0</v>
      </c>
      <c r="Q583" s="207">
        <f>IFERROR(SUMIF(data!$E:$E,科目余额表!$B583,data!M:M),0)</f>
        <v>0</v>
      </c>
      <c r="R583" s="207">
        <f>IFERROR(SUMIF(data!$E:$E,科目余额表!$B583,data!N:N),0)</f>
        <v>0</v>
      </c>
      <c r="S583" s="207">
        <f>IFERROR(SUMIF(data!$E:$E,科目余额表!$B583,data!O:O),0)</f>
        <v>0</v>
      </c>
      <c r="T583" s="207">
        <f>IFERROR(SUMIF(data!$E:$E,科目余额表!$B583,data!P:P),0)</f>
        <v>0</v>
      </c>
      <c r="U583" s="207">
        <f>IFERROR(SUMIF(data!$E:$E,科目余额表!$B583,data!Q:Q),0)</f>
        <v>0</v>
      </c>
      <c r="V583" s="207">
        <f>IFERROR(SUMIF(data!$E:$E,科目余额表!$B583,data!R:R),0)</f>
        <v>0</v>
      </c>
      <c r="W583" s="207">
        <f>IFERROR(SUMIF(data!$E:$E,科目余额表!$B583,data!S:S),0)</f>
        <v>0</v>
      </c>
      <c r="X583" s="207">
        <f t="shared" si="14"/>
        <v>0</v>
      </c>
      <c r="Y583" s="207"/>
      <c r="Z583" s="207"/>
      <c r="AA583" s="207"/>
      <c r="AB583" s="207"/>
      <c r="AC583" s="207"/>
      <c r="AD583" s="207"/>
      <c r="AE583" s="207"/>
      <c r="AF583" s="207"/>
    </row>
    <row r="584" spans="1:32" s="214" customFormat="1" ht="11.65" customHeight="1">
      <c r="A584" s="215"/>
      <c r="B584" s="220">
        <v>65727</v>
      </c>
      <c r="C584" s="205" t="s">
        <v>864</v>
      </c>
      <c r="D584" s="221">
        <f t="shared" si="13"/>
        <v>0</v>
      </c>
      <c r="E584" s="221">
        <v>0</v>
      </c>
      <c r="F584" s="222">
        <f t="shared" si="12"/>
        <v>0</v>
      </c>
      <c r="G584" s="205" t="s">
        <v>804</v>
      </c>
      <c r="H584" s="225" t="s">
        <v>671</v>
      </c>
      <c r="J584" s="207" t="s">
        <v>832</v>
      </c>
      <c r="K584" s="207"/>
      <c r="L584" s="207">
        <f>IFERROR(SUMIF(data!$E:$E,科目余额表!$B584,data!H:H),0)</f>
        <v>0</v>
      </c>
      <c r="M584" s="207">
        <f>IFERROR(SUMIF(data!$E:$E,科目余额表!$B584,data!I:I),0)</f>
        <v>0</v>
      </c>
      <c r="N584" s="207">
        <f>IFERROR(SUMIF(data!$E:$E,科目余额表!$B584,data!J:J),0)</f>
        <v>0</v>
      </c>
      <c r="O584" s="207">
        <f>IFERROR(SUMIF(data!$E:$E,科目余额表!$B584,data!K:K),0)</f>
        <v>0</v>
      </c>
      <c r="P584" s="207">
        <f>IFERROR(SUMIF(data!$E:$E,科目余额表!$B584,data!L:L),0)</f>
        <v>0</v>
      </c>
      <c r="Q584" s="207">
        <f>IFERROR(SUMIF(data!$E:$E,科目余额表!$B584,data!M:M),0)</f>
        <v>0</v>
      </c>
      <c r="R584" s="207">
        <f>IFERROR(SUMIF(data!$E:$E,科目余额表!$B584,data!N:N),0)</f>
        <v>0</v>
      </c>
      <c r="S584" s="207">
        <f>IFERROR(SUMIF(data!$E:$E,科目余额表!$B584,data!O:O),0)</f>
        <v>0</v>
      </c>
      <c r="T584" s="207">
        <f>IFERROR(SUMIF(data!$E:$E,科目余额表!$B584,data!P:P),0)</f>
        <v>0</v>
      </c>
      <c r="U584" s="207">
        <f>IFERROR(SUMIF(data!$E:$E,科目余额表!$B584,data!Q:Q),0)</f>
        <v>0</v>
      </c>
      <c r="V584" s="207">
        <f>IFERROR(SUMIF(data!$E:$E,科目余额表!$B584,data!R:R),0)</f>
        <v>0</v>
      </c>
      <c r="W584" s="207">
        <f>IFERROR(SUMIF(data!$E:$E,科目余额表!$B584,data!S:S),0)</f>
        <v>0</v>
      </c>
      <c r="X584" s="207">
        <f t="shared" si="14"/>
        <v>0</v>
      </c>
      <c r="Y584" s="207"/>
      <c r="Z584" s="207"/>
      <c r="AA584" s="207"/>
      <c r="AB584" s="207"/>
      <c r="AC584" s="207"/>
      <c r="AD584" s="207"/>
      <c r="AE584" s="207"/>
      <c r="AF584" s="207"/>
    </row>
    <row r="585" spans="1:32" s="214" customFormat="1" ht="11.65" customHeight="1">
      <c r="A585" s="215"/>
      <c r="B585" s="220">
        <v>65728</v>
      </c>
      <c r="C585" s="205" t="s">
        <v>865</v>
      </c>
      <c r="D585" s="221">
        <f t="shared" si="13"/>
        <v>0</v>
      </c>
      <c r="E585" s="221">
        <v>0</v>
      </c>
      <c r="F585" s="222">
        <f t="shared" ref="F585:F644" si="15">D585+E585</f>
        <v>0</v>
      </c>
      <c r="G585" s="205" t="s">
        <v>798</v>
      </c>
      <c r="H585" s="225" t="s">
        <v>671</v>
      </c>
      <c r="J585" s="207" t="s">
        <v>832</v>
      </c>
      <c r="K585" s="207"/>
      <c r="L585" s="207">
        <f>IFERROR(SUMIF(data!$E:$E,科目余额表!$B585,data!H:H),0)</f>
        <v>0</v>
      </c>
      <c r="M585" s="207">
        <f>IFERROR(SUMIF(data!$E:$E,科目余额表!$B585,data!I:I),0)</f>
        <v>0</v>
      </c>
      <c r="N585" s="207">
        <f>IFERROR(SUMIF(data!$E:$E,科目余额表!$B585,data!J:J),0)</f>
        <v>0</v>
      </c>
      <c r="O585" s="207">
        <f>IFERROR(SUMIF(data!$E:$E,科目余额表!$B585,data!K:K),0)</f>
        <v>0</v>
      </c>
      <c r="P585" s="207">
        <f>IFERROR(SUMIF(data!$E:$E,科目余额表!$B585,data!L:L),0)</f>
        <v>0</v>
      </c>
      <c r="Q585" s="207">
        <f>IFERROR(SUMIF(data!$E:$E,科目余额表!$B585,data!M:M),0)</f>
        <v>0</v>
      </c>
      <c r="R585" s="207">
        <f>IFERROR(SUMIF(data!$E:$E,科目余额表!$B585,data!N:N),0)</f>
        <v>0</v>
      </c>
      <c r="S585" s="207">
        <f>IFERROR(SUMIF(data!$E:$E,科目余额表!$B585,data!O:O),0)</f>
        <v>0</v>
      </c>
      <c r="T585" s="207">
        <f>IFERROR(SUMIF(data!$E:$E,科目余额表!$B585,data!P:P),0)</f>
        <v>0</v>
      </c>
      <c r="U585" s="207">
        <f>IFERROR(SUMIF(data!$E:$E,科目余额表!$B585,data!Q:Q),0)</f>
        <v>0</v>
      </c>
      <c r="V585" s="207">
        <f>IFERROR(SUMIF(data!$E:$E,科目余额表!$B585,data!R:R),0)</f>
        <v>0</v>
      </c>
      <c r="W585" s="207">
        <f>IFERROR(SUMIF(data!$E:$E,科目余额表!$B585,data!S:S),0)</f>
        <v>0</v>
      </c>
      <c r="X585" s="207">
        <f t="shared" si="14"/>
        <v>0</v>
      </c>
      <c r="Y585" s="207"/>
      <c r="Z585" s="207"/>
      <c r="AA585" s="207"/>
      <c r="AB585" s="207"/>
      <c r="AC585" s="207"/>
      <c r="AD585" s="207"/>
      <c r="AE585" s="207"/>
      <c r="AF585" s="207"/>
    </row>
    <row r="586" spans="1:32" s="214" customFormat="1" ht="11.65" customHeight="1">
      <c r="A586" s="215"/>
      <c r="B586" s="220">
        <v>65799</v>
      </c>
      <c r="C586" s="205" t="s">
        <v>866</v>
      </c>
      <c r="D586" s="221">
        <f t="shared" si="13"/>
        <v>-888436.08</v>
      </c>
      <c r="E586" s="221">
        <v>-17512.32</v>
      </c>
      <c r="F586" s="222">
        <f t="shared" si="15"/>
        <v>-905948.39999999991</v>
      </c>
      <c r="G586" s="205" t="s">
        <v>804</v>
      </c>
      <c r="H586" s="225" t="s">
        <v>671</v>
      </c>
      <c r="J586" s="207" t="s">
        <v>832</v>
      </c>
      <c r="K586" s="207"/>
      <c r="L586" s="207">
        <f>IFERROR(SUMIF(data!$E:$E,科目余额表!$B586,data!H:H),0)</f>
        <v>135345.84</v>
      </c>
      <c r="M586" s="207">
        <f>IFERROR(SUMIF(data!$E:$E,科目余额表!$B586,data!I:I),0)</f>
        <v>119422.8</v>
      </c>
      <c r="N586" s="207">
        <f>IFERROR(SUMIF(data!$E:$E,科目余额表!$B586,data!J:J),0)</f>
        <v>122076.63999999998</v>
      </c>
      <c r="O586" s="207">
        <f>IFERROR(SUMIF(data!$E:$E,科目余额表!$B586,data!K:K),0)</f>
        <v>108807.44</v>
      </c>
      <c r="P586" s="207">
        <f>IFERROR(SUMIF(data!$E:$E,科目余额表!$B586,data!L:L),0)</f>
        <v>65671.199999999997</v>
      </c>
      <c r="Q586" s="207">
        <f>IFERROR(SUMIF(data!$E:$E,科目余额表!$B586,data!M:M),0)</f>
        <v>61293.120000000003</v>
      </c>
      <c r="R586" s="207">
        <f>IFERROR(SUMIF(data!$E:$E,科目余额表!$B586,data!N:N),0)</f>
        <v>74427.360000000001</v>
      </c>
      <c r="S586" s="207">
        <f>IFERROR(SUMIF(data!$E:$E,科目余额表!$B586,data!O:O),0)</f>
        <v>67860.239999999991</v>
      </c>
      <c r="T586" s="207">
        <f>IFERROR(SUMIF(data!$E:$E,科目余额表!$B586,data!P:P),0)</f>
        <v>67860.240000000005</v>
      </c>
      <c r="U586" s="207">
        <f>IFERROR(SUMIF(data!$E:$E,科目余额表!$B586,data!Q:Q),0)</f>
        <v>32835.599999999999</v>
      </c>
      <c r="V586" s="207">
        <f>IFERROR(SUMIF(data!$E:$E,科目余额表!$B586,data!R:R),0)</f>
        <v>32835.599999999999</v>
      </c>
      <c r="W586" s="207">
        <f>IFERROR(SUMIF(data!$E:$E,科目余额表!$B586,data!S:S),0)</f>
        <v>17512.32</v>
      </c>
      <c r="X586" s="207">
        <f t="shared" si="14"/>
        <v>905948.39999999991</v>
      </c>
      <c r="Y586" s="207"/>
      <c r="Z586" s="207"/>
      <c r="AA586" s="207"/>
      <c r="AB586" s="207"/>
      <c r="AC586" s="207"/>
      <c r="AD586" s="207"/>
      <c r="AE586" s="207"/>
      <c r="AF586" s="207"/>
    </row>
    <row r="587" spans="1:32" s="214" customFormat="1" ht="11.65" customHeight="1">
      <c r="A587" s="215"/>
      <c r="B587" s="220">
        <v>66000</v>
      </c>
      <c r="C587" s="205" t="s">
        <v>867</v>
      </c>
      <c r="D587" s="221">
        <f t="shared" si="13"/>
        <v>-47467.95</v>
      </c>
      <c r="E587" s="221">
        <v>-7360.49</v>
      </c>
      <c r="F587" s="222">
        <f t="shared" si="15"/>
        <v>-54828.439999999995</v>
      </c>
      <c r="G587" s="205" t="s">
        <v>867</v>
      </c>
      <c r="H587" s="225" t="s">
        <v>671</v>
      </c>
      <c r="J587" s="207" t="s">
        <v>868</v>
      </c>
      <c r="K587" s="207"/>
      <c r="L587" s="207">
        <f>IFERROR(SUMIF(data!$E:$E,科目余额表!$B587,data!H:H),0)</f>
        <v>0</v>
      </c>
      <c r="M587" s="207">
        <f>IFERROR(SUMIF(data!$E:$E,科目余额表!$B587,data!I:I),0)</f>
        <v>0</v>
      </c>
      <c r="N587" s="207">
        <f>IFERROR(SUMIF(data!$E:$E,科目余额表!$B587,data!J:J),0)</f>
        <v>31411.78</v>
      </c>
      <c r="O587" s="207">
        <f>IFERROR(SUMIF(data!$E:$E,科目余额表!$B587,data!K:K),0)</f>
        <v>0</v>
      </c>
      <c r="P587" s="207">
        <f>IFERROR(SUMIF(data!$E:$E,科目余额表!$B587,data!L:L),0)</f>
        <v>0</v>
      </c>
      <c r="Q587" s="207">
        <f>IFERROR(SUMIF(data!$E:$E,科目余额表!$B587,data!M:M),0)</f>
        <v>10042.290000000001</v>
      </c>
      <c r="R587" s="207">
        <f>IFERROR(SUMIF(data!$E:$E,科目余额表!$B587,data!N:N),0)</f>
        <v>0</v>
      </c>
      <c r="S587" s="207">
        <f>IFERROR(SUMIF(data!$E:$E,科目余额表!$B587,data!O:O),0)</f>
        <v>0</v>
      </c>
      <c r="T587" s="207">
        <f>IFERROR(SUMIF(data!$E:$E,科目余额表!$B587,data!P:P),0)</f>
        <v>6013.88</v>
      </c>
      <c r="U587" s="207">
        <f>IFERROR(SUMIF(data!$E:$E,科目余额表!$B587,data!Q:Q),0)</f>
        <v>0</v>
      </c>
      <c r="V587" s="207">
        <f>IFERROR(SUMIF(data!$E:$E,科目余额表!$B587,data!R:R),0)</f>
        <v>0</v>
      </c>
      <c r="W587" s="207">
        <f>IFERROR(SUMIF(data!$E:$E,科目余额表!$B587,data!S:S),0)</f>
        <v>7360.49</v>
      </c>
      <c r="X587" s="207">
        <f t="shared" si="14"/>
        <v>54828.439999999995</v>
      </c>
      <c r="Y587" s="207"/>
      <c r="Z587" s="207"/>
      <c r="AA587" s="207"/>
      <c r="AB587" s="207"/>
      <c r="AC587" s="207"/>
      <c r="AD587" s="207"/>
      <c r="AE587" s="207"/>
      <c r="AF587" s="207"/>
    </row>
    <row r="588" spans="1:32" s="214" customFormat="1" ht="11.65" customHeight="1">
      <c r="A588" s="215"/>
      <c r="B588" s="220">
        <v>66001</v>
      </c>
      <c r="C588" s="205" t="s">
        <v>869</v>
      </c>
      <c r="D588" s="221">
        <f t="shared" si="13"/>
        <v>864660.66</v>
      </c>
      <c r="E588" s="221">
        <v>83222.389999999985</v>
      </c>
      <c r="F588" s="222">
        <f t="shared" si="15"/>
        <v>947883.05</v>
      </c>
      <c r="G588" s="205" t="s">
        <v>869</v>
      </c>
      <c r="H588" s="225" t="s">
        <v>671</v>
      </c>
      <c r="J588" s="207" t="s">
        <v>868</v>
      </c>
      <c r="K588" s="207"/>
      <c r="L588" s="207">
        <f>IFERROR(SUMIF(data!$E:$E,科目余额表!$B588,data!H:H),0)</f>
        <v>-105847.85</v>
      </c>
      <c r="M588" s="207">
        <f>IFERROR(SUMIF(data!$E:$E,科目余额表!$B588,data!I:I),0)</f>
        <v>-81583</v>
      </c>
      <c r="N588" s="207">
        <f>IFERROR(SUMIF(data!$E:$E,科目余额表!$B588,data!J:J),0)</f>
        <v>-82172.090000000026</v>
      </c>
      <c r="O588" s="207">
        <f>IFERROR(SUMIF(data!$E:$E,科目余额表!$B588,data!K:K),0)</f>
        <v>-70350.41</v>
      </c>
      <c r="P588" s="207">
        <f>IFERROR(SUMIF(data!$E:$E,科目余额表!$B588,data!L:L),0)</f>
        <v>-54177.760000000002</v>
      </c>
      <c r="Q588" s="207">
        <f>IFERROR(SUMIF(data!$E:$E,科目余额表!$B588,data!M:M),0)</f>
        <v>-67270.62000000001</v>
      </c>
      <c r="R588" s="207">
        <f>IFERROR(SUMIF(data!$E:$E,科目余额表!$B588,data!N:N),0)</f>
        <v>-75010.36</v>
      </c>
      <c r="S588" s="207">
        <f>IFERROR(SUMIF(data!$E:$E,科目余额表!$B588,data!O:O),0)</f>
        <v>-79243.149999999994</v>
      </c>
      <c r="T588" s="207">
        <f>IFERROR(SUMIF(data!$E:$E,科目余额表!$B588,data!P:P),0)</f>
        <v>-74384.08</v>
      </c>
      <c r="U588" s="207">
        <f>IFERROR(SUMIF(data!$E:$E,科目余额表!$B588,data!Q:Q),0)</f>
        <v>-90695.99</v>
      </c>
      <c r="V588" s="207">
        <f>IFERROR(SUMIF(data!$E:$E,科目余额表!$B588,data!R:R),0)</f>
        <v>-83925.35</v>
      </c>
      <c r="W588" s="207">
        <f>IFERROR(SUMIF(data!$E:$E,科目余额表!$B588,data!S:S),0)</f>
        <v>-83222.389999999985</v>
      </c>
      <c r="X588" s="207">
        <f t="shared" si="14"/>
        <v>-947883.05</v>
      </c>
      <c r="Y588" s="207"/>
      <c r="Z588" s="207"/>
      <c r="AA588" s="207"/>
      <c r="AB588" s="207"/>
      <c r="AC588" s="207"/>
      <c r="AD588" s="207"/>
      <c r="AE588" s="207"/>
      <c r="AF588" s="207"/>
    </row>
    <row r="589" spans="1:32" s="214" customFormat="1" ht="11.65" customHeight="1">
      <c r="A589" s="215"/>
      <c r="B589" s="220">
        <v>66002</v>
      </c>
      <c r="C589" s="205" t="s">
        <v>870</v>
      </c>
      <c r="D589" s="221">
        <f t="shared" si="13"/>
        <v>0</v>
      </c>
      <c r="E589" s="221">
        <v>0</v>
      </c>
      <c r="F589" s="222">
        <f t="shared" si="15"/>
        <v>0</v>
      </c>
      <c r="G589" s="205" t="s">
        <v>869</v>
      </c>
      <c r="H589" s="225" t="s">
        <v>671</v>
      </c>
      <c r="J589" s="207" t="s">
        <v>868</v>
      </c>
      <c r="K589" s="207"/>
      <c r="L589" s="207">
        <f>IFERROR(SUMIF(data!$E:$E,科目余额表!$B589,data!H:H),0)</f>
        <v>0</v>
      </c>
      <c r="M589" s="207">
        <f>IFERROR(SUMIF(data!$E:$E,科目余额表!$B589,data!I:I),0)</f>
        <v>0</v>
      </c>
      <c r="N589" s="207">
        <f>IFERROR(SUMIF(data!$E:$E,科目余额表!$B589,data!J:J),0)</f>
        <v>0</v>
      </c>
      <c r="O589" s="207">
        <f>IFERROR(SUMIF(data!$E:$E,科目余额表!$B589,data!K:K),0)</f>
        <v>0</v>
      </c>
      <c r="P589" s="207">
        <f>IFERROR(SUMIF(data!$E:$E,科目余额表!$B589,data!L:L),0)</f>
        <v>0</v>
      </c>
      <c r="Q589" s="207">
        <f>IFERROR(SUMIF(data!$E:$E,科目余额表!$B589,data!M:M),0)</f>
        <v>0</v>
      </c>
      <c r="R589" s="207">
        <f>IFERROR(SUMIF(data!$E:$E,科目余额表!$B589,data!N:N),0)</f>
        <v>0</v>
      </c>
      <c r="S589" s="207">
        <f>IFERROR(SUMIF(data!$E:$E,科目余额表!$B589,data!O:O),0)</f>
        <v>0</v>
      </c>
      <c r="T589" s="207">
        <f>IFERROR(SUMIF(data!$E:$E,科目余额表!$B589,data!P:P),0)</f>
        <v>0</v>
      </c>
      <c r="U589" s="207">
        <f>IFERROR(SUMIF(data!$E:$E,科目余额表!$B589,data!Q:Q),0)</f>
        <v>0</v>
      </c>
      <c r="V589" s="207">
        <f>IFERROR(SUMIF(data!$E:$E,科目余额表!$B589,data!R:R),0)</f>
        <v>0</v>
      </c>
      <c r="W589" s="207">
        <f>IFERROR(SUMIF(data!$E:$E,科目余额表!$B589,data!S:S),0)</f>
        <v>0</v>
      </c>
      <c r="X589" s="207">
        <f t="shared" si="14"/>
        <v>0</v>
      </c>
      <c r="Y589" s="207"/>
      <c r="Z589" s="207"/>
      <c r="AA589" s="207"/>
      <c r="AB589" s="207"/>
      <c r="AC589" s="207"/>
      <c r="AD589" s="207"/>
      <c r="AE589" s="207"/>
      <c r="AF589" s="207"/>
    </row>
    <row r="590" spans="1:32" s="214" customFormat="1" ht="11.65" customHeight="1">
      <c r="A590" s="215"/>
      <c r="B590" s="220">
        <v>66003</v>
      </c>
      <c r="C590" s="205" t="s">
        <v>871</v>
      </c>
      <c r="D590" s="221">
        <f t="shared" si="13"/>
        <v>0</v>
      </c>
      <c r="E590" s="221">
        <v>0</v>
      </c>
      <c r="F590" s="222">
        <f t="shared" si="15"/>
        <v>0</v>
      </c>
      <c r="G590" s="205" t="s">
        <v>869</v>
      </c>
      <c r="H590" s="225" t="s">
        <v>671</v>
      </c>
      <c r="J590" s="207" t="s">
        <v>868</v>
      </c>
      <c r="K590" s="207"/>
      <c r="L590" s="207">
        <f>IFERROR(SUMIF(data!$E:$E,科目余额表!$B590,data!H:H),0)</f>
        <v>0</v>
      </c>
      <c r="M590" s="207">
        <f>IFERROR(SUMIF(data!$E:$E,科目余额表!$B590,data!I:I),0)</f>
        <v>0</v>
      </c>
      <c r="N590" s="207">
        <f>IFERROR(SUMIF(data!$E:$E,科目余额表!$B590,data!J:J),0)</f>
        <v>0</v>
      </c>
      <c r="O590" s="207">
        <f>IFERROR(SUMIF(data!$E:$E,科目余额表!$B590,data!K:K),0)</f>
        <v>0</v>
      </c>
      <c r="P590" s="207">
        <f>IFERROR(SUMIF(data!$E:$E,科目余额表!$B590,data!L:L),0)</f>
        <v>0</v>
      </c>
      <c r="Q590" s="207">
        <f>IFERROR(SUMIF(data!$E:$E,科目余额表!$B590,data!M:M),0)</f>
        <v>0</v>
      </c>
      <c r="R590" s="207">
        <f>IFERROR(SUMIF(data!$E:$E,科目余额表!$B590,data!N:N),0)</f>
        <v>0</v>
      </c>
      <c r="S590" s="207">
        <f>IFERROR(SUMIF(data!$E:$E,科目余额表!$B590,data!O:O),0)</f>
        <v>0</v>
      </c>
      <c r="T590" s="207">
        <f>IFERROR(SUMIF(data!$E:$E,科目余额表!$B590,data!P:P),0)</f>
        <v>0</v>
      </c>
      <c r="U590" s="207">
        <f>IFERROR(SUMIF(data!$E:$E,科目余额表!$B590,data!Q:Q),0)</f>
        <v>0</v>
      </c>
      <c r="V590" s="207">
        <f>IFERROR(SUMIF(data!$E:$E,科目余额表!$B590,data!R:R),0)</f>
        <v>0</v>
      </c>
      <c r="W590" s="207">
        <f>IFERROR(SUMIF(data!$E:$E,科目余额表!$B590,data!S:S),0)</f>
        <v>0</v>
      </c>
      <c r="X590" s="207">
        <f t="shared" si="14"/>
        <v>0</v>
      </c>
      <c r="Y590" s="207"/>
      <c r="Z590" s="207"/>
      <c r="AA590" s="207"/>
      <c r="AB590" s="207"/>
      <c r="AC590" s="207"/>
      <c r="AD590" s="207"/>
      <c r="AE590" s="207"/>
      <c r="AF590" s="207"/>
    </row>
    <row r="591" spans="1:32" s="214" customFormat="1" ht="11.65" customHeight="1">
      <c r="A591" s="215"/>
      <c r="B591" s="220">
        <v>66004</v>
      </c>
      <c r="C591" s="205" t="s">
        <v>872</v>
      </c>
      <c r="D591" s="221">
        <f t="shared" si="13"/>
        <v>23305.39</v>
      </c>
      <c r="E591" s="221">
        <v>-14618.42</v>
      </c>
      <c r="F591" s="222">
        <f t="shared" si="15"/>
        <v>8686.9699999999993</v>
      </c>
      <c r="G591" s="205" t="s">
        <v>873</v>
      </c>
      <c r="H591" s="225" t="s">
        <v>671</v>
      </c>
      <c r="J591" s="207" t="s">
        <v>868</v>
      </c>
      <c r="K591" s="207"/>
      <c r="L591" s="207">
        <f>IFERROR(SUMIF(data!$E:$E,科目余额表!$B591,data!H:H),0)</f>
        <v>0</v>
      </c>
      <c r="M591" s="207">
        <f>IFERROR(SUMIF(data!$E:$E,科目余额表!$B591,data!I:I),0)</f>
        <v>-745.79000000000008</v>
      </c>
      <c r="N591" s="207">
        <f>IFERROR(SUMIF(data!$E:$E,科目余额表!$B591,data!J:J),0)</f>
        <v>-1414.86</v>
      </c>
      <c r="O591" s="207">
        <f>IFERROR(SUMIF(data!$E:$E,科目余额表!$B591,data!K:K),0)</f>
        <v>-0.03</v>
      </c>
      <c r="P591" s="207">
        <f>IFERROR(SUMIF(data!$E:$E,科目余额表!$B591,data!L:L),0)</f>
        <v>-11590.56</v>
      </c>
      <c r="Q591" s="207">
        <f>IFERROR(SUMIF(data!$E:$E,科目余额表!$B591,data!M:M),0)</f>
        <v>-3453.73</v>
      </c>
      <c r="R591" s="207">
        <f>IFERROR(SUMIF(data!$E:$E,科目余额表!$B591,data!N:N),0)</f>
        <v>-7980.08</v>
      </c>
      <c r="S591" s="207">
        <f>IFERROR(SUMIF(data!$E:$E,科目余额表!$B591,data!O:O),0)</f>
        <v>370.48000000000008</v>
      </c>
      <c r="T591" s="207">
        <f>IFERROR(SUMIF(data!$E:$E,科目余额表!$B591,data!P:P),0)</f>
        <v>-557.89</v>
      </c>
      <c r="U591" s="207">
        <f>IFERROR(SUMIF(data!$E:$E,科目余额表!$B591,data!Q:Q),0)</f>
        <v>946.92000000000007</v>
      </c>
      <c r="V591" s="207">
        <f>IFERROR(SUMIF(data!$E:$E,科目余额表!$B591,data!R:R),0)</f>
        <v>1120.1500000000001</v>
      </c>
      <c r="W591" s="207">
        <f>IFERROR(SUMIF(data!$E:$E,科目余额表!$B591,data!S:S),0)</f>
        <v>14618.42</v>
      </c>
      <c r="X591" s="207">
        <f t="shared" si="14"/>
        <v>-8686.9699999999993</v>
      </c>
      <c r="Y591" s="207"/>
      <c r="Z591" s="207"/>
      <c r="AA591" s="207"/>
      <c r="AB591" s="207"/>
      <c r="AC591" s="207"/>
      <c r="AD591" s="207"/>
      <c r="AE591" s="207"/>
      <c r="AF591" s="207"/>
    </row>
    <row r="592" spans="1:32" s="214" customFormat="1" ht="11.65" customHeight="1">
      <c r="A592" s="215"/>
      <c r="B592" s="220">
        <v>66005</v>
      </c>
      <c r="C592" s="205" t="s">
        <v>874</v>
      </c>
      <c r="D592" s="221">
        <f t="shared" si="13"/>
        <v>4057.3099999999995</v>
      </c>
      <c r="E592" s="221">
        <v>947.65</v>
      </c>
      <c r="F592" s="222">
        <f t="shared" si="15"/>
        <v>5004.9599999999991</v>
      </c>
      <c r="G592" s="205" t="s">
        <v>873</v>
      </c>
      <c r="H592" s="225" t="s">
        <v>671</v>
      </c>
      <c r="J592" s="207" t="s">
        <v>868</v>
      </c>
      <c r="K592" s="207"/>
      <c r="L592" s="207">
        <f>IFERROR(SUMIF(data!$E:$E,科目余额表!$B592,data!H:H),0)</f>
        <v>-268.15000000000003</v>
      </c>
      <c r="M592" s="207">
        <f>IFERROR(SUMIF(data!$E:$E,科目余额表!$B592,data!I:I),0)</f>
        <v>-324.88</v>
      </c>
      <c r="N592" s="207">
        <f>IFERROR(SUMIF(data!$E:$E,科目余额表!$B592,data!J:J),0)</f>
        <v>-266.13</v>
      </c>
      <c r="O592" s="207">
        <f>IFERROR(SUMIF(data!$E:$E,科目余额表!$B592,data!K:K),0)</f>
        <v>-84.5</v>
      </c>
      <c r="P592" s="207">
        <f>IFERROR(SUMIF(data!$E:$E,科目余额表!$B592,data!L:L),0)</f>
        <v>-475.69</v>
      </c>
      <c r="Q592" s="207">
        <f>IFERROR(SUMIF(data!$E:$E,科目余额表!$B592,data!M:M),0)</f>
        <v>-665.31</v>
      </c>
      <c r="R592" s="207">
        <f>IFERROR(SUMIF(data!$E:$E,科目余额表!$B592,data!N:N),0)</f>
        <v>-181.13</v>
      </c>
      <c r="S592" s="207">
        <f>IFERROR(SUMIF(data!$E:$E,科目余额表!$B592,data!O:O),0)</f>
        <v>-268.89</v>
      </c>
      <c r="T592" s="207">
        <f>IFERROR(SUMIF(data!$E:$E,科目余额表!$B592,data!P:P),0)</f>
        <v>-534.04999999999995</v>
      </c>
      <c r="U592" s="207">
        <f>IFERROR(SUMIF(data!$E:$E,科目余额表!$B592,data!Q:Q),0)</f>
        <v>-15</v>
      </c>
      <c r="V592" s="207">
        <f>IFERROR(SUMIF(data!$E:$E,科目余额表!$B592,data!R:R),0)</f>
        <v>-973.58</v>
      </c>
      <c r="W592" s="207">
        <f>IFERROR(SUMIF(data!$E:$E,科目余额表!$B592,data!S:S),0)</f>
        <v>-947.65</v>
      </c>
      <c r="X592" s="207">
        <f t="shared" si="14"/>
        <v>-5004.9599999999991</v>
      </c>
      <c r="Y592" s="207"/>
      <c r="Z592" s="207"/>
      <c r="AA592" s="207"/>
      <c r="AB592" s="207"/>
      <c r="AC592" s="207"/>
      <c r="AD592" s="207"/>
      <c r="AE592" s="207"/>
      <c r="AF592" s="207"/>
    </row>
    <row r="593" spans="1:32" s="214" customFormat="1" ht="11.65" customHeight="1">
      <c r="A593" s="215"/>
      <c r="B593" s="220">
        <v>66006</v>
      </c>
      <c r="C593" s="205" t="s">
        <v>875</v>
      </c>
      <c r="D593" s="221">
        <f t="shared" si="13"/>
        <v>0</v>
      </c>
      <c r="E593" s="221">
        <v>0</v>
      </c>
      <c r="F593" s="222">
        <f t="shared" si="15"/>
        <v>0</v>
      </c>
      <c r="G593" s="205" t="s">
        <v>873</v>
      </c>
      <c r="H593" s="225" t="s">
        <v>671</v>
      </c>
      <c r="J593" s="207" t="s">
        <v>868</v>
      </c>
      <c r="K593" s="207"/>
      <c r="L593" s="207">
        <f>IFERROR(SUMIF(data!$E:$E,科目余额表!$B593,data!H:H),0)</f>
        <v>0</v>
      </c>
      <c r="M593" s="207">
        <f>IFERROR(SUMIF(data!$E:$E,科目余额表!$B593,data!I:I),0)</f>
        <v>0</v>
      </c>
      <c r="N593" s="207">
        <f>IFERROR(SUMIF(data!$E:$E,科目余额表!$B593,data!J:J),0)</f>
        <v>0</v>
      </c>
      <c r="O593" s="207">
        <f>IFERROR(SUMIF(data!$E:$E,科目余额表!$B593,data!K:K),0)</f>
        <v>0</v>
      </c>
      <c r="P593" s="207">
        <f>IFERROR(SUMIF(data!$E:$E,科目余额表!$B593,data!L:L),0)</f>
        <v>0</v>
      </c>
      <c r="Q593" s="207">
        <f>IFERROR(SUMIF(data!$E:$E,科目余额表!$B593,data!M:M),0)</f>
        <v>0</v>
      </c>
      <c r="R593" s="207">
        <f>IFERROR(SUMIF(data!$E:$E,科目余额表!$B593,data!N:N),0)</f>
        <v>0</v>
      </c>
      <c r="S593" s="207">
        <f>IFERROR(SUMIF(data!$E:$E,科目余额表!$B593,data!O:O),0)</f>
        <v>0</v>
      </c>
      <c r="T593" s="207">
        <f>IFERROR(SUMIF(data!$E:$E,科目余额表!$B593,data!P:P),0)</f>
        <v>0</v>
      </c>
      <c r="U593" s="207">
        <f>IFERROR(SUMIF(data!$E:$E,科目余额表!$B593,data!Q:Q),0)</f>
        <v>0</v>
      </c>
      <c r="V593" s="207">
        <f>IFERROR(SUMIF(data!$E:$E,科目余额表!$B593,data!R:R),0)</f>
        <v>0</v>
      </c>
      <c r="W593" s="207">
        <f>IFERROR(SUMIF(data!$E:$E,科目余额表!$B593,data!S:S),0)</f>
        <v>0</v>
      </c>
      <c r="X593" s="207">
        <f t="shared" si="14"/>
        <v>0</v>
      </c>
      <c r="Y593" s="207"/>
      <c r="Z593" s="207"/>
      <c r="AA593" s="207"/>
      <c r="AB593" s="207"/>
      <c r="AC593" s="207"/>
      <c r="AD593" s="207"/>
      <c r="AE593" s="207"/>
      <c r="AF593" s="207"/>
    </row>
    <row r="594" spans="1:32" s="214" customFormat="1" ht="11.65" customHeight="1">
      <c r="A594" s="215"/>
      <c r="B594" s="220">
        <v>66007</v>
      </c>
      <c r="C594" s="205" t="s">
        <v>873</v>
      </c>
      <c r="D594" s="221">
        <f t="shared" si="13"/>
        <v>0</v>
      </c>
      <c r="E594" s="221">
        <v>0</v>
      </c>
      <c r="F594" s="222">
        <f t="shared" si="15"/>
        <v>0</v>
      </c>
      <c r="G594" s="205" t="s">
        <v>873</v>
      </c>
      <c r="H594" s="225" t="s">
        <v>671</v>
      </c>
      <c r="J594" s="207" t="s">
        <v>868</v>
      </c>
      <c r="K594" s="207"/>
      <c r="L594" s="207">
        <f>IFERROR(SUMIF(data!$E:$E,科目余额表!$B594,data!H:H),0)</f>
        <v>0</v>
      </c>
      <c r="M594" s="207">
        <f>IFERROR(SUMIF(data!$E:$E,科目余额表!$B594,data!I:I),0)</f>
        <v>0</v>
      </c>
      <c r="N594" s="207">
        <f>IFERROR(SUMIF(data!$E:$E,科目余额表!$B594,data!J:J),0)</f>
        <v>0</v>
      </c>
      <c r="O594" s="207">
        <f>IFERROR(SUMIF(data!$E:$E,科目余额表!$B594,data!K:K),0)</f>
        <v>0</v>
      </c>
      <c r="P594" s="207">
        <f>IFERROR(SUMIF(data!$E:$E,科目余额表!$B594,data!L:L),0)</f>
        <v>0</v>
      </c>
      <c r="Q594" s="207">
        <f>IFERROR(SUMIF(data!$E:$E,科目余额表!$B594,data!M:M),0)</f>
        <v>0</v>
      </c>
      <c r="R594" s="207">
        <f>IFERROR(SUMIF(data!$E:$E,科目余额表!$B594,data!N:N),0)</f>
        <v>0</v>
      </c>
      <c r="S594" s="207">
        <f>IFERROR(SUMIF(data!$E:$E,科目余额表!$B594,data!O:O),0)</f>
        <v>0</v>
      </c>
      <c r="T594" s="207">
        <f>IFERROR(SUMIF(data!$E:$E,科目余额表!$B594,data!P:P),0)</f>
        <v>0</v>
      </c>
      <c r="U594" s="207">
        <f>IFERROR(SUMIF(data!$E:$E,科目余额表!$B594,data!Q:Q),0)</f>
        <v>0</v>
      </c>
      <c r="V594" s="207">
        <f>IFERROR(SUMIF(data!$E:$E,科目余额表!$B594,data!R:R),0)</f>
        <v>0</v>
      </c>
      <c r="W594" s="207">
        <f>IFERROR(SUMIF(data!$E:$E,科目余额表!$B594,data!S:S),0)</f>
        <v>0</v>
      </c>
      <c r="X594" s="207">
        <f t="shared" si="14"/>
        <v>0</v>
      </c>
      <c r="Y594" s="207"/>
      <c r="Z594" s="207"/>
      <c r="AA594" s="207"/>
      <c r="AB594" s="207"/>
      <c r="AC594" s="207"/>
      <c r="AD594" s="207"/>
      <c r="AE594" s="207"/>
      <c r="AF594" s="207"/>
    </row>
    <row r="595" spans="1:32" s="214" customFormat="1" ht="11.65" customHeight="1">
      <c r="A595" s="215"/>
      <c r="B595" s="220">
        <v>66008</v>
      </c>
      <c r="C595" s="205" t="s">
        <v>876</v>
      </c>
      <c r="D595" s="221">
        <f t="shared" si="13"/>
        <v>0</v>
      </c>
      <c r="E595" s="221">
        <v>0</v>
      </c>
      <c r="F595" s="222">
        <f t="shared" si="15"/>
        <v>0</v>
      </c>
      <c r="G595" s="205" t="s">
        <v>873</v>
      </c>
      <c r="H595" s="225" t="s">
        <v>671</v>
      </c>
      <c r="J595" s="207" t="s">
        <v>868</v>
      </c>
      <c r="K595" s="207"/>
      <c r="L595" s="207">
        <f>IFERROR(SUMIF(data!$E:$E,科目余额表!$B595,data!H:H),0)</f>
        <v>0</v>
      </c>
      <c r="M595" s="207">
        <f>IFERROR(SUMIF(data!$E:$E,科目余额表!$B595,data!I:I),0)</f>
        <v>0</v>
      </c>
      <c r="N595" s="207">
        <f>IFERROR(SUMIF(data!$E:$E,科目余额表!$B595,data!J:J),0)</f>
        <v>0</v>
      </c>
      <c r="O595" s="207">
        <f>IFERROR(SUMIF(data!$E:$E,科目余额表!$B595,data!K:K),0)</f>
        <v>0</v>
      </c>
      <c r="P595" s="207">
        <f>IFERROR(SUMIF(data!$E:$E,科目余额表!$B595,data!L:L),0)</f>
        <v>0</v>
      </c>
      <c r="Q595" s="207">
        <f>IFERROR(SUMIF(data!$E:$E,科目余额表!$B595,data!M:M),0)</f>
        <v>0</v>
      </c>
      <c r="R595" s="207">
        <f>IFERROR(SUMIF(data!$E:$E,科目余额表!$B595,data!N:N),0)</f>
        <v>0</v>
      </c>
      <c r="S595" s="207">
        <f>IFERROR(SUMIF(data!$E:$E,科目余额表!$B595,data!O:O),0)</f>
        <v>0</v>
      </c>
      <c r="T595" s="207">
        <f>IFERROR(SUMIF(data!$E:$E,科目余额表!$B595,data!P:P),0)</f>
        <v>0</v>
      </c>
      <c r="U595" s="207">
        <f>IFERROR(SUMIF(data!$E:$E,科目余额表!$B595,data!Q:Q),0)</f>
        <v>0</v>
      </c>
      <c r="V595" s="207">
        <f>IFERROR(SUMIF(data!$E:$E,科目余额表!$B595,data!R:R),0)</f>
        <v>0</v>
      </c>
      <c r="W595" s="207">
        <f>IFERROR(SUMIF(data!$E:$E,科目余额表!$B595,data!S:S),0)</f>
        <v>0</v>
      </c>
      <c r="X595" s="207">
        <f t="shared" si="14"/>
        <v>0</v>
      </c>
      <c r="Y595" s="207"/>
      <c r="Z595" s="207"/>
      <c r="AA595" s="207"/>
      <c r="AB595" s="207"/>
      <c r="AC595" s="207"/>
      <c r="AD595" s="207"/>
      <c r="AE595" s="207"/>
      <c r="AF595" s="207"/>
    </row>
    <row r="596" spans="1:32" s="214" customFormat="1" ht="11.65" customHeight="1">
      <c r="A596" s="215"/>
      <c r="B596" s="220">
        <v>67000</v>
      </c>
      <c r="C596" s="205" t="s">
        <v>877</v>
      </c>
      <c r="D596" s="221">
        <f t="shared" si="13"/>
        <v>0</v>
      </c>
      <c r="E596" s="221">
        <v>133777.53999999998</v>
      </c>
      <c r="F596" s="222">
        <f t="shared" si="15"/>
        <v>133777.53999999998</v>
      </c>
      <c r="G596" s="205" t="s">
        <v>877</v>
      </c>
      <c r="H596" s="225" t="s">
        <v>671</v>
      </c>
      <c r="J596" s="207" t="s">
        <v>140</v>
      </c>
      <c r="K596" s="207"/>
      <c r="L596" s="207">
        <f>IFERROR(SUMIF(data!$E:$E,科目余额表!$B596,data!H:H),0)</f>
        <v>0</v>
      </c>
      <c r="M596" s="207">
        <f>IFERROR(SUMIF(data!$E:$E,科目余额表!$B596,data!I:I),0)</f>
        <v>0</v>
      </c>
      <c r="N596" s="207">
        <f>IFERROR(SUMIF(data!$E:$E,科目余额表!$B596,data!J:J),0)</f>
        <v>0</v>
      </c>
      <c r="O596" s="207">
        <f>IFERROR(SUMIF(data!$E:$E,科目余额表!$B596,data!K:K),0)</f>
        <v>0</v>
      </c>
      <c r="P596" s="207">
        <f>IFERROR(SUMIF(data!$E:$E,科目余额表!$B596,data!L:L),0)</f>
        <v>0</v>
      </c>
      <c r="Q596" s="207">
        <f>IFERROR(SUMIF(data!$E:$E,科目余额表!$B596,data!M:M),0)</f>
        <v>0</v>
      </c>
      <c r="R596" s="207">
        <f>IFERROR(SUMIF(data!$E:$E,科目余额表!$B596,data!N:N),0)</f>
        <v>0</v>
      </c>
      <c r="S596" s="207">
        <f>IFERROR(SUMIF(data!$E:$E,科目余额表!$B596,data!O:O),0)</f>
        <v>0</v>
      </c>
      <c r="T596" s="207">
        <f>IFERROR(SUMIF(data!$E:$E,科目余额表!$B596,data!P:P),0)</f>
        <v>0</v>
      </c>
      <c r="U596" s="207">
        <f>IFERROR(SUMIF(data!$E:$E,科目余额表!$B596,data!Q:Q),0)</f>
        <v>0</v>
      </c>
      <c r="V596" s="207">
        <f>IFERROR(SUMIF(data!$E:$E,科目余额表!$B596,data!R:R),0)</f>
        <v>0</v>
      </c>
      <c r="W596" s="207">
        <f>IFERROR(SUMIF(data!$E:$E,科目余额表!$B596,data!S:S),0)</f>
        <v>-133777.53999999998</v>
      </c>
      <c r="X596" s="207">
        <f t="shared" si="14"/>
        <v>-133777.53999999998</v>
      </c>
      <c r="Y596" s="207"/>
      <c r="Z596" s="207"/>
      <c r="AA596" s="207"/>
      <c r="AB596" s="207"/>
      <c r="AC596" s="207"/>
      <c r="AD596" s="207"/>
      <c r="AE596" s="207"/>
      <c r="AF596" s="207"/>
    </row>
    <row r="597" spans="1:32" s="214" customFormat="1" ht="11.65" customHeight="1">
      <c r="A597" s="215"/>
      <c r="B597" s="220">
        <v>67001</v>
      </c>
      <c r="C597" s="205" t="s">
        <v>878</v>
      </c>
      <c r="D597" s="221">
        <f t="shared" si="13"/>
        <v>0</v>
      </c>
      <c r="E597" s="221">
        <v>0</v>
      </c>
      <c r="F597" s="222">
        <f t="shared" si="15"/>
        <v>0</v>
      </c>
      <c r="G597" s="205" t="s">
        <v>877</v>
      </c>
      <c r="H597" s="225" t="s">
        <v>671</v>
      </c>
      <c r="J597" s="207" t="s">
        <v>138</v>
      </c>
      <c r="K597" s="207"/>
      <c r="L597" s="207">
        <f>IFERROR(SUMIF(data!$E:$E,科目余额表!$B597,data!H:H),0)</f>
        <v>0</v>
      </c>
      <c r="M597" s="207">
        <f>IFERROR(SUMIF(data!$E:$E,科目余额表!$B597,data!I:I),0)</f>
        <v>0</v>
      </c>
      <c r="N597" s="207">
        <f>IFERROR(SUMIF(data!$E:$E,科目余额表!$B597,data!J:J),0)</f>
        <v>0</v>
      </c>
      <c r="O597" s="207">
        <f>IFERROR(SUMIF(data!$E:$E,科目余额表!$B597,data!K:K),0)</f>
        <v>0</v>
      </c>
      <c r="P597" s="207">
        <f>IFERROR(SUMIF(data!$E:$E,科目余额表!$B597,data!L:L),0)</f>
        <v>0</v>
      </c>
      <c r="Q597" s="207">
        <f>IFERROR(SUMIF(data!$E:$E,科目余额表!$B597,data!M:M),0)</f>
        <v>0</v>
      </c>
      <c r="R597" s="207">
        <f>IFERROR(SUMIF(data!$E:$E,科目余额表!$B597,data!N:N),0)</f>
        <v>0</v>
      </c>
      <c r="S597" s="207">
        <f>IFERROR(SUMIF(data!$E:$E,科目余额表!$B597,data!O:O),0)</f>
        <v>0</v>
      </c>
      <c r="T597" s="207">
        <f>IFERROR(SUMIF(data!$E:$E,科目余额表!$B597,data!P:P),0)</f>
        <v>0</v>
      </c>
      <c r="U597" s="207">
        <f>IFERROR(SUMIF(data!$E:$E,科目余额表!$B597,data!Q:Q),0)</f>
        <v>0</v>
      </c>
      <c r="V597" s="207">
        <f>IFERROR(SUMIF(data!$E:$E,科目余额表!$B597,data!R:R),0)</f>
        <v>0</v>
      </c>
      <c r="W597" s="207">
        <f>IFERROR(SUMIF(data!$E:$E,科目余额表!$B597,data!S:S),0)</f>
        <v>0</v>
      </c>
      <c r="X597" s="207">
        <f t="shared" si="14"/>
        <v>0</v>
      </c>
      <c r="Y597" s="207"/>
      <c r="Z597" s="207"/>
      <c r="AA597" s="207"/>
      <c r="AB597" s="207"/>
      <c r="AC597" s="207"/>
      <c r="AD597" s="207"/>
      <c r="AE597" s="207"/>
      <c r="AF597" s="207"/>
    </row>
    <row r="598" spans="1:32" s="214" customFormat="1" ht="11.65" customHeight="1">
      <c r="A598" s="215"/>
      <c r="B598" s="220">
        <v>67100</v>
      </c>
      <c r="C598" s="205" t="s">
        <v>879</v>
      </c>
      <c r="D598" s="221">
        <f t="shared" si="13"/>
        <v>0</v>
      </c>
      <c r="E598" s="221">
        <v>0</v>
      </c>
      <c r="F598" s="222">
        <f t="shared" si="15"/>
        <v>0</v>
      </c>
      <c r="G598" s="205" t="s">
        <v>880</v>
      </c>
      <c r="H598" s="225" t="s">
        <v>671</v>
      </c>
      <c r="J598" s="207" t="s">
        <v>136</v>
      </c>
      <c r="K598" s="207"/>
      <c r="L598" s="207">
        <f>IFERROR(SUMIF(data!$E:$E,科目余额表!$B598,data!H:H),0)</f>
        <v>0</v>
      </c>
      <c r="M598" s="207">
        <f>IFERROR(SUMIF(data!$E:$E,科目余额表!$B598,data!I:I),0)</f>
        <v>0</v>
      </c>
      <c r="N598" s="207">
        <f>IFERROR(SUMIF(data!$E:$E,科目余额表!$B598,data!J:J),0)</f>
        <v>0</v>
      </c>
      <c r="O598" s="207">
        <f>IFERROR(SUMIF(data!$E:$E,科目余额表!$B598,data!K:K),0)</f>
        <v>0</v>
      </c>
      <c r="P598" s="207">
        <f>IFERROR(SUMIF(data!$E:$E,科目余额表!$B598,data!L:L),0)</f>
        <v>0</v>
      </c>
      <c r="Q598" s="207">
        <f>IFERROR(SUMIF(data!$E:$E,科目余额表!$B598,data!M:M),0)</f>
        <v>0</v>
      </c>
      <c r="R598" s="207">
        <f>IFERROR(SUMIF(data!$E:$E,科目余额表!$B598,data!N:N),0)</f>
        <v>0</v>
      </c>
      <c r="S598" s="207">
        <f>IFERROR(SUMIF(data!$E:$E,科目余额表!$B598,data!O:O),0)</f>
        <v>0</v>
      </c>
      <c r="T598" s="207">
        <f>IFERROR(SUMIF(data!$E:$E,科目余额表!$B598,data!P:P),0)</f>
        <v>0</v>
      </c>
      <c r="U598" s="207">
        <f>IFERROR(SUMIF(data!$E:$E,科目余额表!$B598,data!Q:Q),0)</f>
        <v>0</v>
      </c>
      <c r="V598" s="207">
        <f>IFERROR(SUMIF(data!$E:$E,科目余额表!$B598,data!R:R),0)</f>
        <v>0</v>
      </c>
      <c r="W598" s="207">
        <f>IFERROR(SUMIF(data!$E:$E,科目余额表!$B598,data!S:S),0)</f>
        <v>0</v>
      </c>
      <c r="X598" s="207">
        <f t="shared" si="14"/>
        <v>0</v>
      </c>
      <c r="Y598" s="207"/>
      <c r="Z598" s="207"/>
      <c r="AA598" s="207"/>
      <c r="AB598" s="207"/>
      <c r="AC598" s="207"/>
      <c r="AD598" s="207"/>
      <c r="AE598" s="207"/>
      <c r="AF598" s="207"/>
    </row>
    <row r="599" spans="1:32" s="214" customFormat="1" ht="11.65" customHeight="1">
      <c r="A599" s="215"/>
      <c r="B599" s="220">
        <v>67200</v>
      </c>
      <c r="C599" s="205" t="s">
        <v>881</v>
      </c>
      <c r="D599" s="221">
        <f t="shared" si="13"/>
        <v>0</v>
      </c>
      <c r="E599" s="221">
        <v>0</v>
      </c>
      <c r="F599" s="222">
        <f t="shared" si="15"/>
        <v>0</v>
      </c>
      <c r="G599" s="205" t="s">
        <v>881</v>
      </c>
      <c r="H599" s="225" t="s">
        <v>671</v>
      </c>
      <c r="J599" s="207" t="s">
        <v>133</v>
      </c>
      <c r="K599" s="207"/>
      <c r="L599" s="207">
        <f>IFERROR(SUMIF(data!$E:$E,科目余额表!$B599,data!H:H),0)</f>
        <v>0</v>
      </c>
      <c r="M599" s="207">
        <f>IFERROR(SUMIF(data!$E:$E,科目余额表!$B599,data!I:I),0)</f>
        <v>0</v>
      </c>
      <c r="N599" s="207">
        <f>IFERROR(SUMIF(data!$E:$E,科目余额表!$B599,data!J:J),0)</f>
        <v>0</v>
      </c>
      <c r="O599" s="207">
        <f>IFERROR(SUMIF(data!$E:$E,科目余额表!$B599,data!K:K),0)</f>
        <v>0</v>
      </c>
      <c r="P599" s="207">
        <f>IFERROR(SUMIF(data!$E:$E,科目余额表!$B599,data!L:L),0)</f>
        <v>0</v>
      </c>
      <c r="Q599" s="207">
        <f>IFERROR(SUMIF(data!$E:$E,科目余额表!$B599,data!M:M),0)</f>
        <v>0</v>
      </c>
      <c r="R599" s="207">
        <f>IFERROR(SUMIF(data!$E:$E,科目余额表!$B599,data!N:N),0)</f>
        <v>0</v>
      </c>
      <c r="S599" s="207">
        <f>IFERROR(SUMIF(data!$E:$E,科目余额表!$B599,data!O:O),0)</f>
        <v>0</v>
      </c>
      <c r="T599" s="207">
        <f>IFERROR(SUMIF(data!$E:$E,科目余额表!$B599,data!P:P),0)</f>
        <v>0</v>
      </c>
      <c r="U599" s="207">
        <f>IFERROR(SUMIF(data!$E:$E,科目余额表!$B599,data!Q:Q),0)</f>
        <v>0</v>
      </c>
      <c r="V599" s="207">
        <f>IFERROR(SUMIF(data!$E:$E,科目余额表!$B599,data!R:R),0)</f>
        <v>0</v>
      </c>
      <c r="W599" s="207">
        <f>IFERROR(SUMIF(data!$E:$E,科目余额表!$B599,data!S:S),0)</f>
        <v>0</v>
      </c>
      <c r="X599" s="207">
        <f t="shared" si="14"/>
        <v>0</v>
      </c>
      <c r="Y599" s="207"/>
      <c r="Z599" s="207"/>
      <c r="AA599" s="207"/>
      <c r="AB599" s="207"/>
      <c r="AC599" s="207"/>
      <c r="AD599" s="207"/>
      <c r="AE599" s="207"/>
      <c r="AF599" s="207"/>
    </row>
    <row r="600" spans="1:32" s="214" customFormat="1" ht="11.65" customHeight="1">
      <c r="A600" s="215"/>
      <c r="B600" s="220">
        <v>67301</v>
      </c>
      <c r="C600" s="205" t="s">
        <v>882</v>
      </c>
      <c r="D600" s="221">
        <f t="shared" si="13"/>
        <v>0</v>
      </c>
      <c r="E600" s="221">
        <v>0</v>
      </c>
      <c r="F600" s="222">
        <f t="shared" si="15"/>
        <v>0</v>
      </c>
      <c r="G600" s="205" t="s">
        <v>883</v>
      </c>
      <c r="H600" s="225" t="s">
        <v>671</v>
      </c>
      <c r="J600" s="207" t="s">
        <v>884</v>
      </c>
      <c r="K600" s="207"/>
      <c r="L600" s="207">
        <f>IFERROR(SUMIF(data!$E:$E,科目余额表!$B600,data!H:H),0)</f>
        <v>0</v>
      </c>
      <c r="M600" s="207">
        <f>IFERROR(SUMIF(data!$E:$E,科目余额表!$B600,data!I:I),0)</f>
        <v>0</v>
      </c>
      <c r="N600" s="207">
        <f>IFERROR(SUMIF(data!$E:$E,科目余额表!$B600,data!J:J),0)</f>
        <v>0</v>
      </c>
      <c r="O600" s="207">
        <f>IFERROR(SUMIF(data!$E:$E,科目余额表!$B600,data!K:K),0)</f>
        <v>0</v>
      </c>
      <c r="P600" s="207">
        <f>IFERROR(SUMIF(data!$E:$E,科目余额表!$B600,data!L:L),0)</f>
        <v>0</v>
      </c>
      <c r="Q600" s="207">
        <f>IFERROR(SUMIF(data!$E:$E,科目余额表!$B600,data!M:M),0)</f>
        <v>0</v>
      </c>
      <c r="R600" s="207">
        <f>IFERROR(SUMIF(data!$E:$E,科目余额表!$B600,data!N:N),0)</f>
        <v>0</v>
      </c>
      <c r="S600" s="207">
        <f>IFERROR(SUMIF(data!$E:$E,科目余额表!$B600,data!O:O),0)</f>
        <v>0</v>
      </c>
      <c r="T600" s="207">
        <f>IFERROR(SUMIF(data!$E:$E,科目余额表!$B600,data!P:P),0)</f>
        <v>0</v>
      </c>
      <c r="U600" s="207">
        <f>IFERROR(SUMIF(data!$E:$E,科目余额表!$B600,data!Q:Q),0)</f>
        <v>0</v>
      </c>
      <c r="V600" s="207">
        <f>IFERROR(SUMIF(data!$E:$E,科目余额表!$B600,data!R:R),0)</f>
        <v>0</v>
      </c>
      <c r="W600" s="207">
        <f>IFERROR(SUMIF(data!$E:$E,科目余额表!$B600,data!S:S),0)</f>
        <v>0</v>
      </c>
      <c r="X600" s="207">
        <f t="shared" si="14"/>
        <v>0</v>
      </c>
      <c r="Y600" s="207"/>
      <c r="Z600" s="207"/>
      <c r="AA600" s="207"/>
      <c r="AB600" s="207"/>
      <c r="AC600" s="207"/>
      <c r="AD600" s="207"/>
      <c r="AE600" s="207"/>
      <c r="AF600" s="207"/>
    </row>
    <row r="601" spans="1:32" s="214" customFormat="1" ht="11.65" customHeight="1">
      <c r="A601" s="215"/>
      <c r="B601" s="220">
        <v>67302</v>
      </c>
      <c r="C601" s="205" t="s">
        <v>885</v>
      </c>
      <c r="D601" s="221">
        <f t="shared" si="13"/>
        <v>0</v>
      </c>
      <c r="E601" s="221">
        <v>0</v>
      </c>
      <c r="F601" s="222">
        <f t="shared" si="15"/>
        <v>0</v>
      </c>
      <c r="G601" s="205" t="s">
        <v>883</v>
      </c>
      <c r="H601" s="225" t="s">
        <v>671</v>
      </c>
      <c r="J601" s="207" t="s">
        <v>884</v>
      </c>
      <c r="K601" s="207"/>
      <c r="L601" s="207">
        <f>IFERROR(SUMIF(data!$E:$E,科目余额表!$B601,data!H:H),0)</f>
        <v>0</v>
      </c>
      <c r="M601" s="207">
        <f>IFERROR(SUMIF(data!$E:$E,科目余额表!$B601,data!I:I),0)</f>
        <v>0</v>
      </c>
      <c r="N601" s="207">
        <f>IFERROR(SUMIF(data!$E:$E,科目余额表!$B601,data!J:J),0)</f>
        <v>0</v>
      </c>
      <c r="O601" s="207">
        <f>IFERROR(SUMIF(data!$E:$E,科目余额表!$B601,data!K:K),0)</f>
        <v>0</v>
      </c>
      <c r="P601" s="207">
        <f>IFERROR(SUMIF(data!$E:$E,科目余额表!$B601,data!L:L),0)</f>
        <v>0</v>
      </c>
      <c r="Q601" s="207">
        <f>IFERROR(SUMIF(data!$E:$E,科目余额表!$B601,data!M:M),0)</f>
        <v>0</v>
      </c>
      <c r="R601" s="207">
        <f>IFERROR(SUMIF(data!$E:$E,科目余额表!$B601,data!N:N),0)</f>
        <v>0</v>
      </c>
      <c r="S601" s="207">
        <f>IFERROR(SUMIF(data!$E:$E,科目余额表!$B601,data!O:O),0)</f>
        <v>0</v>
      </c>
      <c r="T601" s="207">
        <f>IFERROR(SUMIF(data!$E:$E,科目余额表!$B601,data!P:P),0)</f>
        <v>0</v>
      </c>
      <c r="U601" s="207">
        <f>IFERROR(SUMIF(data!$E:$E,科目余额表!$B601,data!Q:Q),0)</f>
        <v>0</v>
      </c>
      <c r="V601" s="207">
        <f>IFERROR(SUMIF(data!$E:$E,科目余额表!$B601,data!R:R),0)</f>
        <v>0</v>
      </c>
      <c r="W601" s="207">
        <f>IFERROR(SUMIF(data!$E:$E,科目余额表!$B601,data!S:S),0)</f>
        <v>0</v>
      </c>
      <c r="X601" s="207">
        <f t="shared" si="14"/>
        <v>0</v>
      </c>
      <c r="Y601" s="207"/>
      <c r="Z601" s="207"/>
      <c r="AA601" s="207"/>
      <c r="AB601" s="207"/>
      <c r="AC601" s="207"/>
      <c r="AD601" s="207"/>
      <c r="AE601" s="207"/>
      <c r="AF601" s="207"/>
    </row>
    <row r="602" spans="1:32" s="214" customFormat="1" ht="11.65" customHeight="1">
      <c r="A602" s="215"/>
      <c r="B602" s="220">
        <v>67303</v>
      </c>
      <c r="C602" s="205" t="s">
        <v>886</v>
      </c>
      <c r="D602" s="221">
        <f t="shared" si="13"/>
        <v>0</v>
      </c>
      <c r="E602" s="221">
        <v>0</v>
      </c>
      <c r="F602" s="222">
        <f t="shared" si="15"/>
        <v>0</v>
      </c>
      <c r="G602" s="205" t="s">
        <v>883</v>
      </c>
      <c r="H602" s="225" t="s">
        <v>671</v>
      </c>
      <c r="J602" s="207" t="s">
        <v>884</v>
      </c>
      <c r="K602" s="207"/>
      <c r="L602" s="207">
        <f>IFERROR(SUMIF(data!$E:$E,科目余额表!$B602,data!H:H),0)</f>
        <v>0</v>
      </c>
      <c r="M602" s="207">
        <f>IFERROR(SUMIF(data!$E:$E,科目余额表!$B602,data!I:I),0)</f>
        <v>0</v>
      </c>
      <c r="N602" s="207">
        <f>IFERROR(SUMIF(data!$E:$E,科目余额表!$B602,data!J:J),0)</f>
        <v>0</v>
      </c>
      <c r="O602" s="207">
        <f>IFERROR(SUMIF(data!$E:$E,科目余额表!$B602,data!K:K),0)</f>
        <v>0</v>
      </c>
      <c r="P602" s="207">
        <f>IFERROR(SUMIF(data!$E:$E,科目余额表!$B602,data!L:L),0)</f>
        <v>0</v>
      </c>
      <c r="Q602" s="207">
        <f>IFERROR(SUMIF(data!$E:$E,科目余额表!$B602,data!M:M),0)</f>
        <v>0</v>
      </c>
      <c r="R602" s="207">
        <f>IFERROR(SUMIF(data!$E:$E,科目余额表!$B602,data!N:N),0)</f>
        <v>0</v>
      </c>
      <c r="S602" s="207">
        <f>IFERROR(SUMIF(data!$E:$E,科目余额表!$B602,data!O:O),0)</f>
        <v>0</v>
      </c>
      <c r="T602" s="207">
        <f>IFERROR(SUMIF(data!$E:$E,科目余额表!$B602,data!P:P),0)</f>
        <v>0</v>
      </c>
      <c r="U602" s="207">
        <f>IFERROR(SUMIF(data!$E:$E,科目余额表!$B602,data!Q:Q),0)</f>
        <v>0</v>
      </c>
      <c r="V602" s="207">
        <f>IFERROR(SUMIF(data!$E:$E,科目余额表!$B602,data!R:R),0)</f>
        <v>0</v>
      </c>
      <c r="W602" s="207">
        <f>IFERROR(SUMIF(data!$E:$E,科目余额表!$B602,data!S:S),0)</f>
        <v>0</v>
      </c>
      <c r="X602" s="207">
        <f t="shared" si="14"/>
        <v>0</v>
      </c>
      <c r="Y602" s="207"/>
      <c r="Z602" s="207"/>
      <c r="AA602" s="207"/>
      <c r="AB602" s="207"/>
      <c r="AC602" s="207"/>
      <c r="AD602" s="207"/>
      <c r="AE602" s="207"/>
      <c r="AF602" s="207"/>
    </row>
    <row r="603" spans="1:32" s="214" customFormat="1" ht="11.65" customHeight="1">
      <c r="A603" s="215"/>
      <c r="B603" s="220">
        <v>67304</v>
      </c>
      <c r="C603" s="204" t="s">
        <v>887</v>
      </c>
      <c r="D603" s="221">
        <f t="shared" si="13"/>
        <v>0</v>
      </c>
      <c r="E603" s="221">
        <v>0</v>
      </c>
      <c r="F603" s="222">
        <f t="shared" si="15"/>
        <v>0</v>
      </c>
      <c r="G603" s="205" t="s">
        <v>883</v>
      </c>
      <c r="H603" s="225" t="s">
        <v>671</v>
      </c>
      <c r="J603" s="207" t="s">
        <v>884</v>
      </c>
      <c r="K603" s="207"/>
      <c r="L603" s="207">
        <f>IFERROR(SUMIF(data!$E:$E,科目余额表!$B603,data!H:H),0)</f>
        <v>0</v>
      </c>
      <c r="M603" s="207">
        <f>IFERROR(SUMIF(data!$E:$E,科目余额表!$B603,data!I:I),0)</f>
        <v>0</v>
      </c>
      <c r="N603" s="207">
        <f>IFERROR(SUMIF(data!$E:$E,科目余额表!$B603,data!J:J),0)</f>
        <v>0</v>
      </c>
      <c r="O603" s="207">
        <f>IFERROR(SUMIF(data!$E:$E,科目余额表!$B603,data!K:K),0)</f>
        <v>0</v>
      </c>
      <c r="P603" s="207">
        <f>IFERROR(SUMIF(data!$E:$E,科目余额表!$B603,data!L:L),0)</f>
        <v>0</v>
      </c>
      <c r="Q603" s="207">
        <f>IFERROR(SUMIF(data!$E:$E,科目余额表!$B603,data!M:M),0)</f>
        <v>0</v>
      </c>
      <c r="R603" s="207">
        <f>IFERROR(SUMIF(data!$E:$E,科目余额表!$B603,data!N:N),0)</f>
        <v>0</v>
      </c>
      <c r="S603" s="207">
        <f>IFERROR(SUMIF(data!$E:$E,科目余额表!$B603,data!O:O),0)</f>
        <v>0</v>
      </c>
      <c r="T603" s="207">
        <f>IFERROR(SUMIF(data!$E:$E,科目余额表!$B603,data!P:P),0)</f>
        <v>0</v>
      </c>
      <c r="U603" s="207">
        <f>IFERROR(SUMIF(data!$E:$E,科目余额表!$B603,data!Q:Q),0)</f>
        <v>0</v>
      </c>
      <c r="V603" s="207">
        <f>IFERROR(SUMIF(data!$E:$E,科目余额表!$B603,data!R:R),0)</f>
        <v>0</v>
      </c>
      <c r="W603" s="207">
        <f>IFERROR(SUMIF(data!$E:$E,科目余额表!$B603,data!S:S),0)</f>
        <v>0</v>
      </c>
      <c r="X603" s="207">
        <f t="shared" si="14"/>
        <v>0</v>
      </c>
      <c r="Y603" s="207"/>
      <c r="Z603" s="207"/>
      <c r="AA603" s="207"/>
      <c r="AB603" s="207"/>
      <c r="AC603" s="207"/>
      <c r="AD603" s="207"/>
      <c r="AE603" s="207"/>
      <c r="AF603" s="207"/>
    </row>
    <row r="604" spans="1:32" s="214" customFormat="1" ht="11.65" customHeight="1">
      <c r="A604" s="215"/>
      <c r="B604" s="220">
        <v>67305</v>
      </c>
      <c r="C604" s="205" t="s">
        <v>888</v>
      </c>
      <c r="D604" s="221">
        <f t="shared" si="13"/>
        <v>0</v>
      </c>
      <c r="E604" s="221">
        <v>0</v>
      </c>
      <c r="F604" s="222">
        <f t="shared" si="15"/>
        <v>0</v>
      </c>
      <c r="G604" s="205" t="s">
        <v>883</v>
      </c>
      <c r="H604" s="225" t="s">
        <v>671</v>
      </c>
      <c r="J604" s="207" t="s">
        <v>884</v>
      </c>
      <c r="K604" s="207"/>
      <c r="L604" s="207">
        <f>IFERROR(SUMIF(data!$E:$E,科目余额表!$B604,data!H:H),0)</f>
        <v>0</v>
      </c>
      <c r="M604" s="207">
        <f>IFERROR(SUMIF(data!$E:$E,科目余额表!$B604,data!I:I),0)</f>
        <v>0</v>
      </c>
      <c r="N604" s="207">
        <f>IFERROR(SUMIF(data!$E:$E,科目余额表!$B604,data!J:J),0)</f>
        <v>0</v>
      </c>
      <c r="O604" s="207">
        <f>IFERROR(SUMIF(data!$E:$E,科目余额表!$B604,data!K:K),0)</f>
        <v>0</v>
      </c>
      <c r="P604" s="207">
        <f>IFERROR(SUMIF(data!$E:$E,科目余额表!$B604,data!L:L),0)</f>
        <v>0</v>
      </c>
      <c r="Q604" s="207">
        <f>IFERROR(SUMIF(data!$E:$E,科目余额表!$B604,data!M:M),0)</f>
        <v>0</v>
      </c>
      <c r="R604" s="207">
        <f>IFERROR(SUMIF(data!$E:$E,科目余额表!$B604,data!N:N),0)</f>
        <v>0</v>
      </c>
      <c r="S604" s="207">
        <f>IFERROR(SUMIF(data!$E:$E,科目余额表!$B604,data!O:O),0)</f>
        <v>0</v>
      </c>
      <c r="T604" s="207">
        <f>IFERROR(SUMIF(data!$E:$E,科目余额表!$B604,data!P:P),0)</f>
        <v>0</v>
      </c>
      <c r="U604" s="207">
        <f>IFERROR(SUMIF(data!$E:$E,科目余额表!$B604,data!Q:Q),0)</f>
        <v>0</v>
      </c>
      <c r="V604" s="207">
        <f>IFERROR(SUMIF(data!$E:$E,科目余额表!$B604,data!R:R),0)</f>
        <v>0</v>
      </c>
      <c r="W604" s="207">
        <f>IFERROR(SUMIF(data!$E:$E,科目余额表!$B604,data!S:S),0)</f>
        <v>0</v>
      </c>
      <c r="X604" s="207">
        <f t="shared" si="14"/>
        <v>0</v>
      </c>
      <c r="Y604" s="207"/>
      <c r="Z604" s="207"/>
      <c r="AA604" s="207"/>
      <c r="AB604" s="207"/>
      <c r="AC604" s="207"/>
      <c r="AD604" s="207"/>
      <c r="AE604" s="207"/>
      <c r="AF604" s="207"/>
    </row>
    <row r="605" spans="1:32" s="214" customFormat="1" ht="11.65" customHeight="1">
      <c r="A605" s="215"/>
      <c r="B605" s="220">
        <v>67399</v>
      </c>
      <c r="C605" s="205" t="s">
        <v>889</v>
      </c>
      <c r="D605" s="221">
        <f t="shared" ref="D605:D647" si="16">-SUM(L605:V605)</f>
        <v>-3705.34</v>
      </c>
      <c r="E605" s="221">
        <v>0</v>
      </c>
      <c r="F605" s="222">
        <f t="shared" si="15"/>
        <v>-3705.34</v>
      </c>
      <c r="G605" s="205" t="s">
        <v>883</v>
      </c>
      <c r="H605" s="225" t="s">
        <v>671</v>
      </c>
      <c r="J605" s="207" t="s">
        <v>884</v>
      </c>
      <c r="K605" s="207"/>
      <c r="L605" s="207">
        <f>IFERROR(SUMIF(data!$E:$E,科目余额表!$B605,data!H:H),0)</f>
        <v>0</v>
      </c>
      <c r="M605" s="207">
        <f>IFERROR(SUMIF(data!$E:$E,科目余额表!$B605,data!I:I),0)</f>
        <v>0</v>
      </c>
      <c r="N605" s="207">
        <f>IFERROR(SUMIF(data!$E:$E,科目余额表!$B605,data!J:J),0)</f>
        <v>3705.34</v>
      </c>
      <c r="O605" s="207">
        <f>IFERROR(SUMIF(data!$E:$E,科目余额表!$B605,data!K:K),0)</f>
        <v>0</v>
      </c>
      <c r="P605" s="207">
        <f>IFERROR(SUMIF(data!$E:$E,科目余额表!$B605,data!L:L),0)</f>
        <v>0</v>
      </c>
      <c r="Q605" s="207">
        <f>IFERROR(SUMIF(data!$E:$E,科目余额表!$B605,data!M:M),0)</f>
        <v>0</v>
      </c>
      <c r="R605" s="207">
        <f>IFERROR(SUMIF(data!$E:$E,科目余额表!$B605,data!N:N),0)</f>
        <v>0</v>
      </c>
      <c r="S605" s="207">
        <f>IFERROR(SUMIF(data!$E:$E,科目余额表!$B605,data!O:O),0)</f>
        <v>0</v>
      </c>
      <c r="T605" s="207">
        <f>IFERROR(SUMIF(data!$E:$E,科目余额表!$B605,data!P:P),0)</f>
        <v>0</v>
      </c>
      <c r="U605" s="207">
        <f>IFERROR(SUMIF(data!$E:$E,科目余额表!$B605,data!Q:Q),0)</f>
        <v>0</v>
      </c>
      <c r="V605" s="207">
        <f>IFERROR(SUMIF(data!$E:$E,科目余额表!$B605,data!R:R),0)</f>
        <v>0</v>
      </c>
      <c r="W605" s="207">
        <f>IFERROR(SUMIF(data!$E:$E,科目余额表!$B605,data!S:S),0)</f>
        <v>0</v>
      </c>
      <c r="X605" s="207">
        <f t="shared" ref="X605:X647" si="17">SUM(L605:W605)</f>
        <v>3705.34</v>
      </c>
      <c r="Y605" s="207"/>
      <c r="Z605" s="207"/>
      <c r="AA605" s="207"/>
      <c r="AB605" s="207"/>
      <c r="AC605" s="207"/>
      <c r="AD605" s="207"/>
      <c r="AE605" s="207"/>
      <c r="AF605" s="207"/>
    </row>
    <row r="606" spans="1:32" s="214" customFormat="1" ht="11.65" customHeight="1">
      <c r="A606" s="215"/>
      <c r="B606" s="220">
        <v>69000</v>
      </c>
      <c r="C606" s="205" t="s">
        <v>890</v>
      </c>
      <c r="D606" s="221">
        <f t="shared" si="16"/>
        <v>-1572500</v>
      </c>
      <c r="E606" s="221">
        <v>0</v>
      </c>
      <c r="F606" s="222">
        <f t="shared" si="15"/>
        <v>-1572500</v>
      </c>
      <c r="G606" s="205" t="s">
        <v>891</v>
      </c>
      <c r="H606" s="225" t="s">
        <v>671</v>
      </c>
      <c r="J606" s="207" t="s">
        <v>112</v>
      </c>
      <c r="K606" s="207"/>
      <c r="L606" s="207">
        <f>IFERROR(SUMIF(data!$E:$E,科目余额表!$B606,data!H:H),0)</f>
        <v>0</v>
      </c>
      <c r="M606" s="207">
        <f>IFERROR(SUMIF(data!$E:$E,科目余额表!$B606,data!I:I),0)</f>
        <v>0</v>
      </c>
      <c r="N606" s="207">
        <f>IFERROR(SUMIF(data!$E:$E,科目余额表!$B606,data!J:J),0)</f>
        <v>0</v>
      </c>
      <c r="O606" s="207">
        <f>IFERROR(SUMIF(data!$E:$E,科目余额表!$B606,data!K:K),0)</f>
        <v>0</v>
      </c>
      <c r="P606" s="207">
        <f>IFERROR(SUMIF(data!$E:$E,科目余额表!$B606,data!L:L),0)</f>
        <v>0</v>
      </c>
      <c r="Q606" s="207">
        <f>IFERROR(SUMIF(data!$E:$E,科目余额表!$B606,data!M:M),0)</f>
        <v>0</v>
      </c>
      <c r="R606" s="207">
        <f>IFERROR(SUMIF(data!$E:$E,科目余额表!$B606,data!N:N),0)</f>
        <v>0</v>
      </c>
      <c r="S606" s="207">
        <f>IFERROR(SUMIF(data!$E:$E,科目余额表!$B606,data!O:O),0)</f>
        <v>0</v>
      </c>
      <c r="T606" s="207">
        <f>IFERROR(SUMIF(data!$E:$E,科目余额表!$B606,data!P:P),0)</f>
        <v>0</v>
      </c>
      <c r="U606" s="207">
        <f>IFERROR(SUMIF(data!$E:$E,科目余额表!$B606,data!Q:Q),0)</f>
        <v>1572500</v>
      </c>
      <c r="V606" s="207">
        <f>IFERROR(SUMIF(data!$E:$E,科目余额表!$B606,data!R:R),0)</f>
        <v>0</v>
      </c>
      <c r="W606" s="207">
        <f>IFERROR(SUMIF(data!$E:$E,科目余额表!$B606,data!S:S),0)</f>
        <v>0</v>
      </c>
      <c r="X606" s="207">
        <f t="shared" si="17"/>
        <v>1572500</v>
      </c>
      <c r="Y606" s="207"/>
      <c r="Z606" s="207"/>
      <c r="AA606" s="207"/>
      <c r="AB606" s="207"/>
      <c r="AC606" s="207"/>
      <c r="AD606" s="207"/>
      <c r="AE606" s="207"/>
      <c r="AF606" s="207"/>
    </row>
    <row r="607" spans="1:32" s="214" customFormat="1" ht="11.65" customHeight="1">
      <c r="A607" s="215"/>
      <c r="B607" s="220">
        <v>69001</v>
      </c>
      <c r="C607" s="205" t="s">
        <v>892</v>
      </c>
      <c r="D607" s="221">
        <f t="shared" si="16"/>
        <v>0</v>
      </c>
      <c r="E607" s="221">
        <v>0</v>
      </c>
      <c r="F607" s="222">
        <f t="shared" si="15"/>
        <v>0</v>
      </c>
      <c r="G607" s="205" t="s">
        <v>891</v>
      </c>
      <c r="H607" s="225" t="s">
        <v>671</v>
      </c>
      <c r="J607" s="207" t="s">
        <v>112</v>
      </c>
      <c r="K607" s="207"/>
      <c r="L607" s="207">
        <f>IFERROR(SUMIF(data!$E:$E,科目余额表!$B607,data!H:H),0)</f>
        <v>0</v>
      </c>
      <c r="M607" s="207">
        <f>IFERROR(SUMIF(data!$E:$E,科目余额表!$B607,data!I:I),0)</f>
        <v>0</v>
      </c>
      <c r="N607" s="207">
        <f>IFERROR(SUMIF(data!$E:$E,科目余额表!$B607,data!J:J),0)</f>
        <v>0</v>
      </c>
      <c r="O607" s="207">
        <f>IFERROR(SUMIF(data!$E:$E,科目余额表!$B607,data!K:K),0)</f>
        <v>0</v>
      </c>
      <c r="P607" s="207">
        <f>IFERROR(SUMIF(data!$E:$E,科目余额表!$B607,data!L:L),0)</f>
        <v>0</v>
      </c>
      <c r="Q607" s="207">
        <f>IFERROR(SUMIF(data!$E:$E,科目余额表!$B607,data!M:M),0)</f>
        <v>0</v>
      </c>
      <c r="R607" s="207">
        <f>IFERROR(SUMIF(data!$E:$E,科目余额表!$B607,data!N:N),0)</f>
        <v>0</v>
      </c>
      <c r="S607" s="207">
        <f>IFERROR(SUMIF(data!$E:$E,科目余额表!$B607,data!O:O),0)</f>
        <v>0</v>
      </c>
      <c r="T607" s="207">
        <f>IFERROR(SUMIF(data!$E:$E,科目余额表!$B607,data!P:P),0)</f>
        <v>0</v>
      </c>
      <c r="U607" s="207">
        <f>IFERROR(SUMIF(data!$E:$E,科目余额表!$B607,data!Q:Q),0)</f>
        <v>0</v>
      </c>
      <c r="V607" s="207">
        <f>IFERROR(SUMIF(data!$E:$E,科目余额表!$B607,data!R:R),0)</f>
        <v>0</v>
      </c>
      <c r="W607" s="207">
        <f>IFERROR(SUMIF(data!$E:$E,科目余额表!$B607,data!S:S),0)</f>
        <v>0</v>
      </c>
      <c r="X607" s="207">
        <f t="shared" si="17"/>
        <v>0</v>
      </c>
      <c r="Y607" s="207"/>
      <c r="Z607" s="207"/>
      <c r="AA607" s="207"/>
      <c r="AB607" s="207"/>
      <c r="AC607" s="207"/>
      <c r="AD607" s="207"/>
      <c r="AE607" s="207"/>
      <c r="AF607" s="207"/>
    </row>
    <row r="608" spans="1:32" s="214" customFormat="1" ht="11.65" customHeight="1">
      <c r="A608" s="215"/>
      <c r="B608" s="220">
        <v>69002</v>
      </c>
      <c r="C608" s="205" t="s">
        <v>893</v>
      </c>
      <c r="D608" s="221">
        <f t="shared" si="16"/>
        <v>0</v>
      </c>
      <c r="E608" s="221">
        <v>0</v>
      </c>
      <c r="F608" s="222">
        <f t="shared" si="15"/>
        <v>0</v>
      </c>
      <c r="G608" s="205" t="s">
        <v>891</v>
      </c>
      <c r="H608" s="225" t="s">
        <v>671</v>
      </c>
      <c r="J608" s="207" t="s">
        <v>112</v>
      </c>
      <c r="K608" s="207"/>
      <c r="L608" s="207">
        <f>IFERROR(SUMIF(data!$E:$E,科目余额表!$B608,data!H:H),0)</f>
        <v>0</v>
      </c>
      <c r="M608" s="207">
        <f>IFERROR(SUMIF(data!$E:$E,科目余额表!$B608,data!I:I),0)</f>
        <v>0</v>
      </c>
      <c r="N608" s="207">
        <f>IFERROR(SUMIF(data!$E:$E,科目余额表!$B608,data!J:J),0)</f>
        <v>0</v>
      </c>
      <c r="O608" s="207">
        <f>IFERROR(SUMIF(data!$E:$E,科目余额表!$B608,data!K:K),0)</f>
        <v>0</v>
      </c>
      <c r="P608" s="207">
        <f>IFERROR(SUMIF(data!$E:$E,科目余额表!$B608,data!L:L),0)</f>
        <v>0</v>
      </c>
      <c r="Q608" s="207">
        <f>IFERROR(SUMIF(data!$E:$E,科目余额表!$B608,data!M:M),0)</f>
        <v>0</v>
      </c>
      <c r="R608" s="207">
        <f>IFERROR(SUMIF(data!$E:$E,科目余额表!$B608,data!N:N),0)</f>
        <v>0</v>
      </c>
      <c r="S608" s="207">
        <f>IFERROR(SUMIF(data!$E:$E,科目余额表!$B608,data!O:O),0)</f>
        <v>0</v>
      </c>
      <c r="T608" s="207">
        <f>IFERROR(SUMIF(data!$E:$E,科目余额表!$B608,data!P:P),0)</f>
        <v>0</v>
      </c>
      <c r="U608" s="207">
        <f>IFERROR(SUMIF(data!$E:$E,科目余额表!$B608,data!Q:Q),0)</f>
        <v>0</v>
      </c>
      <c r="V608" s="207">
        <f>IFERROR(SUMIF(data!$E:$E,科目余额表!$B608,data!R:R),0)</f>
        <v>0</v>
      </c>
      <c r="W608" s="207">
        <f>IFERROR(SUMIF(data!$E:$E,科目余额表!$B608,data!S:S),0)</f>
        <v>0</v>
      </c>
      <c r="X608" s="207">
        <f t="shared" si="17"/>
        <v>0</v>
      </c>
      <c r="Y608" s="207"/>
      <c r="Z608" s="207"/>
      <c r="AA608" s="207"/>
      <c r="AB608" s="207"/>
      <c r="AC608" s="207"/>
      <c r="AD608" s="207"/>
      <c r="AE608" s="207"/>
      <c r="AF608" s="207"/>
    </row>
    <row r="609" spans="1:32" s="214" customFormat="1" ht="11.65" customHeight="1">
      <c r="A609" s="215"/>
      <c r="B609" s="220">
        <v>69003</v>
      </c>
      <c r="C609" s="205" t="s">
        <v>894</v>
      </c>
      <c r="D609" s="221">
        <f t="shared" si="16"/>
        <v>0</v>
      </c>
      <c r="E609" s="221">
        <v>0</v>
      </c>
      <c r="F609" s="222">
        <f t="shared" si="15"/>
        <v>0</v>
      </c>
      <c r="G609" s="205" t="s">
        <v>891</v>
      </c>
      <c r="H609" s="225" t="s">
        <v>671</v>
      </c>
      <c r="J609" s="207" t="s">
        <v>112</v>
      </c>
      <c r="K609" s="207"/>
      <c r="L609" s="207">
        <f>IFERROR(SUMIF(data!$E:$E,科目余额表!$B609,data!H:H),0)</f>
        <v>0</v>
      </c>
      <c r="M609" s="207">
        <f>IFERROR(SUMIF(data!$E:$E,科目余额表!$B609,data!I:I),0)</f>
        <v>0</v>
      </c>
      <c r="N609" s="207">
        <f>IFERROR(SUMIF(data!$E:$E,科目余额表!$B609,data!J:J),0)</f>
        <v>0</v>
      </c>
      <c r="O609" s="207">
        <f>IFERROR(SUMIF(data!$E:$E,科目余额表!$B609,data!K:K),0)</f>
        <v>0</v>
      </c>
      <c r="P609" s="207">
        <f>IFERROR(SUMIF(data!$E:$E,科目余额表!$B609,data!L:L),0)</f>
        <v>0</v>
      </c>
      <c r="Q609" s="207">
        <f>IFERROR(SUMIF(data!$E:$E,科目余额表!$B609,data!M:M),0)</f>
        <v>0</v>
      </c>
      <c r="R609" s="207">
        <f>IFERROR(SUMIF(data!$E:$E,科目余额表!$B609,data!N:N),0)</f>
        <v>0</v>
      </c>
      <c r="S609" s="207">
        <f>IFERROR(SUMIF(data!$E:$E,科目余额表!$B609,data!O:O),0)</f>
        <v>0</v>
      </c>
      <c r="T609" s="207">
        <f>IFERROR(SUMIF(data!$E:$E,科目余额表!$B609,data!P:P),0)</f>
        <v>0</v>
      </c>
      <c r="U609" s="207">
        <f>IFERROR(SUMIF(data!$E:$E,科目余额表!$B609,data!Q:Q),0)</f>
        <v>0</v>
      </c>
      <c r="V609" s="207">
        <f>IFERROR(SUMIF(data!$E:$E,科目余额表!$B609,data!R:R),0)</f>
        <v>0</v>
      </c>
      <c r="W609" s="207">
        <f>IFERROR(SUMIF(data!$E:$E,科目余额表!$B609,data!S:S),0)</f>
        <v>0</v>
      </c>
      <c r="X609" s="207">
        <f t="shared" si="17"/>
        <v>0</v>
      </c>
      <c r="Y609" s="207"/>
      <c r="Z609" s="207"/>
      <c r="AA609" s="207"/>
      <c r="AB609" s="207"/>
      <c r="AC609" s="207"/>
      <c r="AD609" s="207"/>
      <c r="AE609" s="207"/>
      <c r="AF609" s="207"/>
    </row>
    <row r="610" spans="1:32" s="214" customFormat="1" ht="11.65" customHeight="1">
      <c r="A610" s="215"/>
      <c r="B610" s="220">
        <v>69004</v>
      </c>
      <c r="C610" s="205" t="s">
        <v>895</v>
      </c>
      <c r="D610" s="221">
        <f t="shared" si="16"/>
        <v>0</v>
      </c>
      <c r="E610" s="221">
        <v>0</v>
      </c>
      <c r="F610" s="222">
        <f t="shared" si="15"/>
        <v>0</v>
      </c>
      <c r="G610" s="205" t="s">
        <v>891</v>
      </c>
      <c r="H610" s="225" t="s">
        <v>671</v>
      </c>
      <c r="J610" s="207" t="s">
        <v>112</v>
      </c>
      <c r="K610" s="207"/>
      <c r="L610" s="207">
        <f>IFERROR(SUMIF(data!$E:$E,科目余额表!$B610,data!H:H),0)</f>
        <v>0</v>
      </c>
      <c r="M610" s="207">
        <f>IFERROR(SUMIF(data!$E:$E,科目余额表!$B610,data!I:I),0)</f>
        <v>0</v>
      </c>
      <c r="N610" s="207">
        <f>IFERROR(SUMIF(data!$E:$E,科目余额表!$B610,data!J:J),0)</f>
        <v>0</v>
      </c>
      <c r="O610" s="207">
        <f>IFERROR(SUMIF(data!$E:$E,科目余额表!$B610,data!K:K),0)</f>
        <v>0</v>
      </c>
      <c r="P610" s="207">
        <f>IFERROR(SUMIF(data!$E:$E,科目余额表!$B610,data!L:L),0)</f>
        <v>0</v>
      </c>
      <c r="Q610" s="207">
        <f>IFERROR(SUMIF(data!$E:$E,科目余额表!$B610,data!M:M),0)</f>
        <v>0</v>
      </c>
      <c r="R610" s="207">
        <f>IFERROR(SUMIF(data!$E:$E,科目余额表!$B610,data!N:N),0)</f>
        <v>0</v>
      </c>
      <c r="S610" s="207">
        <f>IFERROR(SUMIF(data!$E:$E,科目余额表!$B610,data!O:O),0)</f>
        <v>0</v>
      </c>
      <c r="T610" s="207">
        <f>IFERROR(SUMIF(data!$E:$E,科目余额表!$B610,data!P:P),0)</f>
        <v>0</v>
      </c>
      <c r="U610" s="207">
        <f>IFERROR(SUMIF(data!$E:$E,科目余额表!$B610,data!Q:Q),0)</f>
        <v>0</v>
      </c>
      <c r="V610" s="207">
        <f>IFERROR(SUMIF(data!$E:$E,科目余额表!$B610,data!R:R),0)</f>
        <v>0</v>
      </c>
      <c r="W610" s="207">
        <f>IFERROR(SUMIF(data!$E:$E,科目余额表!$B610,data!S:S),0)</f>
        <v>0</v>
      </c>
      <c r="X610" s="207">
        <f t="shared" si="17"/>
        <v>0</v>
      </c>
      <c r="Y610" s="207"/>
      <c r="Z610" s="207"/>
      <c r="AA610" s="207"/>
      <c r="AB610" s="207"/>
      <c r="AC610" s="207"/>
      <c r="AD610" s="207"/>
      <c r="AE610" s="207"/>
      <c r="AF610" s="207"/>
    </row>
    <row r="611" spans="1:32" s="214" customFormat="1" ht="11.65" customHeight="1">
      <c r="A611" s="215"/>
      <c r="B611" s="220">
        <v>69005</v>
      </c>
      <c r="C611" s="205" t="s">
        <v>896</v>
      </c>
      <c r="D611" s="221">
        <f t="shared" si="16"/>
        <v>-411924.69999999995</v>
      </c>
      <c r="E611" s="221">
        <v>-2870596.41</v>
      </c>
      <c r="F611" s="222">
        <f t="shared" si="15"/>
        <v>-3282521.1100000003</v>
      </c>
      <c r="G611" s="205" t="s">
        <v>891</v>
      </c>
      <c r="H611" s="225" t="s">
        <v>671</v>
      </c>
      <c r="J611" s="207" t="s">
        <v>112</v>
      </c>
      <c r="K611" s="207"/>
      <c r="L611" s="207">
        <f>IFERROR(SUMIF(data!$E:$E,科目余额表!$B611,data!H:H),0)</f>
        <v>0</v>
      </c>
      <c r="M611" s="207">
        <f>IFERROR(SUMIF(data!$E:$E,科目余额表!$B611,data!I:I),0)</f>
        <v>0</v>
      </c>
      <c r="N611" s="207">
        <f>IFERROR(SUMIF(data!$E:$E,科目余额表!$B611,data!J:J),0)</f>
        <v>5049.8700000000008</v>
      </c>
      <c r="O611" s="207">
        <f>IFERROR(SUMIF(data!$E:$E,科目余额表!$B611,data!K:K),0)</f>
        <v>400000</v>
      </c>
      <c r="P611" s="207">
        <f>IFERROR(SUMIF(data!$E:$E,科目余额表!$B611,data!L:L),0)</f>
        <v>0</v>
      </c>
      <c r="Q611" s="207">
        <f>IFERROR(SUMIF(data!$E:$E,科目余额表!$B611,data!M:M),0)</f>
        <v>3452.79</v>
      </c>
      <c r="R611" s="207">
        <f>IFERROR(SUMIF(data!$E:$E,科目余额表!$B611,data!N:N),0)</f>
        <v>0</v>
      </c>
      <c r="S611" s="207">
        <f>IFERROR(SUMIF(data!$E:$E,科目余额表!$B611,data!O:O),0)</f>
        <v>0</v>
      </c>
      <c r="T611" s="207">
        <f>IFERROR(SUMIF(data!$E:$E,科目余额表!$B611,data!P:P),0)</f>
        <v>3422.04</v>
      </c>
      <c r="U611" s="207">
        <f>IFERROR(SUMIF(data!$E:$E,科目余额表!$B611,data!Q:Q),0)</f>
        <v>0</v>
      </c>
      <c r="V611" s="207">
        <f>IFERROR(SUMIF(data!$E:$E,科目余额表!$B611,data!R:R),0)</f>
        <v>0</v>
      </c>
      <c r="W611" s="207">
        <f>IFERROR(SUMIF(data!$E:$E,科目余额表!$B611,data!S:S),0)</f>
        <v>2870596.41</v>
      </c>
      <c r="X611" s="207">
        <f t="shared" si="17"/>
        <v>3282521.1100000003</v>
      </c>
      <c r="Y611" s="207"/>
      <c r="Z611" s="207"/>
      <c r="AA611" s="207"/>
      <c r="AB611" s="207"/>
      <c r="AC611" s="207"/>
      <c r="AD611" s="207"/>
      <c r="AE611" s="207"/>
      <c r="AF611" s="207"/>
    </row>
    <row r="612" spans="1:32" s="214" customFormat="1" ht="11.65" customHeight="1">
      <c r="A612" s="215"/>
      <c r="B612" s="220">
        <v>69006</v>
      </c>
      <c r="C612" s="205" t="s">
        <v>897</v>
      </c>
      <c r="D612" s="221">
        <f t="shared" si="16"/>
        <v>0</v>
      </c>
      <c r="E612" s="221">
        <v>0</v>
      </c>
      <c r="F612" s="222">
        <f t="shared" si="15"/>
        <v>0</v>
      </c>
      <c r="G612" s="205" t="s">
        <v>891</v>
      </c>
      <c r="H612" s="225" t="s">
        <v>671</v>
      </c>
      <c r="J612" s="207" t="s">
        <v>112</v>
      </c>
      <c r="K612" s="207"/>
      <c r="L612" s="207">
        <f>IFERROR(SUMIF(data!$E:$E,科目余额表!$B612,data!H:H),0)</f>
        <v>0</v>
      </c>
      <c r="M612" s="207">
        <f>IFERROR(SUMIF(data!$E:$E,科目余额表!$B612,data!I:I),0)</f>
        <v>0</v>
      </c>
      <c r="N612" s="207">
        <f>IFERROR(SUMIF(data!$E:$E,科目余额表!$B612,data!J:J),0)</f>
        <v>0</v>
      </c>
      <c r="O612" s="207">
        <f>IFERROR(SUMIF(data!$E:$E,科目余额表!$B612,data!K:K),0)</f>
        <v>0</v>
      </c>
      <c r="P612" s="207">
        <f>IFERROR(SUMIF(data!$E:$E,科目余额表!$B612,data!L:L),0)</f>
        <v>0</v>
      </c>
      <c r="Q612" s="207">
        <f>IFERROR(SUMIF(data!$E:$E,科目余额表!$B612,data!M:M),0)</f>
        <v>0</v>
      </c>
      <c r="R612" s="207">
        <f>IFERROR(SUMIF(data!$E:$E,科目余额表!$B612,data!N:N),0)</f>
        <v>0</v>
      </c>
      <c r="S612" s="207">
        <f>IFERROR(SUMIF(data!$E:$E,科目余额表!$B612,data!O:O),0)</f>
        <v>0</v>
      </c>
      <c r="T612" s="207">
        <f>IFERROR(SUMIF(data!$E:$E,科目余额表!$B612,data!P:P),0)</f>
        <v>0</v>
      </c>
      <c r="U612" s="207">
        <f>IFERROR(SUMIF(data!$E:$E,科目余额表!$B612,data!Q:Q),0)</f>
        <v>0</v>
      </c>
      <c r="V612" s="207">
        <f>IFERROR(SUMIF(data!$E:$E,科目余额表!$B612,data!R:R),0)</f>
        <v>0</v>
      </c>
      <c r="W612" s="207">
        <f>IFERROR(SUMIF(data!$E:$E,科目余额表!$B612,data!S:S),0)</f>
        <v>0</v>
      </c>
      <c r="X612" s="207">
        <f t="shared" si="17"/>
        <v>0</v>
      </c>
      <c r="Y612" s="207"/>
      <c r="Z612" s="207"/>
      <c r="AA612" s="207"/>
      <c r="AB612" s="207"/>
      <c r="AC612" s="207"/>
      <c r="AD612" s="207"/>
      <c r="AE612" s="207"/>
      <c r="AF612" s="207"/>
    </row>
    <row r="613" spans="1:32" s="214" customFormat="1" ht="11.65" customHeight="1">
      <c r="A613" s="215"/>
      <c r="B613" s="220">
        <v>69007</v>
      </c>
      <c r="C613" s="205" t="s">
        <v>898</v>
      </c>
      <c r="D613" s="221">
        <f t="shared" si="16"/>
        <v>0</v>
      </c>
      <c r="E613" s="221">
        <v>0</v>
      </c>
      <c r="F613" s="222">
        <f t="shared" si="15"/>
        <v>0</v>
      </c>
      <c r="G613" s="205" t="s">
        <v>891</v>
      </c>
      <c r="H613" s="225" t="s">
        <v>671</v>
      </c>
      <c r="J613" s="207" t="s">
        <v>112</v>
      </c>
      <c r="K613" s="207"/>
      <c r="L613" s="207">
        <f>IFERROR(SUMIF(data!$E:$E,科目余额表!$B613,data!H:H),0)</f>
        <v>0</v>
      </c>
      <c r="M613" s="207">
        <f>IFERROR(SUMIF(data!$E:$E,科目余额表!$B613,data!I:I),0)</f>
        <v>0</v>
      </c>
      <c r="N613" s="207">
        <f>IFERROR(SUMIF(data!$E:$E,科目余额表!$B613,data!J:J),0)</f>
        <v>0</v>
      </c>
      <c r="O613" s="207">
        <f>IFERROR(SUMIF(data!$E:$E,科目余额表!$B613,data!K:K),0)</f>
        <v>0</v>
      </c>
      <c r="P613" s="207">
        <f>IFERROR(SUMIF(data!$E:$E,科目余额表!$B613,data!L:L),0)</f>
        <v>0</v>
      </c>
      <c r="Q613" s="207">
        <f>IFERROR(SUMIF(data!$E:$E,科目余额表!$B613,data!M:M),0)</f>
        <v>0</v>
      </c>
      <c r="R613" s="207">
        <f>IFERROR(SUMIF(data!$E:$E,科目余额表!$B613,data!N:N),0)</f>
        <v>0</v>
      </c>
      <c r="S613" s="207">
        <f>IFERROR(SUMIF(data!$E:$E,科目余额表!$B613,data!O:O),0)</f>
        <v>0</v>
      </c>
      <c r="T613" s="207">
        <f>IFERROR(SUMIF(data!$E:$E,科目余额表!$B613,data!P:P),0)</f>
        <v>0</v>
      </c>
      <c r="U613" s="207">
        <f>IFERROR(SUMIF(data!$E:$E,科目余额表!$B613,data!Q:Q),0)</f>
        <v>0</v>
      </c>
      <c r="V613" s="207">
        <f>IFERROR(SUMIF(data!$E:$E,科目余额表!$B613,data!R:R),0)</f>
        <v>0</v>
      </c>
      <c r="W613" s="207">
        <f>IFERROR(SUMIF(data!$E:$E,科目余额表!$B613,data!S:S),0)</f>
        <v>0</v>
      </c>
      <c r="X613" s="207">
        <f t="shared" si="17"/>
        <v>0</v>
      </c>
      <c r="Y613" s="207"/>
      <c r="Z613" s="207"/>
      <c r="AA613" s="207"/>
      <c r="AB613" s="207"/>
      <c r="AC613" s="207"/>
      <c r="AD613" s="207"/>
      <c r="AE613" s="207"/>
      <c r="AF613" s="207"/>
    </row>
    <row r="614" spans="1:32" s="214" customFormat="1" ht="11.65" customHeight="1">
      <c r="A614" s="215"/>
      <c r="B614" s="220">
        <v>69008</v>
      </c>
      <c r="C614" s="205" t="s">
        <v>899</v>
      </c>
      <c r="D614" s="221">
        <f t="shared" si="16"/>
        <v>0</v>
      </c>
      <c r="E614" s="221">
        <v>0</v>
      </c>
      <c r="F614" s="222">
        <f t="shared" si="15"/>
        <v>0</v>
      </c>
      <c r="G614" s="205" t="s">
        <v>891</v>
      </c>
      <c r="H614" s="225" t="s">
        <v>671</v>
      </c>
      <c r="J614" s="207" t="s">
        <v>112</v>
      </c>
      <c r="K614" s="207"/>
      <c r="L614" s="207">
        <f>IFERROR(SUMIF(data!$E:$E,科目余额表!$B614,data!H:H),0)</f>
        <v>0</v>
      </c>
      <c r="M614" s="207">
        <f>IFERROR(SUMIF(data!$E:$E,科目余额表!$B614,data!I:I),0)</f>
        <v>0</v>
      </c>
      <c r="N614" s="207">
        <f>IFERROR(SUMIF(data!$E:$E,科目余额表!$B614,data!J:J),0)</f>
        <v>0</v>
      </c>
      <c r="O614" s="207">
        <f>IFERROR(SUMIF(data!$E:$E,科目余额表!$B614,data!K:K),0)</f>
        <v>0</v>
      </c>
      <c r="P614" s="207">
        <f>IFERROR(SUMIF(data!$E:$E,科目余额表!$B614,data!L:L),0)</f>
        <v>0</v>
      </c>
      <c r="Q614" s="207">
        <f>IFERROR(SUMIF(data!$E:$E,科目余额表!$B614,data!M:M),0)</f>
        <v>0</v>
      </c>
      <c r="R614" s="207">
        <f>IFERROR(SUMIF(data!$E:$E,科目余额表!$B614,data!N:N),0)</f>
        <v>0</v>
      </c>
      <c r="S614" s="207">
        <f>IFERROR(SUMIF(data!$E:$E,科目余额表!$B614,data!O:O),0)</f>
        <v>0</v>
      </c>
      <c r="T614" s="207">
        <f>IFERROR(SUMIF(data!$E:$E,科目余额表!$B614,data!P:P),0)</f>
        <v>0</v>
      </c>
      <c r="U614" s="207">
        <f>IFERROR(SUMIF(data!$E:$E,科目余额表!$B614,data!Q:Q),0)</f>
        <v>0</v>
      </c>
      <c r="V614" s="207">
        <f>IFERROR(SUMIF(data!$E:$E,科目余额表!$B614,data!R:R),0)</f>
        <v>0</v>
      </c>
      <c r="W614" s="207">
        <f>IFERROR(SUMIF(data!$E:$E,科目余额表!$B614,data!S:S),0)</f>
        <v>0</v>
      </c>
      <c r="X614" s="207">
        <f t="shared" si="17"/>
        <v>0</v>
      </c>
      <c r="Y614" s="207"/>
      <c r="Z614" s="207"/>
      <c r="AA614" s="207"/>
      <c r="AB614" s="207"/>
      <c r="AC614" s="207"/>
      <c r="AD614" s="207"/>
      <c r="AE614" s="207"/>
      <c r="AF614" s="207"/>
    </row>
    <row r="615" spans="1:32" s="214" customFormat="1" ht="11.65" customHeight="1">
      <c r="A615" s="215"/>
      <c r="B615" s="220">
        <v>69009</v>
      </c>
      <c r="C615" s="205" t="s">
        <v>900</v>
      </c>
      <c r="D615" s="221">
        <f t="shared" si="16"/>
        <v>0</v>
      </c>
      <c r="E615" s="221">
        <v>0</v>
      </c>
      <c r="F615" s="222">
        <f t="shared" si="15"/>
        <v>0</v>
      </c>
      <c r="G615" s="205" t="s">
        <v>891</v>
      </c>
      <c r="H615" s="225" t="s">
        <v>671</v>
      </c>
      <c r="J615" s="207" t="s">
        <v>112</v>
      </c>
      <c r="K615" s="207"/>
      <c r="L615" s="207">
        <f>IFERROR(SUMIF(data!$E:$E,科目余额表!$B615,data!H:H),0)</f>
        <v>0</v>
      </c>
      <c r="M615" s="207">
        <f>IFERROR(SUMIF(data!$E:$E,科目余额表!$B615,data!I:I),0)</f>
        <v>0</v>
      </c>
      <c r="N615" s="207">
        <f>IFERROR(SUMIF(data!$E:$E,科目余额表!$B615,data!J:J),0)</f>
        <v>0</v>
      </c>
      <c r="O615" s="207">
        <f>IFERROR(SUMIF(data!$E:$E,科目余额表!$B615,data!K:K),0)</f>
        <v>0</v>
      </c>
      <c r="P615" s="207">
        <f>IFERROR(SUMIF(data!$E:$E,科目余额表!$B615,data!L:L),0)</f>
        <v>0</v>
      </c>
      <c r="Q615" s="207">
        <f>IFERROR(SUMIF(data!$E:$E,科目余额表!$B615,data!M:M),0)</f>
        <v>0</v>
      </c>
      <c r="R615" s="207">
        <f>IFERROR(SUMIF(data!$E:$E,科目余额表!$B615,data!N:N),0)</f>
        <v>0</v>
      </c>
      <c r="S615" s="207">
        <f>IFERROR(SUMIF(data!$E:$E,科目余额表!$B615,data!O:O),0)</f>
        <v>0</v>
      </c>
      <c r="T615" s="207">
        <f>IFERROR(SUMIF(data!$E:$E,科目余额表!$B615,data!P:P),0)</f>
        <v>0</v>
      </c>
      <c r="U615" s="207">
        <f>IFERROR(SUMIF(data!$E:$E,科目余额表!$B615,data!Q:Q),0)</f>
        <v>0</v>
      </c>
      <c r="V615" s="207">
        <f>IFERROR(SUMIF(data!$E:$E,科目余额表!$B615,data!R:R),0)</f>
        <v>0</v>
      </c>
      <c r="W615" s="207">
        <f>IFERROR(SUMIF(data!$E:$E,科目余额表!$B615,data!S:S),0)</f>
        <v>0</v>
      </c>
      <c r="X615" s="207">
        <f t="shared" si="17"/>
        <v>0</v>
      </c>
      <c r="Y615" s="207"/>
      <c r="Z615" s="207"/>
      <c r="AA615" s="207"/>
      <c r="AB615" s="207"/>
      <c r="AC615" s="207"/>
      <c r="AD615" s="207"/>
      <c r="AE615" s="207"/>
      <c r="AF615" s="207"/>
    </row>
    <row r="616" spans="1:32" s="214" customFormat="1" ht="11.65" customHeight="1">
      <c r="A616" s="215"/>
      <c r="B616" s="220">
        <v>69100</v>
      </c>
      <c r="C616" s="205" t="s">
        <v>901</v>
      </c>
      <c r="D616" s="221">
        <f t="shared" si="16"/>
        <v>1572500</v>
      </c>
      <c r="E616" s="221">
        <v>0</v>
      </c>
      <c r="F616" s="222">
        <f t="shared" si="15"/>
        <v>1572500</v>
      </c>
      <c r="G616" s="205" t="s">
        <v>891</v>
      </c>
      <c r="H616" s="225" t="s">
        <v>671</v>
      </c>
      <c r="J616" s="207" t="s">
        <v>902</v>
      </c>
      <c r="K616" s="207"/>
      <c r="L616" s="207">
        <f>IFERROR(SUMIF(data!$E:$E,科目余额表!$B616,data!H:H),0)</f>
        <v>0</v>
      </c>
      <c r="M616" s="207">
        <f>IFERROR(SUMIF(data!$E:$E,科目余额表!$B616,data!I:I),0)</f>
        <v>0</v>
      </c>
      <c r="N616" s="207">
        <f>IFERROR(SUMIF(data!$E:$E,科目余额表!$B616,data!J:J),0)</f>
        <v>0</v>
      </c>
      <c r="O616" s="207">
        <f>IFERROR(SUMIF(data!$E:$E,科目余额表!$B616,data!K:K),0)</f>
        <v>0</v>
      </c>
      <c r="P616" s="207">
        <f>IFERROR(SUMIF(data!$E:$E,科目余额表!$B616,data!L:L),0)</f>
        <v>0</v>
      </c>
      <c r="Q616" s="207">
        <f>IFERROR(SUMIF(data!$E:$E,科目余额表!$B616,data!M:M),0)</f>
        <v>0</v>
      </c>
      <c r="R616" s="207">
        <f>IFERROR(SUMIF(data!$E:$E,科目余额表!$B616,data!N:N),0)</f>
        <v>0</v>
      </c>
      <c r="S616" s="207">
        <f>IFERROR(SUMIF(data!$E:$E,科目余额表!$B616,data!O:O),0)</f>
        <v>0</v>
      </c>
      <c r="T616" s="207">
        <f>IFERROR(SUMIF(data!$E:$E,科目余额表!$B616,data!P:P),0)</f>
        <v>0</v>
      </c>
      <c r="U616" s="207">
        <f>IFERROR(SUMIF(data!$E:$E,科目余额表!$B616,data!Q:Q),0)</f>
        <v>-1572500</v>
      </c>
      <c r="V616" s="207">
        <f>IFERROR(SUMIF(data!$E:$E,科目余额表!$B616,data!R:R),0)</f>
        <v>0</v>
      </c>
      <c r="W616" s="207">
        <f>IFERROR(SUMIF(data!$E:$E,科目余额表!$B616,data!S:S),0)</f>
        <v>0</v>
      </c>
      <c r="X616" s="207">
        <f t="shared" si="17"/>
        <v>-1572500</v>
      </c>
      <c r="Y616" s="207"/>
      <c r="Z616" s="207"/>
      <c r="AA616" s="207"/>
      <c r="AB616" s="207"/>
      <c r="AC616" s="207"/>
      <c r="AD616" s="207"/>
      <c r="AE616" s="207"/>
      <c r="AF616" s="207"/>
    </row>
    <row r="617" spans="1:32" s="214" customFormat="1" ht="11.65" customHeight="1">
      <c r="A617" s="215"/>
      <c r="B617" s="220">
        <v>69101</v>
      </c>
      <c r="C617" s="205" t="s">
        <v>903</v>
      </c>
      <c r="D617" s="221">
        <f t="shared" si="16"/>
        <v>0</v>
      </c>
      <c r="E617" s="221">
        <v>0</v>
      </c>
      <c r="F617" s="222">
        <f t="shared" si="15"/>
        <v>0</v>
      </c>
      <c r="G617" s="205" t="s">
        <v>891</v>
      </c>
      <c r="H617" s="225" t="s">
        <v>671</v>
      </c>
      <c r="J617" s="207" t="s">
        <v>902</v>
      </c>
      <c r="K617" s="207"/>
      <c r="L617" s="207">
        <f>IFERROR(SUMIF(data!$E:$E,科目余额表!$B617,data!H:H),0)</f>
        <v>0</v>
      </c>
      <c r="M617" s="207">
        <f>IFERROR(SUMIF(data!$E:$E,科目余额表!$B617,data!I:I),0)</f>
        <v>0</v>
      </c>
      <c r="N617" s="207">
        <f>IFERROR(SUMIF(data!$E:$E,科目余额表!$B617,data!J:J),0)</f>
        <v>0</v>
      </c>
      <c r="O617" s="207">
        <f>IFERROR(SUMIF(data!$E:$E,科目余额表!$B617,data!K:K),0)</f>
        <v>0</v>
      </c>
      <c r="P617" s="207">
        <f>IFERROR(SUMIF(data!$E:$E,科目余额表!$B617,data!L:L),0)</f>
        <v>0</v>
      </c>
      <c r="Q617" s="207">
        <f>IFERROR(SUMIF(data!$E:$E,科目余额表!$B617,data!M:M),0)</f>
        <v>0</v>
      </c>
      <c r="R617" s="207">
        <f>IFERROR(SUMIF(data!$E:$E,科目余额表!$B617,data!N:N),0)</f>
        <v>0</v>
      </c>
      <c r="S617" s="207">
        <f>IFERROR(SUMIF(data!$E:$E,科目余额表!$B617,data!O:O),0)</f>
        <v>0</v>
      </c>
      <c r="T617" s="207">
        <f>IFERROR(SUMIF(data!$E:$E,科目余额表!$B617,data!P:P),0)</f>
        <v>0</v>
      </c>
      <c r="U617" s="207">
        <f>IFERROR(SUMIF(data!$E:$E,科目余额表!$B617,data!Q:Q),0)</f>
        <v>0</v>
      </c>
      <c r="V617" s="207">
        <f>IFERROR(SUMIF(data!$E:$E,科目余额表!$B617,data!R:R),0)</f>
        <v>0</v>
      </c>
      <c r="W617" s="207">
        <f>IFERROR(SUMIF(data!$E:$E,科目余额表!$B617,data!S:S),0)</f>
        <v>0</v>
      </c>
      <c r="X617" s="207">
        <f t="shared" si="17"/>
        <v>0</v>
      </c>
      <c r="Y617" s="207"/>
      <c r="Z617" s="207"/>
      <c r="AA617" s="207"/>
      <c r="AB617" s="207"/>
      <c r="AC617" s="207"/>
      <c r="AD617" s="207"/>
      <c r="AE617" s="207"/>
      <c r="AF617" s="207"/>
    </row>
    <row r="618" spans="1:32" s="214" customFormat="1" ht="11.65" customHeight="1">
      <c r="A618" s="215"/>
      <c r="B618" s="220">
        <v>69102</v>
      </c>
      <c r="C618" s="205" t="s">
        <v>904</v>
      </c>
      <c r="D618" s="221">
        <f t="shared" si="16"/>
        <v>0</v>
      </c>
      <c r="E618" s="221">
        <v>0</v>
      </c>
      <c r="F618" s="222">
        <f t="shared" si="15"/>
        <v>0</v>
      </c>
      <c r="G618" s="205" t="s">
        <v>891</v>
      </c>
      <c r="H618" s="225" t="s">
        <v>671</v>
      </c>
      <c r="J618" s="207" t="s">
        <v>902</v>
      </c>
      <c r="K618" s="207"/>
      <c r="L618" s="207">
        <f>IFERROR(SUMIF(data!$E:$E,科目余额表!$B618,data!H:H),0)</f>
        <v>0</v>
      </c>
      <c r="M618" s="207">
        <f>IFERROR(SUMIF(data!$E:$E,科目余额表!$B618,data!I:I),0)</f>
        <v>0</v>
      </c>
      <c r="N618" s="207">
        <f>IFERROR(SUMIF(data!$E:$E,科目余额表!$B618,data!J:J),0)</f>
        <v>0</v>
      </c>
      <c r="O618" s="207">
        <f>IFERROR(SUMIF(data!$E:$E,科目余额表!$B618,data!K:K),0)</f>
        <v>0</v>
      </c>
      <c r="P618" s="207">
        <f>IFERROR(SUMIF(data!$E:$E,科目余额表!$B618,data!L:L),0)</f>
        <v>0</v>
      </c>
      <c r="Q618" s="207">
        <f>IFERROR(SUMIF(data!$E:$E,科目余额表!$B618,data!M:M),0)</f>
        <v>0</v>
      </c>
      <c r="R618" s="207">
        <f>IFERROR(SUMIF(data!$E:$E,科目余额表!$B618,data!N:N),0)</f>
        <v>0</v>
      </c>
      <c r="S618" s="207">
        <f>IFERROR(SUMIF(data!$E:$E,科目余额表!$B618,data!O:O),0)</f>
        <v>0</v>
      </c>
      <c r="T618" s="207">
        <f>IFERROR(SUMIF(data!$E:$E,科目余额表!$B618,data!P:P),0)</f>
        <v>0</v>
      </c>
      <c r="U618" s="207">
        <f>IFERROR(SUMIF(data!$E:$E,科目余额表!$B618,data!Q:Q),0)</f>
        <v>0</v>
      </c>
      <c r="V618" s="207">
        <f>IFERROR(SUMIF(data!$E:$E,科目余额表!$B618,data!R:R),0)</f>
        <v>0</v>
      </c>
      <c r="W618" s="207">
        <f>IFERROR(SUMIF(data!$E:$E,科目余额表!$B618,data!S:S),0)</f>
        <v>0</v>
      </c>
      <c r="X618" s="207">
        <f t="shared" si="17"/>
        <v>0</v>
      </c>
      <c r="Y618" s="207"/>
      <c r="Z618" s="207"/>
      <c r="AA618" s="207"/>
      <c r="AB618" s="207"/>
      <c r="AC618" s="207"/>
      <c r="AD618" s="207"/>
      <c r="AE618" s="207"/>
      <c r="AF618" s="207"/>
    </row>
    <row r="619" spans="1:32" s="214" customFormat="1" ht="11.65" customHeight="1">
      <c r="A619" s="215"/>
      <c r="B619" s="220">
        <v>69103</v>
      </c>
      <c r="C619" s="205" t="s">
        <v>905</v>
      </c>
      <c r="D619" s="221">
        <f t="shared" si="16"/>
        <v>0</v>
      </c>
      <c r="E619" s="221">
        <v>0</v>
      </c>
      <c r="F619" s="222">
        <f t="shared" si="15"/>
        <v>0</v>
      </c>
      <c r="G619" s="205" t="s">
        <v>891</v>
      </c>
      <c r="H619" s="225" t="s">
        <v>671</v>
      </c>
      <c r="J619" s="207" t="s">
        <v>902</v>
      </c>
      <c r="K619" s="207"/>
      <c r="L619" s="207">
        <f>IFERROR(SUMIF(data!$E:$E,科目余额表!$B619,data!H:H),0)</f>
        <v>0</v>
      </c>
      <c r="M619" s="207">
        <f>IFERROR(SUMIF(data!$E:$E,科目余额表!$B619,data!I:I),0)</f>
        <v>0</v>
      </c>
      <c r="N619" s="207">
        <f>IFERROR(SUMIF(data!$E:$E,科目余额表!$B619,data!J:J),0)</f>
        <v>0</v>
      </c>
      <c r="O619" s="207">
        <f>IFERROR(SUMIF(data!$E:$E,科目余额表!$B619,data!K:K),0)</f>
        <v>0</v>
      </c>
      <c r="P619" s="207">
        <f>IFERROR(SUMIF(data!$E:$E,科目余额表!$B619,data!L:L),0)</f>
        <v>0</v>
      </c>
      <c r="Q619" s="207">
        <f>IFERROR(SUMIF(data!$E:$E,科目余额表!$B619,data!M:M),0)</f>
        <v>0</v>
      </c>
      <c r="R619" s="207">
        <f>IFERROR(SUMIF(data!$E:$E,科目余额表!$B619,data!N:N),0)</f>
        <v>0</v>
      </c>
      <c r="S619" s="207">
        <f>IFERROR(SUMIF(data!$E:$E,科目余额表!$B619,data!O:O),0)</f>
        <v>0</v>
      </c>
      <c r="T619" s="207">
        <f>IFERROR(SUMIF(data!$E:$E,科目余额表!$B619,data!P:P),0)</f>
        <v>0</v>
      </c>
      <c r="U619" s="207">
        <f>IFERROR(SUMIF(data!$E:$E,科目余额表!$B619,data!Q:Q),0)</f>
        <v>0</v>
      </c>
      <c r="V619" s="207">
        <f>IFERROR(SUMIF(data!$E:$E,科目余额表!$B619,data!R:R),0)</f>
        <v>0</v>
      </c>
      <c r="W619" s="207">
        <f>IFERROR(SUMIF(data!$E:$E,科目余额表!$B619,data!S:S),0)</f>
        <v>0</v>
      </c>
      <c r="X619" s="207">
        <f t="shared" si="17"/>
        <v>0</v>
      </c>
      <c r="Y619" s="207"/>
      <c r="Z619" s="207"/>
      <c r="AA619" s="207"/>
      <c r="AB619" s="207"/>
      <c r="AC619" s="207"/>
      <c r="AD619" s="207"/>
      <c r="AE619" s="207"/>
      <c r="AF619" s="207"/>
    </row>
    <row r="620" spans="1:32" s="214" customFormat="1" ht="11.65" customHeight="1">
      <c r="A620" s="215"/>
      <c r="B620" s="220">
        <v>69104</v>
      </c>
      <c r="C620" s="205" t="s">
        <v>906</v>
      </c>
      <c r="D620" s="221">
        <f t="shared" si="16"/>
        <v>0</v>
      </c>
      <c r="E620" s="221">
        <v>0</v>
      </c>
      <c r="F620" s="222">
        <f t="shared" si="15"/>
        <v>0</v>
      </c>
      <c r="G620" s="205" t="s">
        <v>891</v>
      </c>
      <c r="H620" s="225" t="s">
        <v>671</v>
      </c>
      <c r="J620" s="207" t="s">
        <v>902</v>
      </c>
      <c r="K620" s="207"/>
      <c r="L620" s="207">
        <f>IFERROR(SUMIF(data!$E:$E,科目余额表!$B620,data!H:H),0)</f>
        <v>0</v>
      </c>
      <c r="M620" s="207">
        <f>IFERROR(SUMIF(data!$E:$E,科目余额表!$B620,data!I:I),0)</f>
        <v>0</v>
      </c>
      <c r="N620" s="207">
        <f>IFERROR(SUMIF(data!$E:$E,科目余额表!$B620,data!J:J),0)</f>
        <v>0</v>
      </c>
      <c r="O620" s="207">
        <f>IFERROR(SUMIF(data!$E:$E,科目余额表!$B620,data!K:K),0)</f>
        <v>0</v>
      </c>
      <c r="P620" s="207">
        <f>IFERROR(SUMIF(data!$E:$E,科目余额表!$B620,data!L:L),0)</f>
        <v>0</v>
      </c>
      <c r="Q620" s="207">
        <f>IFERROR(SUMIF(data!$E:$E,科目余额表!$B620,data!M:M),0)</f>
        <v>0</v>
      </c>
      <c r="R620" s="207">
        <f>IFERROR(SUMIF(data!$E:$E,科目余额表!$B620,data!N:N),0)</f>
        <v>0</v>
      </c>
      <c r="S620" s="207">
        <f>IFERROR(SUMIF(data!$E:$E,科目余额表!$B620,data!O:O),0)</f>
        <v>0</v>
      </c>
      <c r="T620" s="207">
        <f>IFERROR(SUMIF(data!$E:$E,科目余额表!$B620,data!P:P),0)</f>
        <v>0</v>
      </c>
      <c r="U620" s="207">
        <f>IFERROR(SUMIF(data!$E:$E,科目余额表!$B620,data!Q:Q),0)</f>
        <v>0</v>
      </c>
      <c r="V620" s="207">
        <f>IFERROR(SUMIF(data!$E:$E,科目余额表!$B620,data!R:R),0)</f>
        <v>0</v>
      </c>
      <c r="W620" s="207">
        <f>IFERROR(SUMIF(data!$E:$E,科目余额表!$B620,data!S:S),0)</f>
        <v>0</v>
      </c>
      <c r="X620" s="207">
        <f t="shared" si="17"/>
        <v>0</v>
      </c>
      <c r="Y620" s="207"/>
      <c r="Z620" s="207"/>
      <c r="AA620" s="207"/>
      <c r="AB620" s="207"/>
      <c r="AC620" s="207"/>
      <c r="AD620" s="207"/>
      <c r="AE620" s="207"/>
      <c r="AF620" s="207"/>
    </row>
    <row r="621" spans="1:32" s="214" customFormat="1" ht="11.65" customHeight="1">
      <c r="A621" s="215"/>
      <c r="B621" s="220">
        <v>69105</v>
      </c>
      <c r="C621" s="205" t="s">
        <v>907</v>
      </c>
      <c r="D621" s="221">
        <f t="shared" si="16"/>
        <v>400000</v>
      </c>
      <c r="E621" s="221">
        <v>2864637.74</v>
      </c>
      <c r="F621" s="222">
        <f t="shared" si="15"/>
        <v>3264637.74</v>
      </c>
      <c r="G621" s="205" t="s">
        <v>891</v>
      </c>
      <c r="H621" s="225" t="s">
        <v>671</v>
      </c>
      <c r="J621" s="207" t="s">
        <v>902</v>
      </c>
      <c r="K621" s="207"/>
      <c r="L621" s="207">
        <f>IFERROR(SUMIF(data!$E:$E,科目余额表!$B621,data!H:H),0)</f>
        <v>0</v>
      </c>
      <c r="M621" s="207">
        <f>IFERROR(SUMIF(data!$E:$E,科目余额表!$B621,data!I:I),0)</f>
        <v>0</v>
      </c>
      <c r="N621" s="207">
        <f>IFERROR(SUMIF(data!$E:$E,科目余额表!$B621,data!J:J),0)</f>
        <v>0</v>
      </c>
      <c r="O621" s="207">
        <f>IFERROR(SUMIF(data!$E:$E,科目余额表!$B621,data!K:K),0)</f>
        <v>-400000</v>
      </c>
      <c r="P621" s="207">
        <f>IFERROR(SUMIF(data!$E:$E,科目余额表!$B621,data!L:L),0)</f>
        <v>0</v>
      </c>
      <c r="Q621" s="207">
        <f>IFERROR(SUMIF(data!$E:$E,科目余额表!$B621,data!M:M),0)</f>
        <v>0</v>
      </c>
      <c r="R621" s="207">
        <f>IFERROR(SUMIF(data!$E:$E,科目余额表!$B621,data!N:N),0)</f>
        <v>0</v>
      </c>
      <c r="S621" s="207">
        <f>IFERROR(SUMIF(data!$E:$E,科目余额表!$B621,data!O:O),0)</f>
        <v>0</v>
      </c>
      <c r="T621" s="207">
        <f>IFERROR(SUMIF(data!$E:$E,科目余额表!$B621,data!P:P),0)</f>
        <v>0</v>
      </c>
      <c r="U621" s="207">
        <f>IFERROR(SUMIF(data!$E:$E,科目余额表!$B621,data!Q:Q),0)</f>
        <v>0</v>
      </c>
      <c r="V621" s="207">
        <f>IFERROR(SUMIF(data!$E:$E,科目余额表!$B621,data!R:R),0)</f>
        <v>0</v>
      </c>
      <c r="W621" s="207">
        <f>IFERROR(SUMIF(data!$E:$E,科目余额表!$B621,data!S:S),0)</f>
        <v>-2864637.74</v>
      </c>
      <c r="X621" s="207">
        <f t="shared" si="17"/>
        <v>-3264637.74</v>
      </c>
      <c r="Y621" s="207"/>
      <c r="Z621" s="207"/>
      <c r="AA621" s="207"/>
      <c r="AB621" s="207"/>
      <c r="AC621" s="207"/>
      <c r="AD621" s="207"/>
      <c r="AE621" s="207"/>
      <c r="AF621" s="207"/>
    </row>
    <row r="622" spans="1:32" s="214" customFormat="1" ht="11.65" customHeight="1">
      <c r="A622" s="215"/>
      <c r="B622" s="220">
        <v>69106</v>
      </c>
      <c r="C622" s="205" t="s">
        <v>908</v>
      </c>
      <c r="D622" s="221">
        <f t="shared" si="16"/>
        <v>0</v>
      </c>
      <c r="E622" s="221">
        <v>0</v>
      </c>
      <c r="F622" s="222">
        <f t="shared" si="15"/>
        <v>0</v>
      </c>
      <c r="G622" s="205" t="s">
        <v>891</v>
      </c>
      <c r="H622" s="225" t="s">
        <v>671</v>
      </c>
      <c r="J622" s="207" t="s">
        <v>902</v>
      </c>
      <c r="K622" s="207"/>
      <c r="L622" s="207">
        <f>IFERROR(SUMIF(data!$E:$E,科目余额表!$B622,data!H:H),0)</f>
        <v>0</v>
      </c>
      <c r="M622" s="207">
        <f>IFERROR(SUMIF(data!$E:$E,科目余额表!$B622,data!I:I),0)</f>
        <v>0</v>
      </c>
      <c r="N622" s="207">
        <f>IFERROR(SUMIF(data!$E:$E,科目余额表!$B622,data!J:J),0)</f>
        <v>0</v>
      </c>
      <c r="O622" s="207">
        <f>IFERROR(SUMIF(data!$E:$E,科目余额表!$B622,data!K:K),0)</f>
        <v>0</v>
      </c>
      <c r="P622" s="207">
        <f>IFERROR(SUMIF(data!$E:$E,科目余额表!$B622,data!L:L),0)</f>
        <v>0</v>
      </c>
      <c r="Q622" s="207">
        <f>IFERROR(SUMIF(data!$E:$E,科目余额表!$B622,data!M:M),0)</f>
        <v>0</v>
      </c>
      <c r="R622" s="207">
        <f>IFERROR(SUMIF(data!$E:$E,科目余额表!$B622,data!N:N),0)</f>
        <v>0</v>
      </c>
      <c r="S622" s="207">
        <f>IFERROR(SUMIF(data!$E:$E,科目余额表!$B622,data!O:O),0)</f>
        <v>0</v>
      </c>
      <c r="T622" s="207">
        <f>IFERROR(SUMIF(data!$E:$E,科目余额表!$B622,data!P:P),0)</f>
        <v>0</v>
      </c>
      <c r="U622" s="207">
        <f>IFERROR(SUMIF(data!$E:$E,科目余额表!$B622,data!Q:Q),0)</f>
        <v>0</v>
      </c>
      <c r="V622" s="207">
        <f>IFERROR(SUMIF(data!$E:$E,科目余额表!$B622,data!R:R),0)</f>
        <v>0</v>
      </c>
      <c r="W622" s="207">
        <f>IFERROR(SUMIF(data!$E:$E,科目余额表!$B622,data!S:S),0)</f>
        <v>0</v>
      </c>
      <c r="X622" s="207">
        <f t="shared" si="17"/>
        <v>0</v>
      </c>
      <c r="Y622" s="207"/>
      <c r="Z622" s="207"/>
      <c r="AA622" s="207"/>
      <c r="AB622" s="207"/>
      <c r="AC622" s="207"/>
      <c r="AD622" s="207"/>
      <c r="AE622" s="207"/>
      <c r="AF622" s="207"/>
    </row>
    <row r="623" spans="1:32" s="214" customFormat="1" ht="11.65" customHeight="1">
      <c r="A623" s="215"/>
      <c r="B623" s="220">
        <v>69108</v>
      </c>
      <c r="C623" s="205" t="s">
        <v>909</v>
      </c>
      <c r="D623" s="221">
        <f t="shared" si="16"/>
        <v>0</v>
      </c>
      <c r="E623" s="221">
        <v>0</v>
      </c>
      <c r="F623" s="222">
        <f t="shared" si="15"/>
        <v>0</v>
      </c>
      <c r="G623" s="205" t="s">
        <v>891</v>
      </c>
      <c r="H623" s="225" t="s">
        <v>671</v>
      </c>
      <c r="J623" s="207" t="s">
        <v>902</v>
      </c>
      <c r="K623" s="207"/>
      <c r="L623" s="207">
        <f>IFERROR(SUMIF(data!$E:$E,科目余额表!$B623,data!H:H),0)</f>
        <v>0</v>
      </c>
      <c r="M623" s="207">
        <f>IFERROR(SUMIF(data!$E:$E,科目余额表!$B623,data!I:I),0)</f>
        <v>0</v>
      </c>
      <c r="N623" s="207">
        <f>IFERROR(SUMIF(data!$E:$E,科目余额表!$B623,data!J:J),0)</f>
        <v>0</v>
      </c>
      <c r="O623" s="207">
        <f>IFERROR(SUMIF(data!$E:$E,科目余额表!$B623,data!K:K),0)</f>
        <v>0</v>
      </c>
      <c r="P623" s="207">
        <f>IFERROR(SUMIF(data!$E:$E,科目余额表!$B623,data!L:L),0)</f>
        <v>0</v>
      </c>
      <c r="Q623" s="207">
        <f>IFERROR(SUMIF(data!$E:$E,科目余额表!$B623,data!M:M),0)</f>
        <v>0</v>
      </c>
      <c r="R623" s="207">
        <f>IFERROR(SUMIF(data!$E:$E,科目余额表!$B623,data!N:N),0)</f>
        <v>0</v>
      </c>
      <c r="S623" s="207">
        <f>IFERROR(SUMIF(data!$E:$E,科目余额表!$B623,data!O:O),0)</f>
        <v>0</v>
      </c>
      <c r="T623" s="207">
        <f>IFERROR(SUMIF(data!$E:$E,科目余额表!$B623,data!P:P),0)</f>
        <v>0</v>
      </c>
      <c r="U623" s="207">
        <f>IFERROR(SUMIF(data!$E:$E,科目余额表!$B623,data!Q:Q),0)</f>
        <v>0</v>
      </c>
      <c r="V623" s="207">
        <f>IFERROR(SUMIF(data!$E:$E,科目余额表!$B623,data!R:R),0)</f>
        <v>0</v>
      </c>
      <c r="W623" s="207">
        <f>IFERROR(SUMIF(data!$E:$E,科目余额表!$B623,data!S:S),0)</f>
        <v>0</v>
      </c>
      <c r="X623" s="207">
        <f t="shared" si="17"/>
        <v>0</v>
      </c>
      <c r="Y623" s="207"/>
      <c r="Z623" s="207"/>
      <c r="AA623" s="207"/>
      <c r="AB623" s="207"/>
      <c r="AC623" s="207"/>
      <c r="AD623" s="207"/>
      <c r="AE623" s="207"/>
      <c r="AF623" s="207"/>
    </row>
    <row r="624" spans="1:32" s="214" customFormat="1" ht="11.65" customHeight="1">
      <c r="A624" s="215"/>
      <c r="B624" s="220">
        <v>69109</v>
      </c>
      <c r="C624" s="205" t="s">
        <v>910</v>
      </c>
      <c r="D624" s="221">
        <f t="shared" si="16"/>
        <v>0</v>
      </c>
      <c r="E624" s="221">
        <v>0</v>
      </c>
      <c r="F624" s="222">
        <f t="shared" si="15"/>
        <v>0</v>
      </c>
      <c r="G624" s="205" t="s">
        <v>891</v>
      </c>
      <c r="H624" s="225" t="s">
        <v>671</v>
      </c>
      <c r="J624" s="207" t="s">
        <v>902</v>
      </c>
      <c r="K624" s="207"/>
      <c r="L624" s="207">
        <f>IFERROR(SUMIF(data!$E:$E,科目余额表!$B624,data!H:H),0)</f>
        <v>0</v>
      </c>
      <c r="M624" s="207">
        <f>IFERROR(SUMIF(data!$E:$E,科目余额表!$B624,data!I:I),0)</f>
        <v>0</v>
      </c>
      <c r="N624" s="207">
        <f>IFERROR(SUMIF(data!$E:$E,科目余额表!$B624,data!J:J),0)</f>
        <v>0</v>
      </c>
      <c r="O624" s="207">
        <f>IFERROR(SUMIF(data!$E:$E,科目余额表!$B624,data!K:K),0)</f>
        <v>0</v>
      </c>
      <c r="P624" s="207">
        <f>IFERROR(SUMIF(data!$E:$E,科目余额表!$B624,data!L:L),0)</f>
        <v>0</v>
      </c>
      <c r="Q624" s="207">
        <f>IFERROR(SUMIF(data!$E:$E,科目余额表!$B624,data!M:M),0)</f>
        <v>0</v>
      </c>
      <c r="R624" s="207">
        <f>IFERROR(SUMIF(data!$E:$E,科目余额表!$B624,data!N:N),0)</f>
        <v>0</v>
      </c>
      <c r="S624" s="207">
        <f>IFERROR(SUMIF(data!$E:$E,科目余额表!$B624,data!O:O),0)</f>
        <v>0</v>
      </c>
      <c r="T624" s="207">
        <f>IFERROR(SUMIF(data!$E:$E,科目余额表!$B624,data!P:P),0)</f>
        <v>0</v>
      </c>
      <c r="U624" s="207">
        <f>IFERROR(SUMIF(data!$E:$E,科目余额表!$B624,data!Q:Q),0)</f>
        <v>0</v>
      </c>
      <c r="V624" s="207">
        <f>IFERROR(SUMIF(data!$E:$E,科目余额表!$B624,data!R:R),0)</f>
        <v>0</v>
      </c>
      <c r="W624" s="207">
        <f>IFERROR(SUMIF(data!$E:$E,科目余额表!$B624,data!S:S),0)</f>
        <v>0</v>
      </c>
      <c r="X624" s="207">
        <f t="shared" si="17"/>
        <v>0</v>
      </c>
      <c r="Y624" s="207"/>
      <c r="Z624" s="207"/>
      <c r="AA624" s="207"/>
      <c r="AB624" s="207"/>
      <c r="AC624" s="207"/>
      <c r="AD624" s="207"/>
      <c r="AE624" s="207"/>
      <c r="AF624" s="207"/>
    </row>
    <row r="625" spans="1:32" s="214" customFormat="1" ht="11.65" customHeight="1">
      <c r="A625" s="215"/>
      <c r="B625" s="220">
        <v>70000</v>
      </c>
      <c r="C625" s="205" t="s">
        <v>911</v>
      </c>
      <c r="D625" s="221">
        <f t="shared" si="16"/>
        <v>0</v>
      </c>
      <c r="E625" s="221">
        <v>0</v>
      </c>
      <c r="F625" s="222">
        <f t="shared" si="15"/>
        <v>0</v>
      </c>
      <c r="G625" s="205" t="s">
        <v>883</v>
      </c>
      <c r="H625" s="225" t="s">
        <v>671</v>
      </c>
      <c r="J625" s="207" t="s">
        <v>146</v>
      </c>
      <c r="K625" s="207"/>
      <c r="L625" s="207">
        <f>IFERROR(SUMIF(data!$E:$E,科目余额表!$B625,data!H:H),0)</f>
        <v>0</v>
      </c>
      <c r="M625" s="207">
        <f>IFERROR(SUMIF(data!$E:$E,科目余额表!$B625,data!I:I),0)</f>
        <v>0</v>
      </c>
      <c r="N625" s="207">
        <f>IFERROR(SUMIF(data!$E:$E,科目余额表!$B625,data!J:J),0)</f>
        <v>0</v>
      </c>
      <c r="O625" s="207">
        <f>IFERROR(SUMIF(data!$E:$E,科目余额表!$B625,data!K:K),0)</f>
        <v>0</v>
      </c>
      <c r="P625" s="207">
        <f>IFERROR(SUMIF(data!$E:$E,科目余额表!$B625,data!L:L),0)</f>
        <v>0</v>
      </c>
      <c r="Q625" s="207">
        <f>IFERROR(SUMIF(data!$E:$E,科目余额表!$B625,data!M:M),0)</f>
        <v>0</v>
      </c>
      <c r="R625" s="207">
        <f>IFERROR(SUMIF(data!$E:$E,科目余额表!$B625,data!N:N),0)</f>
        <v>0</v>
      </c>
      <c r="S625" s="207">
        <f>IFERROR(SUMIF(data!$E:$E,科目余额表!$B625,data!O:O),0)</f>
        <v>0</v>
      </c>
      <c r="T625" s="207">
        <f>IFERROR(SUMIF(data!$E:$E,科目余额表!$B625,data!P:P),0)</f>
        <v>0</v>
      </c>
      <c r="U625" s="207">
        <f>IFERROR(SUMIF(data!$E:$E,科目余额表!$B625,data!Q:Q),0)</f>
        <v>0</v>
      </c>
      <c r="V625" s="207">
        <f>IFERROR(SUMIF(data!$E:$E,科目余额表!$B625,data!R:R),0)</f>
        <v>0</v>
      </c>
      <c r="W625" s="207">
        <f>IFERROR(SUMIF(data!$E:$E,科目余额表!$B625,data!S:S),0)</f>
        <v>0</v>
      </c>
      <c r="X625" s="207">
        <f t="shared" si="17"/>
        <v>0</v>
      </c>
      <c r="Y625" s="207"/>
      <c r="Z625" s="207"/>
      <c r="AA625" s="207"/>
      <c r="AB625" s="207"/>
      <c r="AC625" s="207"/>
      <c r="AD625" s="207"/>
      <c r="AE625" s="207"/>
      <c r="AF625" s="207"/>
    </row>
    <row r="626" spans="1:32" s="214" customFormat="1" ht="11.65" customHeight="1">
      <c r="A626" s="215"/>
      <c r="B626" s="220">
        <v>70001</v>
      </c>
      <c r="C626" s="205" t="s">
        <v>912</v>
      </c>
      <c r="D626" s="221">
        <f t="shared" si="16"/>
        <v>0</v>
      </c>
      <c r="E626" s="221">
        <v>0</v>
      </c>
      <c r="F626" s="222">
        <f t="shared" si="15"/>
        <v>0</v>
      </c>
      <c r="G626" s="205" t="s">
        <v>883</v>
      </c>
      <c r="H626" s="225" t="s">
        <v>671</v>
      </c>
      <c r="J626" s="207" t="s">
        <v>146</v>
      </c>
      <c r="K626" s="207"/>
      <c r="L626" s="207">
        <f>IFERROR(SUMIF(data!$E:$E,科目余额表!$B626,data!H:H),0)</f>
        <v>0</v>
      </c>
      <c r="M626" s="207">
        <f>IFERROR(SUMIF(data!$E:$E,科目余额表!$B626,data!I:I),0)</f>
        <v>0</v>
      </c>
      <c r="N626" s="207">
        <f>IFERROR(SUMIF(data!$E:$E,科目余额表!$B626,data!J:J),0)</f>
        <v>0</v>
      </c>
      <c r="O626" s="207">
        <f>IFERROR(SUMIF(data!$E:$E,科目余额表!$B626,data!K:K),0)</f>
        <v>0</v>
      </c>
      <c r="P626" s="207">
        <f>IFERROR(SUMIF(data!$E:$E,科目余额表!$B626,data!L:L),0)</f>
        <v>0</v>
      </c>
      <c r="Q626" s="207">
        <f>IFERROR(SUMIF(data!$E:$E,科目余额表!$B626,data!M:M),0)</f>
        <v>0</v>
      </c>
      <c r="R626" s="207">
        <f>IFERROR(SUMIF(data!$E:$E,科目余额表!$B626,data!N:N),0)</f>
        <v>0</v>
      </c>
      <c r="S626" s="207">
        <f>IFERROR(SUMIF(data!$E:$E,科目余额表!$B626,data!O:O),0)</f>
        <v>0</v>
      </c>
      <c r="T626" s="207">
        <f>IFERROR(SUMIF(data!$E:$E,科目余额表!$B626,data!P:P),0)</f>
        <v>0</v>
      </c>
      <c r="U626" s="207">
        <f>IFERROR(SUMIF(data!$E:$E,科目余额表!$B626,data!Q:Q),0)</f>
        <v>0</v>
      </c>
      <c r="V626" s="207">
        <f>IFERROR(SUMIF(data!$E:$E,科目余额表!$B626,data!R:R),0)</f>
        <v>0</v>
      </c>
      <c r="W626" s="207">
        <f>IFERROR(SUMIF(data!$E:$E,科目余额表!$B626,data!S:S),0)</f>
        <v>0</v>
      </c>
      <c r="X626" s="207">
        <f t="shared" si="17"/>
        <v>0</v>
      </c>
      <c r="Y626" s="207"/>
      <c r="Z626" s="207"/>
      <c r="AA626" s="207"/>
      <c r="AB626" s="207"/>
      <c r="AC626" s="207"/>
      <c r="AD626" s="207"/>
      <c r="AE626" s="207"/>
      <c r="AF626" s="207"/>
    </row>
    <row r="627" spans="1:32" s="214" customFormat="1" ht="11.65" customHeight="1">
      <c r="A627" s="215"/>
      <c r="B627" s="220">
        <v>70002</v>
      </c>
      <c r="C627" s="205" t="s">
        <v>913</v>
      </c>
      <c r="D627" s="221">
        <f t="shared" si="16"/>
        <v>0</v>
      </c>
      <c r="E627" s="221">
        <v>0</v>
      </c>
      <c r="F627" s="222">
        <f t="shared" si="15"/>
        <v>0</v>
      </c>
      <c r="G627" s="205" t="s">
        <v>883</v>
      </c>
      <c r="H627" s="225" t="s">
        <v>671</v>
      </c>
      <c r="J627" s="207" t="s">
        <v>146</v>
      </c>
      <c r="K627" s="207"/>
      <c r="L627" s="207">
        <f>IFERROR(SUMIF(data!$E:$E,科目余额表!$B627,data!H:H),0)</f>
        <v>0</v>
      </c>
      <c r="M627" s="207">
        <f>IFERROR(SUMIF(data!$E:$E,科目余额表!$B627,data!I:I),0)</f>
        <v>0</v>
      </c>
      <c r="N627" s="207">
        <f>IFERROR(SUMIF(data!$E:$E,科目余额表!$B627,data!J:J),0)</f>
        <v>0</v>
      </c>
      <c r="O627" s="207">
        <f>IFERROR(SUMIF(data!$E:$E,科目余额表!$B627,data!K:K),0)</f>
        <v>0</v>
      </c>
      <c r="P627" s="207">
        <f>IFERROR(SUMIF(data!$E:$E,科目余额表!$B627,data!L:L),0)</f>
        <v>0</v>
      </c>
      <c r="Q627" s="207">
        <f>IFERROR(SUMIF(data!$E:$E,科目余额表!$B627,data!M:M),0)</f>
        <v>0</v>
      </c>
      <c r="R627" s="207">
        <f>IFERROR(SUMIF(data!$E:$E,科目余额表!$B627,data!N:N),0)</f>
        <v>0</v>
      </c>
      <c r="S627" s="207">
        <f>IFERROR(SUMIF(data!$E:$E,科目余额表!$B627,data!O:O),0)</f>
        <v>0</v>
      </c>
      <c r="T627" s="207">
        <f>IFERROR(SUMIF(data!$E:$E,科目余额表!$B627,data!P:P),0)</f>
        <v>0</v>
      </c>
      <c r="U627" s="207">
        <f>IFERROR(SUMIF(data!$E:$E,科目余额表!$B627,data!Q:Q),0)</f>
        <v>0</v>
      </c>
      <c r="V627" s="207">
        <f>IFERROR(SUMIF(data!$E:$E,科目余额表!$B627,data!R:R),0)</f>
        <v>0</v>
      </c>
      <c r="W627" s="207">
        <f>IFERROR(SUMIF(data!$E:$E,科目余额表!$B627,data!S:S),0)</f>
        <v>0</v>
      </c>
      <c r="X627" s="207">
        <f t="shared" si="17"/>
        <v>0</v>
      </c>
      <c r="Y627" s="207"/>
      <c r="Z627" s="207"/>
      <c r="AA627" s="207"/>
      <c r="AB627" s="207"/>
      <c r="AC627" s="207"/>
      <c r="AD627" s="207"/>
      <c r="AE627" s="207"/>
      <c r="AF627" s="207"/>
    </row>
    <row r="628" spans="1:32" s="214" customFormat="1" ht="11.65" customHeight="1">
      <c r="A628" s="215"/>
      <c r="B628" s="220">
        <v>70003</v>
      </c>
      <c r="C628" s="205" t="s">
        <v>914</v>
      </c>
      <c r="D628" s="221">
        <f t="shared" si="16"/>
        <v>0</v>
      </c>
      <c r="E628" s="221">
        <v>0</v>
      </c>
      <c r="F628" s="222">
        <f t="shared" si="15"/>
        <v>0</v>
      </c>
      <c r="G628" s="205" t="s">
        <v>883</v>
      </c>
      <c r="H628" s="225" t="s">
        <v>671</v>
      </c>
      <c r="J628" s="207" t="s">
        <v>146</v>
      </c>
      <c r="K628" s="207"/>
      <c r="L628" s="207">
        <f>IFERROR(SUMIF(data!$E:$E,科目余额表!$B628,data!H:H),0)</f>
        <v>0</v>
      </c>
      <c r="M628" s="207">
        <f>IFERROR(SUMIF(data!$E:$E,科目余额表!$B628,data!I:I),0)</f>
        <v>0</v>
      </c>
      <c r="N628" s="207">
        <f>IFERROR(SUMIF(data!$E:$E,科目余额表!$B628,data!J:J),0)</f>
        <v>0</v>
      </c>
      <c r="O628" s="207">
        <f>IFERROR(SUMIF(data!$E:$E,科目余额表!$B628,data!K:K),0)</f>
        <v>0</v>
      </c>
      <c r="P628" s="207">
        <f>IFERROR(SUMIF(data!$E:$E,科目余额表!$B628,data!L:L),0)</f>
        <v>0</v>
      </c>
      <c r="Q628" s="207">
        <f>IFERROR(SUMIF(data!$E:$E,科目余额表!$B628,data!M:M),0)</f>
        <v>0</v>
      </c>
      <c r="R628" s="207">
        <f>IFERROR(SUMIF(data!$E:$E,科目余额表!$B628,data!N:N),0)</f>
        <v>0</v>
      </c>
      <c r="S628" s="207">
        <f>IFERROR(SUMIF(data!$E:$E,科目余额表!$B628,data!O:O),0)</f>
        <v>0</v>
      </c>
      <c r="T628" s="207">
        <f>IFERROR(SUMIF(data!$E:$E,科目余额表!$B628,data!P:P),0)</f>
        <v>0</v>
      </c>
      <c r="U628" s="207">
        <f>IFERROR(SUMIF(data!$E:$E,科目余额表!$B628,data!Q:Q),0)</f>
        <v>0</v>
      </c>
      <c r="V628" s="207">
        <f>IFERROR(SUMIF(data!$E:$E,科目余额表!$B628,data!R:R),0)</f>
        <v>0</v>
      </c>
      <c r="W628" s="207">
        <f>IFERROR(SUMIF(data!$E:$E,科目余额表!$B628,data!S:S),0)</f>
        <v>0</v>
      </c>
      <c r="X628" s="207">
        <f t="shared" si="17"/>
        <v>0</v>
      </c>
      <c r="Y628" s="207"/>
      <c r="Z628" s="207"/>
      <c r="AA628" s="207"/>
      <c r="AB628" s="207"/>
      <c r="AC628" s="207"/>
      <c r="AD628" s="207"/>
      <c r="AE628" s="207"/>
      <c r="AF628" s="207"/>
    </row>
    <row r="629" spans="1:32" s="214" customFormat="1" ht="11.65" customHeight="1">
      <c r="A629" s="215"/>
      <c r="B629" s="220">
        <v>70004</v>
      </c>
      <c r="C629" s="205" t="s">
        <v>915</v>
      </c>
      <c r="D629" s="221">
        <f t="shared" si="16"/>
        <v>0</v>
      </c>
      <c r="E629" s="221">
        <v>0</v>
      </c>
      <c r="F629" s="222">
        <f t="shared" si="15"/>
        <v>0</v>
      </c>
      <c r="G629" s="205" t="s">
        <v>883</v>
      </c>
      <c r="H629" s="225" t="s">
        <v>671</v>
      </c>
      <c r="J629" s="207" t="s">
        <v>146</v>
      </c>
      <c r="K629" s="207"/>
      <c r="L629" s="207">
        <f>IFERROR(SUMIF(data!$E:$E,科目余额表!$B629,data!H:H),0)</f>
        <v>0</v>
      </c>
      <c r="M629" s="207">
        <f>IFERROR(SUMIF(data!$E:$E,科目余额表!$B629,data!I:I),0)</f>
        <v>0</v>
      </c>
      <c r="N629" s="207">
        <f>IFERROR(SUMIF(data!$E:$E,科目余额表!$B629,data!J:J),0)</f>
        <v>0</v>
      </c>
      <c r="O629" s="207">
        <f>IFERROR(SUMIF(data!$E:$E,科目余额表!$B629,data!K:K),0)</f>
        <v>0</v>
      </c>
      <c r="P629" s="207">
        <f>IFERROR(SUMIF(data!$E:$E,科目余额表!$B629,data!L:L),0)</f>
        <v>0</v>
      </c>
      <c r="Q629" s="207">
        <f>IFERROR(SUMIF(data!$E:$E,科目余额表!$B629,data!M:M),0)</f>
        <v>0</v>
      </c>
      <c r="R629" s="207">
        <f>IFERROR(SUMIF(data!$E:$E,科目余额表!$B629,data!N:N),0)</f>
        <v>0</v>
      </c>
      <c r="S629" s="207">
        <f>IFERROR(SUMIF(data!$E:$E,科目余额表!$B629,data!O:O),0)</f>
        <v>0</v>
      </c>
      <c r="T629" s="207">
        <f>IFERROR(SUMIF(data!$E:$E,科目余额表!$B629,data!P:P),0)</f>
        <v>0</v>
      </c>
      <c r="U629" s="207">
        <f>IFERROR(SUMIF(data!$E:$E,科目余额表!$B629,data!Q:Q),0)</f>
        <v>0</v>
      </c>
      <c r="V629" s="207">
        <f>IFERROR(SUMIF(data!$E:$E,科目余额表!$B629,data!R:R),0)</f>
        <v>0</v>
      </c>
      <c r="W629" s="207">
        <f>IFERROR(SUMIF(data!$E:$E,科目余额表!$B629,data!S:S),0)</f>
        <v>0</v>
      </c>
      <c r="X629" s="207">
        <f t="shared" si="17"/>
        <v>0</v>
      </c>
      <c r="Y629" s="207"/>
      <c r="Z629" s="207"/>
      <c r="AA629" s="207"/>
      <c r="AB629" s="207"/>
      <c r="AC629" s="207"/>
      <c r="AD629" s="207"/>
      <c r="AE629" s="207"/>
      <c r="AF629" s="207"/>
    </row>
    <row r="630" spans="1:32" s="214" customFormat="1" ht="11.65" customHeight="1">
      <c r="A630" s="215"/>
      <c r="B630" s="220">
        <v>70005</v>
      </c>
      <c r="C630" s="205" t="s">
        <v>916</v>
      </c>
      <c r="D630" s="221">
        <f t="shared" si="16"/>
        <v>0</v>
      </c>
      <c r="E630" s="221">
        <v>0</v>
      </c>
      <c r="F630" s="222">
        <f t="shared" si="15"/>
        <v>0</v>
      </c>
      <c r="G630" s="205" t="s">
        <v>883</v>
      </c>
      <c r="H630" s="225" t="s">
        <v>671</v>
      </c>
      <c r="J630" s="207" t="s">
        <v>146</v>
      </c>
      <c r="K630" s="207"/>
      <c r="L630" s="207">
        <f>IFERROR(SUMIF(data!$E:$E,科目余额表!$B630,data!H:H),0)</f>
        <v>0</v>
      </c>
      <c r="M630" s="207">
        <f>IFERROR(SUMIF(data!$E:$E,科目余额表!$B630,data!I:I),0)</f>
        <v>0</v>
      </c>
      <c r="N630" s="207">
        <f>IFERROR(SUMIF(data!$E:$E,科目余额表!$B630,data!J:J),0)</f>
        <v>0</v>
      </c>
      <c r="O630" s="207">
        <f>IFERROR(SUMIF(data!$E:$E,科目余额表!$B630,data!K:K),0)</f>
        <v>0</v>
      </c>
      <c r="P630" s="207">
        <f>IFERROR(SUMIF(data!$E:$E,科目余额表!$B630,data!L:L),0)</f>
        <v>0</v>
      </c>
      <c r="Q630" s="207">
        <f>IFERROR(SUMIF(data!$E:$E,科目余额表!$B630,data!M:M),0)</f>
        <v>0</v>
      </c>
      <c r="R630" s="207">
        <f>IFERROR(SUMIF(data!$E:$E,科目余额表!$B630,data!N:N),0)</f>
        <v>0</v>
      </c>
      <c r="S630" s="207">
        <f>IFERROR(SUMIF(data!$E:$E,科目余额表!$B630,data!O:O),0)</f>
        <v>0</v>
      </c>
      <c r="T630" s="207">
        <f>IFERROR(SUMIF(data!$E:$E,科目余额表!$B630,data!P:P),0)</f>
        <v>0</v>
      </c>
      <c r="U630" s="207">
        <f>IFERROR(SUMIF(data!$E:$E,科目余额表!$B630,data!Q:Q),0)</f>
        <v>0</v>
      </c>
      <c r="V630" s="207">
        <f>IFERROR(SUMIF(data!$E:$E,科目余额表!$B630,data!R:R),0)</f>
        <v>0</v>
      </c>
      <c r="W630" s="207">
        <f>IFERROR(SUMIF(data!$E:$E,科目余额表!$B630,data!S:S),0)</f>
        <v>0</v>
      </c>
      <c r="X630" s="207">
        <f t="shared" si="17"/>
        <v>0</v>
      </c>
      <c r="Y630" s="207"/>
      <c r="Z630" s="207"/>
      <c r="AA630" s="207"/>
      <c r="AB630" s="207"/>
      <c r="AC630" s="207"/>
      <c r="AD630" s="207"/>
      <c r="AE630" s="207"/>
      <c r="AF630" s="207"/>
    </row>
    <row r="631" spans="1:32" s="214" customFormat="1" ht="11.65" customHeight="1">
      <c r="A631" s="215"/>
      <c r="B631" s="220">
        <v>70006</v>
      </c>
      <c r="C631" s="205" t="s">
        <v>917</v>
      </c>
      <c r="D631" s="221">
        <f t="shared" si="16"/>
        <v>0</v>
      </c>
      <c r="E631" s="221">
        <v>0</v>
      </c>
      <c r="F631" s="222">
        <f t="shared" si="15"/>
        <v>0</v>
      </c>
      <c r="G631" s="205" t="s">
        <v>883</v>
      </c>
      <c r="H631" s="225" t="s">
        <v>671</v>
      </c>
      <c r="J631" s="207" t="s">
        <v>146</v>
      </c>
      <c r="K631" s="207"/>
      <c r="L631" s="207">
        <f>IFERROR(SUMIF(data!$E:$E,科目余额表!$B631,data!H:H),0)</f>
        <v>0</v>
      </c>
      <c r="M631" s="207">
        <f>IFERROR(SUMIF(data!$E:$E,科目余额表!$B631,data!I:I),0)</f>
        <v>0</v>
      </c>
      <c r="N631" s="207">
        <f>IFERROR(SUMIF(data!$E:$E,科目余额表!$B631,data!J:J),0)</f>
        <v>0</v>
      </c>
      <c r="O631" s="207">
        <f>IFERROR(SUMIF(data!$E:$E,科目余额表!$B631,data!K:K),0)</f>
        <v>0</v>
      </c>
      <c r="P631" s="207">
        <f>IFERROR(SUMIF(data!$E:$E,科目余额表!$B631,data!L:L),0)</f>
        <v>0</v>
      </c>
      <c r="Q631" s="207">
        <f>IFERROR(SUMIF(data!$E:$E,科目余额表!$B631,data!M:M),0)</f>
        <v>0</v>
      </c>
      <c r="R631" s="207">
        <f>IFERROR(SUMIF(data!$E:$E,科目余额表!$B631,data!N:N),0)</f>
        <v>0</v>
      </c>
      <c r="S631" s="207">
        <f>IFERROR(SUMIF(data!$E:$E,科目余额表!$B631,data!O:O),0)</f>
        <v>0</v>
      </c>
      <c r="T631" s="207">
        <f>IFERROR(SUMIF(data!$E:$E,科目余额表!$B631,data!P:P),0)</f>
        <v>0</v>
      </c>
      <c r="U631" s="207">
        <f>IFERROR(SUMIF(data!$E:$E,科目余额表!$B631,data!Q:Q),0)</f>
        <v>0</v>
      </c>
      <c r="V631" s="207">
        <f>IFERROR(SUMIF(data!$E:$E,科目余额表!$B631,data!R:R),0)</f>
        <v>0</v>
      </c>
      <c r="W631" s="207">
        <f>IFERROR(SUMIF(data!$E:$E,科目余额表!$B631,data!S:S),0)</f>
        <v>0</v>
      </c>
      <c r="X631" s="207">
        <f t="shared" si="17"/>
        <v>0</v>
      </c>
      <c r="Y631" s="207"/>
      <c r="Z631" s="207"/>
      <c r="AA631" s="207"/>
      <c r="AB631" s="207"/>
      <c r="AC631" s="207"/>
      <c r="AD631" s="207"/>
      <c r="AE631" s="207"/>
      <c r="AF631" s="207"/>
    </row>
    <row r="632" spans="1:32" s="214" customFormat="1" ht="11.65" customHeight="1">
      <c r="A632" s="215"/>
      <c r="B632" s="220">
        <v>70009</v>
      </c>
      <c r="C632" s="205" t="s">
        <v>918</v>
      </c>
      <c r="D632" s="221">
        <f t="shared" si="16"/>
        <v>-0.83</v>
      </c>
      <c r="E632" s="221">
        <v>0</v>
      </c>
      <c r="F632" s="222">
        <f t="shared" si="15"/>
        <v>-0.83</v>
      </c>
      <c r="G632" s="205" t="s">
        <v>883</v>
      </c>
      <c r="H632" s="225" t="s">
        <v>671</v>
      </c>
      <c r="J632" s="207" t="s">
        <v>146</v>
      </c>
      <c r="K632" s="207"/>
      <c r="L632" s="207">
        <f>IFERROR(SUMIF(data!$E:$E,科目余额表!$B632,data!H:H),0)</f>
        <v>0.83</v>
      </c>
      <c r="M632" s="207">
        <f>IFERROR(SUMIF(data!$E:$E,科目余额表!$B632,data!I:I),0)</f>
        <v>0</v>
      </c>
      <c r="N632" s="207">
        <f>IFERROR(SUMIF(data!$E:$E,科目余额表!$B632,data!J:J),0)</f>
        <v>0</v>
      </c>
      <c r="O632" s="207">
        <f>IFERROR(SUMIF(data!$E:$E,科目余额表!$B632,data!K:K),0)</f>
        <v>0</v>
      </c>
      <c r="P632" s="207">
        <f>IFERROR(SUMIF(data!$E:$E,科目余额表!$B632,data!L:L),0)</f>
        <v>0</v>
      </c>
      <c r="Q632" s="207">
        <f>IFERROR(SUMIF(data!$E:$E,科目余额表!$B632,data!M:M),0)</f>
        <v>0</v>
      </c>
      <c r="R632" s="207">
        <f>IFERROR(SUMIF(data!$E:$E,科目余额表!$B632,data!N:N),0)</f>
        <v>0</v>
      </c>
      <c r="S632" s="207">
        <f>IFERROR(SUMIF(data!$E:$E,科目余额表!$B632,data!O:O),0)</f>
        <v>0</v>
      </c>
      <c r="T632" s="207">
        <f>IFERROR(SUMIF(data!$E:$E,科目余额表!$B632,data!P:P),0)</f>
        <v>0</v>
      </c>
      <c r="U632" s="207">
        <f>IFERROR(SUMIF(data!$E:$E,科目余额表!$B632,data!Q:Q),0)</f>
        <v>0</v>
      </c>
      <c r="V632" s="207">
        <f>IFERROR(SUMIF(data!$E:$E,科目余额表!$B632,data!R:R),0)</f>
        <v>0</v>
      </c>
      <c r="W632" s="207">
        <f>IFERROR(SUMIF(data!$E:$E,科目余额表!$B632,data!S:S),0)</f>
        <v>0</v>
      </c>
      <c r="X632" s="207">
        <f t="shared" si="17"/>
        <v>0.83</v>
      </c>
      <c r="Y632" s="207"/>
      <c r="Z632" s="207"/>
      <c r="AA632" s="207"/>
      <c r="AB632" s="207"/>
      <c r="AC632" s="207"/>
      <c r="AD632" s="207"/>
      <c r="AE632" s="207"/>
      <c r="AF632" s="207"/>
    </row>
    <row r="633" spans="1:32" s="214" customFormat="1" ht="11.65" customHeight="1">
      <c r="A633" s="215"/>
      <c r="B633" s="220">
        <v>71000</v>
      </c>
      <c r="C633" s="205" t="s">
        <v>919</v>
      </c>
      <c r="D633" s="221">
        <f t="shared" si="16"/>
        <v>0</v>
      </c>
      <c r="E633" s="221">
        <v>0</v>
      </c>
      <c r="F633" s="222">
        <f t="shared" si="15"/>
        <v>0</v>
      </c>
      <c r="G633" s="205" t="s">
        <v>883</v>
      </c>
      <c r="H633" s="225" t="s">
        <v>671</v>
      </c>
      <c r="J633" s="207" t="s">
        <v>148</v>
      </c>
      <c r="K633" s="207"/>
      <c r="L633" s="207">
        <f>IFERROR(SUMIF(data!$E:$E,科目余额表!$B633,data!H:H),0)</f>
        <v>0</v>
      </c>
      <c r="M633" s="207">
        <f>IFERROR(SUMIF(data!$E:$E,科目余额表!$B633,data!I:I),0)</f>
        <v>0</v>
      </c>
      <c r="N633" s="207">
        <f>IFERROR(SUMIF(data!$E:$E,科目余额表!$B633,data!J:J),0)</f>
        <v>0</v>
      </c>
      <c r="O633" s="207">
        <f>IFERROR(SUMIF(data!$E:$E,科目余额表!$B633,data!K:K),0)</f>
        <v>0</v>
      </c>
      <c r="P633" s="207">
        <f>IFERROR(SUMIF(data!$E:$E,科目余额表!$B633,data!L:L),0)</f>
        <v>0</v>
      </c>
      <c r="Q633" s="207">
        <f>IFERROR(SUMIF(data!$E:$E,科目余额表!$B633,data!M:M),0)</f>
        <v>0</v>
      </c>
      <c r="R633" s="207">
        <f>IFERROR(SUMIF(data!$E:$E,科目余额表!$B633,data!N:N),0)</f>
        <v>0</v>
      </c>
      <c r="S633" s="207">
        <f>IFERROR(SUMIF(data!$E:$E,科目余额表!$B633,data!O:O),0)</f>
        <v>0</v>
      </c>
      <c r="T633" s="207">
        <f>IFERROR(SUMIF(data!$E:$E,科目余额表!$B633,data!P:P),0)</f>
        <v>0</v>
      </c>
      <c r="U633" s="207">
        <f>IFERROR(SUMIF(data!$E:$E,科目余额表!$B633,data!Q:Q),0)</f>
        <v>0</v>
      </c>
      <c r="V633" s="207">
        <f>IFERROR(SUMIF(data!$E:$E,科目余额表!$B633,data!R:R),0)</f>
        <v>0</v>
      </c>
      <c r="W633" s="207">
        <f>IFERROR(SUMIF(data!$E:$E,科目余额表!$B633,data!S:S),0)</f>
        <v>0</v>
      </c>
      <c r="X633" s="207">
        <f t="shared" si="17"/>
        <v>0</v>
      </c>
      <c r="Y633" s="207"/>
      <c r="Z633" s="207"/>
      <c r="AA633" s="207"/>
      <c r="AB633" s="207"/>
      <c r="AC633" s="207"/>
      <c r="AD633" s="207"/>
      <c r="AE633" s="207"/>
      <c r="AF633" s="207"/>
    </row>
    <row r="634" spans="1:32" s="214" customFormat="1" ht="11.65" customHeight="1">
      <c r="A634" s="215"/>
      <c r="B634" s="220">
        <v>71001</v>
      </c>
      <c r="C634" s="205" t="s">
        <v>920</v>
      </c>
      <c r="D634" s="221">
        <f t="shared" si="16"/>
        <v>0</v>
      </c>
      <c r="E634" s="221">
        <v>0</v>
      </c>
      <c r="F634" s="222">
        <f t="shared" si="15"/>
        <v>0</v>
      </c>
      <c r="G634" s="205" t="s">
        <v>883</v>
      </c>
      <c r="H634" s="225" t="s">
        <v>671</v>
      </c>
      <c r="J634" s="207" t="s">
        <v>148</v>
      </c>
      <c r="K634" s="207"/>
      <c r="L634" s="207">
        <f>IFERROR(SUMIF(data!$E:$E,科目余额表!$B634,data!H:H),0)</f>
        <v>0</v>
      </c>
      <c r="M634" s="207">
        <f>IFERROR(SUMIF(data!$E:$E,科目余额表!$B634,data!I:I),0)</f>
        <v>0</v>
      </c>
      <c r="N634" s="207">
        <f>IFERROR(SUMIF(data!$E:$E,科目余额表!$B634,data!J:J),0)</f>
        <v>0</v>
      </c>
      <c r="O634" s="207">
        <f>IFERROR(SUMIF(data!$E:$E,科目余额表!$B634,data!K:K),0)</f>
        <v>0</v>
      </c>
      <c r="P634" s="207">
        <f>IFERROR(SUMIF(data!$E:$E,科目余额表!$B634,data!L:L),0)</f>
        <v>0</v>
      </c>
      <c r="Q634" s="207">
        <f>IFERROR(SUMIF(data!$E:$E,科目余额表!$B634,data!M:M),0)</f>
        <v>0</v>
      </c>
      <c r="R634" s="207">
        <f>IFERROR(SUMIF(data!$E:$E,科目余额表!$B634,data!N:N),0)</f>
        <v>0</v>
      </c>
      <c r="S634" s="207">
        <f>IFERROR(SUMIF(data!$E:$E,科目余额表!$B634,data!O:O),0)</f>
        <v>0</v>
      </c>
      <c r="T634" s="207">
        <f>IFERROR(SUMIF(data!$E:$E,科目余额表!$B634,data!P:P),0)</f>
        <v>0</v>
      </c>
      <c r="U634" s="207">
        <f>IFERROR(SUMIF(data!$E:$E,科目余额表!$B634,data!Q:Q),0)</f>
        <v>0</v>
      </c>
      <c r="V634" s="207">
        <f>IFERROR(SUMIF(data!$E:$E,科目余额表!$B634,data!R:R),0)</f>
        <v>0</v>
      </c>
      <c r="W634" s="207">
        <f>IFERROR(SUMIF(data!$E:$E,科目余额表!$B634,data!S:S),0)</f>
        <v>0</v>
      </c>
      <c r="X634" s="207">
        <f t="shared" si="17"/>
        <v>0</v>
      </c>
      <c r="Y634" s="207"/>
      <c r="Z634" s="207"/>
      <c r="AA634" s="207"/>
      <c r="AB634" s="207"/>
      <c r="AC634" s="207"/>
      <c r="AD634" s="207"/>
      <c r="AE634" s="207"/>
      <c r="AF634" s="207"/>
    </row>
    <row r="635" spans="1:32" s="214" customFormat="1" ht="11.65" customHeight="1">
      <c r="A635" s="215"/>
      <c r="B635" s="220">
        <v>71002</v>
      </c>
      <c r="C635" s="205" t="s">
        <v>921</v>
      </c>
      <c r="D635" s="221">
        <f t="shared" si="16"/>
        <v>0</v>
      </c>
      <c r="E635" s="221">
        <v>0</v>
      </c>
      <c r="F635" s="222">
        <f t="shared" si="15"/>
        <v>0</v>
      </c>
      <c r="G635" s="205" t="s">
        <v>883</v>
      </c>
      <c r="H635" s="225" t="s">
        <v>671</v>
      </c>
      <c r="J635" s="207" t="s">
        <v>148</v>
      </c>
      <c r="K635" s="207"/>
      <c r="L635" s="207">
        <f>IFERROR(SUMIF(data!$E:$E,科目余额表!$B635,data!H:H),0)</f>
        <v>0</v>
      </c>
      <c r="M635" s="207">
        <f>IFERROR(SUMIF(data!$E:$E,科目余额表!$B635,data!I:I),0)</f>
        <v>0</v>
      </c>
      <c r="N635" s="207">
        <f>IFERROR(SUMIF(data!$E:$E,科目余额表!$B635,data!J:J),0)</f>
        <v>0</v>
      </c>
      <c r="O635" s="207">
        <f>IFERROR(SUMIF(data!$E:$E,科目余额表!$B635,data!K:K),0)</f>
        <v>0</v>
      </c>
      <c r="P635" s="207">
        <f>IFERROR(SUMIF(data!$E:$E,科目余额表!$B635,data!L:L),0)</f>
        <v>0</v>
      </c>
      <c r="Q635" s="207">
        <f>IFERROR(SUMIF(data!$E:$E,科目余额表!$B635,data!M:M),0)</f>
        <v>0</v>
      </c>
      <c r="R635" s="207">
        <f>IFERROR(SUMIF(data!$E:$E,科目余额表!$B635,data!N:N),0)</f>
        <v>0</v>
      </c>
      <c r="S635" s="207">
        <f>IFERROR(SUMIF(data!$E:$E,科目余额表!$B635,data!O:O),0)</f>
        <v>0</v>
      </c>
      <c r="T635" s="207">
        <f>IFERROR(SUMIF(data!$E:$E,科目余额表!$B635,data!P:P),0)</f>
        <v>0</v>
      </c>
      <c r="U635" s="207">
        <f>IFERROR(SUMIF(data!$E:$E,科目余额表!$B635,data!Q:Q),0)</f>
        <v>0</v>
      </c>
      <c r="V635" s="207">
        <f>IFERROR(SUMIF(data!$E:$E,科目余额表!$B635,data!R:R),0)</f>
        <v>0</v>
      </c>
      <c r="W635" s="207">
        <f>IFERROR(SUMIF(data!$E:$E,科目余额表!$B635,data!S:S),0)</f>
        <v>0</v>
      </c>
      <c r="X635" s="207">
        <f t="shared" si="17"/>
        <v>0</v>
      </c>
      <c r="Y635" s="207"/>
      <c r="Z635" s="207"/>
      <c r="AA635" s="207"/>
      <c r="AB635" s="207"/>
      <c r="AC635" s="207"/>
      <c r="AD635" s="207"/>
      <c r="AE635" s="207"/>
      <c r="AF635" s="207"/>
    </row>
    <row r="636" spans="1:32" s="214" customFormat="1" ht="11.65" customHeight="1">
      <c r="A636" s="215"/>
      <c r="B636" s="220">
        <v>71003</v>
      </c>
      <c r="C636" s="205" t="s">
        <v>922</v>
      </c>
      <c r="D636" s="221">
        <f t="shared" si="16"/>
        <v>0</v>
      </c>
      <c r="E636" s="221">
        <v>0</v>
      </c>
      <c r="F636" s="222">
        <f t="shared" si="15"/>
        <v>0</v>
      </c>
      <c r="G636" s="205" t="s">
        <v>883</v>
      </c>
      <c r="H636" s="225" t="s">
        <v>671</v>
      </c>
      <c r="J636" s="207" t="s">
        <v>148</v>
      </c>
      <c r="K636" s="207"/>
      <c r="L636" s="207">
        <f>IFERROR(SUMIF(data!$E:$E,科目余额表!$B636,data!H:H),0)</f>
        <v>0</v>
      </c>
      <c r="M636" s="207">
        <f>IFERROR(SUMIF(data!$E:$E,科目余额表!$B636,data!I:I),0)</f>
        <v>0</v>
      </c>
      <c r="N636" s="207">
        <f>IFERROR(SUMIF(data!$E:$E,科目余额表!$B636,data!J:J),0)</f>
        <v>0</v>
      </c>
      <c r="O636" s="207">
        <f>IFERROR(SUMIF(data!$E:$E,科目余额表!$B636,data!K:K),0)</f>
        <v>0</v>
      </c>
      <c r="P636" s="207">
        <f>IFERROR(SUMIF(data!$E:$E,科目余额表!$B636,data!L:L),0)</f>
        <v>0</v>
      </c>
      <c r="Q636" s="207">
        <f>IFERROR(SUMIF(data!$E:$E,科目余额表!$B636,data!M:M),0)</f>
        <v>0</v>
      </c>
      <c r="R636" s="207">
        <f>IFERROR(SUMIF(data!$E:$E,科目余额表!$B636,data!N:N),0)</f>
        <v>0</v>
      </c>
      <c r="S636" s="207">
        <f>IFERROR(SUMIF(data!$E:$E,科目余额表!$B636,data!O:O),0)</f>
        <v>0</v>
      </c>
      <c r="T636" s="207">
        <f>IFERROR(SUMIF(data!$E:$E,科目余额表!$B636,data!P:P),0)</f>
        <v>0</v>
      </c>
      <c r="U636" s="207">
        <f>IFERROR(SUMIF(data!$E:$E,科目余额表!$B636,data!Q:Q),0)</f>
        <v>0</v>
      </c>
      <c r="V636" s="207">
        <f>IFERROR(SUMIF(data!$E:$E,科目余额表!$B636,data!R:R),0)</f>
        <v>0</v>
      </c>
      <c r="W636" s="207">
        <f>IFERROR(SUMIF(data!$E:$E,科目余额表!$B636,data!S:S),0)</f>
        <v>0</v>
      </c>
      <c r="X636" s="207">
        <f t="shared" si="17"/>
        <v>0</v>
      </c>
      <c r="Y636" s="207"/>
      <c r="Z636" s="207"/>
      <c r="AA636" s="207"/>
      <c r="AB636" s="207"/>
      <c r="AC636" s="207"/>
      <c r="AD636" s="207"/>
      <c r="AE636" s="207"/>
      <c r="AF636" s="207"/>
    </row>
    <row r="637" spans="1:32" s="214" customFormat="1" ht="11.65" customHeight="1">
      <c r="A637" s="215"/>
      <c r="B637" s="220">
        <v>71004</v>
      </c>
      <c r="C637" s="205" t="s">
        <v>923</v>
      </c>
      <c r="D637" s="221">
        <f t="shared" si="16"/>
        <v>0</v>
      </c>
      <c r="E637" s="221">
        <v>0</v>
      </c>
      <c r="F637" s="222">
        <f t="shared" si="15"/>
        <v>0</v>
      </c>
      <c r="G637" s="205" t="s">
        <v>883</v>
      </c>
      <c r="H637" s="225" t="s">
        <v>671</v>
      </c>
      <c r="J637" s="207" t="s">
        <v>148</v>
      </c>
      <c r="K637" s="207"/>
      <c r="L637" s="207">
        <f>IFERROR(SUMIF(data!$E:$E,科目余额表!$B637,data!H:H),0)</f>
        <v>0</v>
      </c>
      <c r="M637" s="207">
        <f>IFERROR(SUMIF(data!$E:$E,科目余额表!$B637,data!I:I),0)</f>
        <v>0</v>
      </c>
      <c r="N637" s="207">
        <f>IFERROR(SUMIF(data!$E:$E,科目余额表!$B637,data!J:J),0)</f>
        <v>0</v>
      </c>
      <c r="O637" s="207">
        <f>IFERROR(SUMIF(data!$E:$E,科目余额表!$B637,data!K:K),0)</f>
        <v>0</v>
      </c>
      <c r="P637" s="207">
        <f>IFERROR(SUMIF(data!$E:$E,科目余额表!$B637,data!L:L),0)</f>
        <v>0</v>
      </c>
      <c r="Q637" s="207">
        <f>IFERROR(SUMIF(data!$E:$E,科目余额表!$B637,data!M:M),0)</f>
        <v>0</v>
      </c>
      <c r="R637" s="207">
        <f>IFERROR(SUMIF(data!$E:$E,科目余额表!$B637,data!N:N),0)</f>
        <v>0</v>
      </c>
      <c r="S637" s="207">
        <f>IFERROR(SUMIF(data!$E:$E,科目余额表!$B637,data!O:O),0)</f>
        <v>0</v>
      </c>
      <c r="T637" s="207">
        <f>IFERROR(SUMIF(data!$E:$E,科目余额表!$B637,data!P:P),0)</f>
        <v>0</v>
      </c>
      <c r="U637" s="207">
        <f>IFERROR(SUMIF(data!$E:$E,科目余额表!$B637,data!Q:Q),0)</f>
        <v>0</v>
      </c>
      <c r="V637" s="207">
        <f>IFERROR(SUMIF(data!$E:$E,科目余额表!$B637,data!R:R),0)</f>
        <v>0</v>
      </c>
      <c r="W637" s="207">
        <f>IFERROR(SUMIF(data!$E:$E,科目余额表!$B637,data!S:S),0)</f>
        <v>0</v>
      </c>
      <c r="X637" s="207">
        <f t="shared" si="17"/>
        <v>0</v>
      </c>
      <c r="Y637" s="207"/>
      <c r="Z637" s="207"/>
      <c r="AA637" s="207"/>
      <c r="AB637" s="207"/>
      <c r="AC637" s="207"/>
      <c r="AD637" s="207"/>
      <c r="AE637" s="207"/>
      <c r="AF637" s="207"/>
    </row>
    <row r="638" spans="1:32" s="214" customFormat="1" ht="11.65" customHeight="1">
      <c r="A638" s="215"/>
      <c r="B638" s="220">
        <v>71005</v>
      </c>
      <c r="C638" s="205" t="s">
        <v>924</v>
      </c>
      <c r="D638" s="221">
        <f t="shared" si="16"/>
        <v>0</v>
      </c>
      <c r="E638" s="221">
        <v>0</v>
      </c>
      <c r="F638" s="222">
        <f t="shared" si="15"/>
        <v>0</v>
      </c>
      <c r="G638" s="205" t="s">
        <v>883</v>
      </c>
      <c r="H638" s="225" t="s">
        <v>671</v>
      </c>
      <c r="J638" s="207" t="s">
        <v>148</v>
      </c>
      <c r="K638" s="207"/>
      <c r="L638" s="207">
        <f>IFERROR(SUMIF(data!$E:$E,科目余额表!$B638,data!H:H),0)</f>
        <v>0</v>
      </c>
      <c r="M638" s="207">
        <f>IFERROR(SUMIF(data!$E:$E,科目余额表!$B638,data!I:I),0)</f>
        <v>0</v>
      </c>
      <c r="N638" s="207">
        <f>IFERROR(SUMIF(data!$E:$E,科目余额表!$B638,data!J:J),0)</f>
        <v>0</v>
      </c>
      <c r="O638" s="207">
        <f>IFERROR(SUMIF(data!$E:$E,科目余额表!$B638,data!K:K),0)</f>
        <v>0</v>
      </c>
      <c r="P638" s="207">
        <f>IFERROR(SUMIF(data!$E:$E,科目余额表!$B638,data!L:L),0)</f>
        <v>0</v>
      </c>
      <c r="Q638" s="207">
        <f>IFERROR(SUMIF(data!$E:$E,科目余额表!$B638,data!M:M),0)</f>
        <v>0</v>
      </c>
      <c r="R638" s="207">
        <f>IFERROR(SUMIF(data!$E:$E,科目余额表!$B638,data!N:N),0)</f>
        <v>0</v>
      </c>
      <c r="S638" s="207">
        <f>IFERROR(SUMIF(data!$E:$E,科目余额表!$B638,data!O:O),0)</f>
        <v>0</v>
      </c>
      <c r="T638" s="207">
        <f>IFERROR(SUMIF(data!$E:$E,科目余额表!$B638,data!P:P),0)</f>
        <v>0</v>
      </c>
      <c r="U638" s="207">
        <f>IFERROR(SUMIF(data!$E:$E,科目余额表!$B638,data!Q:Q),0)</f>
        <v>0</v>
      </c>
      <c r="V638" s="207">
        <f>IFERROR(SUMIF(data!$E:$E,科目余额表!$B638,data!R:R),0)</f>
        <v>0</v>
      </c>
      <c r="W638" s="207">
        <f>IFERROR(SUMIF(data!$E:$E,科目余额表!$B638,data!S:S),0)</f>
        <v>0</v>
      </c>
      <c r="X638" s="207">
        <f t="shared" si="17"/>
        <v>0</v>
      </c>
      <c r="Y638" s="207"/>
      <c r="Z638" s="207"/>
      <c r="AA638" s="207"/>
      <c r="AB638" s="207"/>
      <c r="AC638" s="207"/>
      <c r="AD638" s="207"/>
      <c r="AE638" s="207"/>
      <c r="AF638" s="207"/>
    </row>
    <row r="639" spans="1:32" s="214" customFormat="1" ht="11.65" customHeight="1">
      <c r="A639" s="215"/>
      <c r="B639" s="220">
        <v>71006</v>
      </c>
      <c r="C639" s="205" t="s">
        <v>925</v>
      </c>
      <c r="D639" s="221">
        <f t="shared" si="16"/>
        <v>0</v>
      </c>
      <c r="E639" s="221">
        <v>0</v>
      </c>
      <c r="F639" s="222">
        <f t="shared" si="15"/>
        <v>0</v>
      </c>
      <c r="G639" s="205" t="s">
        <v>883</v>
      </c>
      <c r="H639" s="225" t="s">
        <v>671</v>
      </c>
      <c r="J639" s="207" t="s">
        <v>148</v>
      </c>
      <c r="K639" s="207"/>
      <c r="L639" s="207">
        <f>IFERROR(SUMIF(data!$E:$E,科目余额表!$B639,data!H:H),0)</f>
        <v>0</v>
      </c>
      <c r="M639" s="207">
        <f>IFERROR(SUMIF(data!$E:$E,科目余额表!$B639,data!I:I),0)</f>
        <v>0</v>
      </c>
      <c r="N639" s="207">
        <f>IFERROR(SUMIF(data!$E:$E,科目余额表!$B639,data!J:J),0)</f>
        <v>0</v>
      </c>
      <c r="O639" s="207">
        <f>IFERROR(SUMIF(data!$E:$E,科目余额表!$B639,data!K:K),0)</f>
        <v>0</v>
      </c>
      <c r="P639" s="207">
        <f>IFERROR(SUMIF(data!$E:$E,科目余额表!$B639,data!L:L),0)</f>
        <v>0</v>
      </c>
      <c r="Q639" s="207">
        <f>IFERROR(SUMIF(data!$E:$E,科目余额表!$B639,data!M:M),0)</f>
        <v>0</v>
      </c>
      <c r="R639" s="207">
        <f>IFERROR(SUMIF(data!$E:$E,科目余额表!$B639,data!N:N),0)</f>
        <v>0</v>
      </c>
      <c r="S639" s="207">
        <f>IFERROR(SUMIF(data!$E:$E,科目余额表!$B639,data!O:O),0)</f>
        <v>0</v>
      </c>
      <c r="T639" s="207">
        <f>IFERROR(SUMIF(data!$E:$E,科目余额表!$B639,data!P:P),0)</f>
        <v>0</v>
      </c>
      <c r="U639" s="207">
        <f>IFERROR(SUMIF(data!$E:$E,科目余额表!$B639,data!Q:Q),0)</f>
        <v>0</v>
      </c>
      <c r="V639" s="207">
        <f>IFERROR(SUMIF(data!$E:$E,科目余额表!$B639,data!R:R),0)</f>
        <v>0</v>
      </c>
      <c r="W639" s="207">
        <f>IFERROR(SUMIF(data!$E:$E,科目余额表!$B639,data!S:S),0)</f>
        <v>0</v>
      </c>
      <c r="X639" s="207">
        <f t="shared" si="17"/>
        <v>0</v>
      </c>
      <c r="Y639" s="207"/>
      <c r="Z639" s="207"/>
      <c r="AA639" s="207"/>
      <c r="AB639" s="207"/>
      <c r="AC639" s="207"/>
      <c r="AD639" s="207"/>
      <c r="AE639" s="207"/>
      <c r="AF639" s="207"/>
    </row>
    <row r="640" spans="1:32" s="214" customFormat="1" ht="11.65" customHeight="1">
      <c r="A640" s="215"/>
      <c r="B640" s="220">
        <v>71007</v>
      </c>
      <c r="C640" s="205" t="s">
        <v>926</v>
      </c>
      <c r="D640" s="221">
        <f t="shared" si="16"/>
        <v>0</v>
      </c>
      <c r="E640" s="221">
        <v>0</v>
      </c>
      <c r="F640" s="222">
        <f t="shared" si="15"/>
        <v>0</v>
      </c>
      <c r="G640" s="205" t="s">
        <v>883</v>
      </c>
      <c r="H640" s="225" t="s">
        <v>671</v>
      </c>
      <c r="J640" s="207" t="s">
        <v>148</v>
      </c>
      <c r="K640" s="207"/>
      <c r="L640" s="207">
        <f>IFERROR(SUMIF(data!$E:$E,科目余额表!$B640,data!H:H),0)</f>
        <v>0</v>
      </c>
      <c r="M640" s="207">
        <f>IFERROR(SUMIF(data!$E:$E,科目余额表!$B640,data!I:I),0)</f>
        <v>0</v>
      </c>
      <c r="N640" s="207">
        <f>IFERROR(SUMIF(data!$E:$E,科目余额表!$B640,data!J:J),0)</f>
        <v>0</v>
      </c>
      <c r="O640" s="207">
        <f>IFERROR(SUMIF(data!$E:$E,科目余额表!$B640,data!K:K),0)</f>
        <v>0</v>
      </c>
      <c r="P640" s="207">
        <f>IFERROR(SUMIF(data!$E:$E,科目余额表!$B640,data!L:L),0)</f>
        <v>0</v>
      </c>
      <c r="Q640" s="207">
        <f>IFERROR(SUMIF(data!$E:$E,科目余额表!$B640,data!M:M),0)</f>
        <v>0</v>
      </c>
      <c r="R640" s="207">
        <f>IFERROR(SUMIF(data!$E:$E,科目余额表!$B640,data!N:N),0)</f>
        <v>0</v>
      </c>
      <c r="S640" s="207">
        <f>IFERROR(SUMIF(data!$E:$E,科目余额表!$B640,data!O:O),0)</f>
        <v>0</v>
      </c>
      <c r="T640" s="207">
        <f>IFERROR(SUMIF(data!$E:$E,科目余额表!$B640,data!P:P),0)</f>
        <v>0</v>
      </c>
      <c r="U640" s="207">
        <f>IFERROR(SUMIF(data!$E:$E,科目余额表!$B640,data!Q:Q),0)</f>
        <v>0</v>
      </c>
      <c r="V640" s="207">
        <f>IFERROR(SUMIF(data!$E:$E,科目余额表!$B640,data!R:R),0)</f>
        <v>0</v>
      </c>
      <c r="W640" s="207">
        <f>IFERROR(SUMIF(data!$E:$E,科目余额表!$B640,data!S:S),0)</f>
        <v>0</v>
      </c>
      <c r="X640" s="207">
        <f t="shared" si="17"/>
        <v>0</v>
      </c>
      <c r="Y640" s="207"/>
      <c r="Z640" s="207"/>
      <c r="AA640" s="207"/>
      <c r="AB640" s="207"/>
      <c r="AC640" s="207"/>
      <c r="AD640" s="207"/>
      <c r="AE640" s="207"/>
      <c r="AF640" s="207"/>
    </row>
    <row r="641" spans="1:32" s="214" customFormat="1" ht="11.65" customHeight="1">
      <c r="A641" s="215"/>
      <c r="B641" s="220">
        <v>71008</v>
      </c>
      <c r="C641" s="205" t="s">
        <v>927</v>
      </c>
      <c r="D641" s="221">
        <f t="shared" si="16"/>
        <v>0</v>
      </c>
      <c r="E641" s="221">
        <v>0</v>
      </c>
      <c r="F641" s="222">
        <f>D641+E641</f>
        <v>0</v>
      </c>
      <c r="G641" s="205" t="s">
        <v>883</v>
      </c>
      <c r="H641" s="225" t="s">
        <v>671</v>
      </c>
      <c r="J641" s="207" t="s">
        <v>148</v>
      </c>
      <c r="K641" s="207"/>
      <c r="L641" s="207">
        <f>IFERROR(SUMIF(data!$E:$E,科目余额表!$B641,data!H:H),0)</f>
        <v>0</v>
      </c>
      <c r="M641" s="207">
        <f>IFERROR(SUMIF(data!$E:$E,科目余额表!$B641,data!I:I),0)</f>
        <v>0</v>
      </c>
      <c r="N641" s="207">
        <f>IFERROR(SUMIF(data!$E:$E,科目余额表!$B641,data!J:J),0)</f>
        <v>0</v>
      </c>
      <c r="O641" s="207">
        <f>IFERROR(SUMIF(data!$E:$E,科目余额表!$B641,data!K:K),0)</f>
        <v>0</v>
      </c>
      <c r="P641" s="207">
        <f>IFERROR(SUMIF(data!$E:$E,科目余额表!$B641,data!L:L),0)</f>
        <v>0</v>
      </c>
      <c r="Q641" s="207">
        <f>IFERROR(SUMIF(data!$E:$E,科目余额表!$B641,data!M:M),0)</f>
        <v>0</v>
      </c>
      <c r="R641" s="207">
        <f>IFERROR(SUMIF(data!$E:$E,科目余额表!$B641,data!N:N),0)</f>
        <v>0</v>
      </c>
      <c r="S641" s="207">
        <f>IFERROR(SUMIF(data!$E:$E,科目余额表!$B641,data!O:O),0)</f>
        <v>0</v>
      </c>
      <c r="T641" s="207">
        <f>IFERROR(SUMIF(data!$E:$E,科目余额表!$B641,data!P:P),0)</f>
        <v>0</v>
      </c>
      <c r="U641" s="207">
        <f>IFERROR(SUMIF(data!$E:$E,科目余额表!$B641,data!Q:Q),0)</f>
        <v>0</v>
      </c>
      <c r="V641" s="207">
        <f>IFERROR(SUMIF(data!$E:$E,科目余额表!$B641,data!R:R),0)</f>
        <v>0</v>
      </c>
      <c r="W641" s="207">
        <f>IFERROR(SUMIF(data!$E:$E,科目余额表!$B641,data!S:S),0)</f>
        <v>0</v>
      </c>
      <c r="X641" s="207">
        <f t="shared" si="17"/>
        <v>0</v>
      </c>
      <c r="Y641" s="207"/>
      <c r="Z641" s="207"/>
      <c r="AA641" s="207"/>
      <c r="AB641" s="207"/>
      <c r="AC641" s="207"/>
      <c r="AD641" s="207"/>
      <c r="AE641" s="207"/>
      <c r="AF641" s="207"/>
    </row>
    <row r="642" spans="1:32" s="214" customFormat="1" ht="11.65" customHeight="1">
      <c r="A642" s="215"/>
      <c r="B642" s="220">
        <v>71009</v>
      </c>
      <c r="C642" s="205" t="s">
        <v>928</v>
      </c>
      <c r="D642" s="221">
        <f t="shared" si="16"/>
        <v>0</v>
      </c>
      <c r="E642" s="221">
        <v>0</v>
      </c>
      <c r="F642" s="222">
        <f t="shared" si="15"/>
        <v>0</v>
      </c>
      <c r="G642" s="205" t="s">
        <v>883</v>
      </c>
      <c r="H642" s="225" t="s">
        <v>671</v>
      </c>
      <c r="J642" s="207" t="s">
        <v>148</v>
      </c>
      <c r="K642" s="207"/>
      <c r="L642" s="207">
        <f>IFERROR(SUMIF(data!$E:$E,科目余额表!$B642,data!H:H),0)</f>
        <v>0</v>
      </c>
      <c r="M642" s="207">
        <f>IFERROR(SUMIF(data!$E:$E,科目余额表!$B642,data!I:I),0)</f>
        <v>0</v>
      </c>
      <c r="N642" s="207">
        <f>IFERROR(SUMIF(data!$E:$E,科目余额表!$B642,data!J:J),0)</f>
        <v>0</v>
      </c>
      <c r="O642" s="207">
        <f>IFERROR(SUMIF(data!$E:$E,科目余额表!$B642,data!K:K),0)</f>
        <v>0</v>
      </c>
      <c r="P642" s="207">
        <f>IFERROR(SUMIF(data!$E:$E,科目余额表!$B642,data!L:L),0)</f>
        <v>0</v>
      </c>
      <c r="Q642" s="207">
        <f>IFERROR(SUMIF(data!$E:$E,科目余额表!$B642,data!M:M),0)</f>
        <v>0</v>
      </c>
      <c r="R642" s="207">
        <f>IFERROR(SUMIF(data!$E:$E,科目余额表!$B642,data!N:N),0)</f>
        <v>0</v>
      </c>
      <c r="S642" s="207">
        <f>IFERROR(SUMIF(data!$E:$E,科目余额表!$B642,data!O:O),0)</f>
        <v>0</v>
      </c>
      <c r="T642" s="207">
        <f>IFERROR(SUMIF(data!$E:$E,科目余额表!$B642,data!P:P),0)</f>
        <v>0</v>
      </c>
      <c r="U642" s="207">
        <f>IFERROR(SUMIF(data!$E:$E,科目余额表!$B642,data!Q:Q),0)</f>
        <v>0</v>
      </c>
      <c r="V642" s="207">
        <f>IFERROR(SUMIF(data!$E:$E,科目余额表!$B642,data!R:R),0)</f>
        <v>0</v>
      </c>
      <c r="W642" s="207">
        <f>IFERROR(SUMIF(data!$E:$E,科目余额表!$B642,data!S:S),0)</f>
        <v>0</v>
      </c>
      <c r="X642" s="207">
        <f t="shared" si="17"/>
        <v>0</v>
      </c>
      <c r="Y642" s="207"/>
      <c r="Z642" s="207"/>
      <c r="AA642" s="207"/>
      <c r="AB642" s="207"/>
      <c r="AC642" s="207"/>
      <c r="AD642" s="207"/>
      <c r="AE642" s="207"/>
      <c r="AF642" s="207"/>
    </row>
    <row r="643" spans="1:32" s="214" customFormat="1" ht="11.65" customHeight="1">
      <c r="A643" s="215"/>
      <c r="B643" s="216">
        <v>80000</v>
      </c>
      <c r="C643" s="214" t="s">
        <v>929</v>
      </c>
      <c r="D643" s="217">
        <f t="shared" si="16"/>
        <v>0</v>
      </c>
      <c r="E643" s="217">
        <v>0</v>
      </c>
      <c r="F643" s="218">
        <f t="shared" si="15"/>
        <v>0</v>
      </c>
      <c r="G643" s="214" t="s">
        <v>930</v>
      </c>
      <c r="H643" s="225" t="s">
        <v>671</v>
      </c>
      <c r="J643" s="207" t="s">
        <v>152</v>
      </c>
      <c r="K643" s="207"/>
      <c r="L643" s="207">
        <f>IFERROR(SUMIF(data!$E:$E,科目余额表!$B643,data!H:H),0)</f>
        <v>0</v>
      </c>
      <c r="M643" s="207">
        <f>IFERROR(SUMIF(data!$E:$E,科目余额表!$B643,data!I:I),0)</f>
        <v>0</v>
      </c>
      <c r="N643" s="207">
        <f>IFERROR(SUMIF(data!$E:$E,科目余额表!$B643,data!J:J),0)</f>
        <v>0</v>
      </c>
      <c r="O643" s="207">
        <f>IFERROR(SUMIF(data!$E:$E,科目余额表!$B643,data!K:K),0)</f>
        <v>0</v>
      </c>
      <c r="P643" s="207">
        <f>IFERROR(SUMIF(data!$E:$E,科目余额表!$B643,data!L:L),0)</f>
        <v>0</v>
      </c>
      <c r="Q643" s="207">
        <f>IFERROR(SUMIF(data!$E:$E,科目余额表!$B643,data!M:M),0)</f>
        <v>0</v>
      </c>
      <c r="R643" s="207">
        <f>IFERROR(SUMIF(data!$E:$E,科目余额表!$B643,data!N:N),0)</f>
        <v>0</v>
      </c>
      <c r="S643" s="207">
        <f>IFERROR(SUMIF(data!$E:$E,科目余额表!$B643,data!O:O),0)</f>
        <v>0</v>
      </c>
      <c r="T643" s="207">
        <f>IFERROR(SUMIF(data!$E:$E,科目余额表!$B643,data!P:P),0)</f>
        <v>0</v>
      </c>
      <c r="U643" s="207">
        <f>IFERROR(SUMIF(data!$E:$E,科目余额表!$B643,data!Q:Q),0)</f>
        <v>0</v>
      </c>
      <c r="V643" s="207">
        <f>IFERROR(SUMIF(data!$E:$E,科目余额表!$B643,data!R:R),0)</f>
        <v>0</v>
      </c>
      <c r="W643" s="207">
        <f>IFERROR(SUMIF(data!$E:$E,科目余额表!$B643,data!S:S),0)</f>
        <v>0</v>
      </c>
      <c r="X643" s="207">
        <f t="shared" si="17"/>
        <v>0</v>
      </c>
      <c r="Y643" s="207"/>
      <c r="Z643" s="207"/>
      <c r="AA643" s="207"/>
      <c r="AB643" s="207"/>
      <c r="AC643" s="207"/>
      <c r="AD643" s="207"/>
      <c r="AE643" s="207"/>
      <c r="AF643" s="207"/>
    </row>
    <row r="644" spans="1:32" s="214" customFormat="1" ht="11.65" customHeight="1">
      <c r="A644" s="215"/>
      <c r="B644" s="216">
        <v>80001</v>
      </c>
      <c r="C644" s="214" t="s">
        <v>931</v>
      </c>
      <c r="D644" s="217">
        <f>-SUM(L644:V644)</f>
        <v>-5766663.4699999997</v>
      </c>
      <c r="E644" s="217">
        <v>245782.17</v>
      </c>
      <c r="F644" s="218">
        <f t="shared" si="15"/>
        <v>-5520881.2999999998</v>
      </c>
      <c r="G644" s="214" t="s">
        <v>930</v>
      </c>
      <c r="H644" s="225" t="s">
        <v>671</v>
      </c>
      <c r="J644" s="207" t="s">
        <v>152</v>
      </c>
      <c r="K644" s="207"/>
      <c r="L644" s="207">
        <f>IFERROR(SUMIF(data!$E:$E,科目余额表!$B644,data!H:H),0)</f>
        <v>491858.33</v>
      </c>
      <c r="M644" s="207">
        <f>IFERROR(SUMIF(data!$E:$E,科目余额表!$B644,data!I:I),0)</f>
        <v>586898.24</v>
      </c>
      <c r="N644" s="207">
        <f>IFERROR(SUMIF(data!$E:$E,科目余额表!$B644,data!J:J),0)</f>
        <v>433896.06</v>
      </c>
      <c r="O644" s="207">
        <f>IFERROR(SUMIF(data!$E:$E,科目余额表!$B644,data!K:K),0)</f>
        <v>696515.22</v>
      </c>
      <c r="P644" s="207">
        <f>IFERROR(SUMIF(data!$E:$E,科目余额表!$B644,data!L:L),0)</f>
        <v>451896.23</v>
      </c>
      <c r="Q644" s="207">
        <f>IFERROR(SUMIF(data!$E:$E,科目余额表!$B644,data!M:M),0)</f>
        <v>468907.44</v>
      </c>
      <c r="R644" s="207">
        <f>IFERROR(SUMIF(data!$E:$E,科目余额表!$B644,data!N:N),0)</f>
        <v>581424.71</v>
      </c>
      <c r="S644" s="207">
        <f>IFERROR(SUMIF(data!$E:$E,科目余额表!$B644,data!O:O),0)</f>
        <v>552522.51</v>
      </c>
      <c r="T644" s="207">
        <f>IFERROR(SUMIF(data!$E:$E,科目余额表!$B644,data!P:P),0)</f>
        <v>451708.6</v>
      </c>
      <c r="U644" s="207">
        <f>IFERROR(SUMIF(data!$E:$E,科目余额表!$B644,data!Q:Q),0)</f>
        <v>534300.24</v>
      </c>
      <c r="V644" s="207">
        <f>IFERROR(SUMIF(data!$E:$E,科目余额表!$B644,data!R:R),0)</f>
        <v>516735.89</v>
      </c>
      <c r="W644" s="207">
        <f>IFERROR(SUMIF(data!$E:$E,科目余额表!$B644,data!S:S),0)</f>
        <v>-245782.17</v>
      </c>
      <c r="X644" s="207">
        <f t="shared" si="17"/>
        <v>5520881.2999999998</v>
      </c>
      <c r="Y644" s="207"/>
      <c r="Z644" s="207"/>
      <c r="AA644" s="207"/>
      <c r="AB644" s="207"/>
      <c r="AC644" s="207"/>
      <c r="AD644" s="207"/>
      <c r="AE644" s="207"/>
      <c r="AF644" s="207"/>
    </row>
    <row r="645" spans="1:32" s="214" customFormat="1" ht="11.65" customHeight="1">
      <c r="A645" s="215"/>
      <c r="B645" s="216">
        <v>81000</v>
      </c>
      <c r="C645" s="214" t="s">
        <v>932</v>
      </c>
      <c r="D645" s="217">
        <f t="shared" si="16"/>
        <v>0</v>
      </c>
      <c r="E645" s="217">
        <v>0</v>
      </c>
      <c r="F645" s="218">
        <f>D645+E645</f>
        <v>0</v>
      </c>
      <c r="G645" s="214" t="s">
        <v>932</v>
      </c>
      <c r="H645" s="225" t="s">
        <v>671</v>
      </c>
      <c r="J645" s="207" t="s">
        <v>154</v>
      </c>
      <c r="K645" s="207"/>
      <c r="L645" s="207">
        <f>IFERROR(SUMIF(data!$E:$E,科目余额表!$B645,data!H:H),0)</f>
        <v>0</v>
      </c>
      <c r="M645" s="207">
        <f>IFERROR(SUMIF(data!$E:$E,科目余额表!$B645,data!I:I),0)</f>
        <v>0</v>
      </c>
      <c r="N645" s="207">
        <f>IFERROR(SUMIF(data!$E:$E,科目余额表!$B645,data!J:J),0)</f>
        <v>0</v>
      </c>
      <c r="O645" s="207">
        <f>IFERROR(SUMIF(data!$E:$E,科目余额表!$B645,data!K:K),0)</f>
        <v>0</v>
      </c>
      <c r="P645" s="207">
        <f>IFERROR(SUMIF(data!$E:$E,科目余额表!$B645,data!L:L),0)</f>
        <v>0</v>
      </c>
      <c r="Q645" s="207">
        <f>IFERROR(SUMIF(data!$E:$E,科目余额表!$B645,data!M:M),0)</f>
        <v>0</v>
      </c>
      <c r="R645" s="207">
        <f>IFERROR(SUMIF(data!$E:$E,科目余额表!$B645,data!N:N),0)</f>
        <v>0</v>
      </c>
      <c r="S645" s="207">
        <f>IFERROR(SUMIF(data!$E:$E,科目余额表!$B645,data!O:O),0)</f>
        <v>0</v>
      </c>
      <c r="T645" s="207">
        <f>IFERROR(SUMIF(data!$E:$E,科目余额表!$B645,data!P:P),0)</f>
        <v>0</v>
      </c>
      <c r="U645" s="207">
        <f>IFERROR(SUMIF(data!$E:$E,科目余额表!$B645,data!Q:Q),0)</f>
        <v>0</v>
      </c>
      <c r="V645" s="207">
        <f>IFERROR(SUMIF(data!$E:$E,科目余额表!$B645,data!R:R),0)</f>
        <v>0</v>
      </c>
      <c r="W645" s="207">
        <f>IFERROR(SUMIF(data!$E:$E,科目余额表!$B645,data!S:S),0)</f>
        <v>0</v>
      </c>
      <c r="X645" s="207">
        <f t="shared" si="17"/>
        <v>0</v>
      </c>
      <c r="Y645" s="207"/>
      <c r="Z645" s="207"/>
      <c r="AA645" s="207"/>
      <c r="AB645" s="207"/>
      <c r="AC645" s="207"/>
      <c r="AD645" s="207"/>
      <c r="AE645" s="207"/>
      <c r="AF645" s="207"/>
    </row>
    <row r="646" spans="1:32" s="214" customFormat="1" ht="11.65" customHeight="1">
      <c r="A646" s="215"/>
      <c r="B646" s="220">
        <v>82000</v>
      </c>
      <c r="C646" s="205" t="s">
        <v>933</v>
      </c>
      <c r="D646" s="217">
        <f t="shared" si="16"/>
        <v>0</v>
      </c>
      <c r="E646" s="217">
        <v>0</v>
      </c>
      <c r="F646" s="218">
        <f>D646+E646</f>
        <v>0</v>
      </c>
      <c r="H646" s="225" t="s">
        <v>671</v>
      </c>
      <c r="J646" s="207">
        <v>0</v>
      </c>
      <c r="K646" s="207"/>
      <c r="L646" s="207">
        <f>IFERROR(SUMIF(data!$E:$E,科目余额表!$B646,data!H:H),0)</f>
        <v>0</v>
      </c>
      <c r="M646" s="207">
        <f>IFERROR(SUMIF(data!$E:$E,科目余额表!$B646,data!I:I),0)</f>
        <v>0</v>
      </c>
      <c r="N646" s="207">
        <f>IFERROR(SUMIF(data!$E:$E,科目余额表!$B646,data!J:J),0)</f>
        <v>0</v>
      </c>
      <c r="O646" s="207">
        <f>IFERROR(SUMIF(data!$E:$E,科目余额表!$B646,data!K:K),0)</f>
        <v>0</v>
      </c>
      <c r="P646" s="207">
        <f>IFERROR(SUMIF(data!$E:$E,科目余额表!$B646,data!L:L),0)</f>
        <v>0</v>
      </c>
      <c r="Q646" s="207">
        <f>IFERROR(SUMIF(data!$E:$E,科目余额表!$B646,data!M:M),0)</f>
        <v>0</v>
      </c>
      <c r="R646" s="207">
        <f>IFERROR(SUMIF(data!$E:$E,科目余额表!$B646,data!N:N),0)</f>
        <v>0</v>
      </c>
      <c r="S646" s="207">
        <f>IFERROR(SUMIF(data!$E:$E,科目余额表!$B646,data!O:O),0)</f>
        <v>0</v>
      </c>
      <c r="T646" s="207">
        <f>IFERROR(SUMIF(data!$E:$E,科目余额表!$B646,data!P:P),0)</f>
        <v>0</v>
      </c>
      <c r="U646" s="207">
        <f>IFERROR(SUMIF(data!$E:$E,科目余额表!$B646,data!Q:Q),0)</f>
        <v>0</v>
      </c>
      <c r="V646" s="207">
        <f>IFERROR(SUMIF(data!$E:$E,科目余额表!$B646,data!R:R),0)</f>
        <v>0</v>
      </c>
      <c r="W646" s="207">
        <f>IFERROR(SUMIF(data!$E:$E,科目余额表!$B646,data!S:S),0)</f>
        <v>0</v>
      </c>
      <c r="X646" s="207">
        <f t="shared" si="17"/>
        <v>0</v>
      </c>
      <c r="Y646" s="207"/>
      <c r="Z646" s="207"/>
      <c r="AA646" s="207"/>
      <c r="AB646" s="207"/>
      <c r="AC646" s="207"/>
      <c r="AD646" s="207"/>
      <c r="AE646" s="207"/>
      <c r="AF646" s="207"/>
    </row>
    <row r="647" spans="1:32" s="214" customFormat="1" ht="11.65" customHeight="1">
      <c r="A647" s="215"/>
      <c r="B647" s="220">
        <v>99999</v>
      </c>
      <c r="C647" s="205" t="s">
        <v>934</v>
      </c>
      <c r="D647" s="217">
        <f t="shared" si="16"/>
        <v>0</v>
      </c>
      <c r="E647" s="217">
        <v>0</v>
      </c>
      <c r="F647" s="218">
        <f>D647+E647</f>
        <v>0</v>
      </c>
      <c r="H647" s="225" t="s">
        <v>671</v>
      </c>
      <c r="J647" s="207">
        <v>0</v>
      </c>
      <c r="K647" s="207"/>
      <c r="L647" s="207">
        <f>IFERROR(SUMIF(data!$E:$E,科目余额表!$B647,data!H:H),0)</f>
        <v>0</v>
      </c>
      <c r="M647" s="207">
        <f>IFERROR(SUMIF(data!$E:$E,科目余额表!$B647,data!I:I),0)</f>
        <v>0</v>
      </c>
      <c r="N647" s="207">
        <f>IFERROR(SUMIF(data!$E:$E,科目余额表!$B647,data!J:J),0)</f>
        <v>0</v>
      </c>
      <c r="O647" s="207">
        <f>IFERROR(SUMIF(data!$E:$E,科目余额表!$B647,data!K:K),0)</f>
        <v>0</v>
      </c>
      <c r="P647" s="207">
        <f>IFERROR(SUMIF(data!$E:$E,科目余额表!$B647,data!L:L),0)</f>
        <v>0</v>
      </c>
      <c r="Q647" s="207">
        <f>IFERROR(SUMIF(data!$E:$E,科目余额表!$B647,data!M:M),0)</f>
        <v>0</v>
      </c>
      <c r="R647" s="207">
        <f>IFERROR(SUMIF(data!$E:$E,科目余额表!$B647,data!N:N),0)</f>
        <v>0</v>
      </c>
      <c r="S647" s="207">
        <f>IFERROR(SUMIF(data!$E:$E,科目余额表!$B647,data!O:O),0)</f>
        <v>0</v>
      </c>
      <c r="T647" s="207">
        <f>IFERROR(SUMIF(data!$E:$E,科目余额表!$B647,data!P:P),0)</f>
        <v>0</v>
      </c>
      <c r="U647" s="207">
        <f>IFERROR(SUMIF(data!$E:$E,科目余额表!$B647,data!Q:Q),0)</f>
        <v>0</v>
      </c>
      <c r="V647" s="207">
        <f>IFERROR(SUMIF(data!$E:$E,科目余额表!$B647,data!R:R),0)</f>
        <v>0</v>
      </c>
      <c r="W647" s="207">
        <f>IFERROR(SUMIF(data!$E:$E,科目余额表!$B647,data!S:S),0)</f>
        <v>0</v>
      </c>
      <c r="X647" s="207">
        <f t="shared" si="17"/>
        <v>0</v>
      </c>
      <c r="Y647" s="207"/>
      <c r="Z647" s="207"/>
      <c r="AA647" s="207"/>
      <c r="AB647" s="207"/>
      <c r="AC647" s="207"/>
      <c r="AD647" s="207"/>
      <c r="AE647" s="207"/>
      <c r="AF647" s="207"/>
    </row>
    <row r="648" spans="1:32">
      <c r="B648" s="227"/>
      <c r="C648" s="228"/>
      <c r="D648" s="229"/>
      <c r="E648" s="229"/>
      <c r="F648" s="229"/>
      <c r="G648" s="228"/>
      <c r="H648" s="228"/>
      <c r="M648" s="207"/>
    </row>
    <row r="649" spans="1:32" s="208" customFormat="1">
      <c r="A649" s="230"/>
      <c r="B649" s="231"/>
      <c r="D649" s="232"/>
      <c r="E649" s="232"/>
      <c r="F649" s="232"/>
      <c r="I649" s="207"/>
      <c r="M649" s="207"/>
    </row>
    <row r="650" spans="1:32" s="208" customFormat="1">
      <c r="A650" s="230"/>
      <c r="D650" s="233"/>
      <c r="E650" s="233"/>
      <c r="F650" s="233"/>
      <c r="G650" s="233"/>
      <c r="H650" s="233"/>
      <c r="I650" s="207"/>
      <c r="M650" s="207"/>
    </row>
    <row r="651" spans="1:32" s="208" customFormat="1">
      <c r="A651" s="230"/>
      <c r="D651" s="234"/>
      <c r="E651" s="234"/>
      <c r="F651" s="234"/>
      <c r="I651" s="207"/>
      <c r="M651" s="207"/>
    </row>
    <row r="652" spans="1:32" s="208" customFormat="1">
      <c r="A652" s="230"/>
      <c r="D652" s="234"/>
      <c r="E652" s="234"/>
      <c r="F652" s="234"/>
      <c r="I652" s="207"/>
      <c r="M652" s="207"/>
    </row>
    <row r="653" spans="1:32" s="208" customFormat="1">
      <c r="A653" s="230"/>
      <c r="D653" s="234"/>
      <c r="E653" s="234"/>
      <c r="F653" s="234"/>
      <c r="I653" s="207"/>
    </row>
    <row r="654" spans="1:32" s="208" customFormat="1">
      <c r="A654" s="230"/>
      <c r="D654" s="234"/>
      <c r="E654" s="234"/>
      <c r="F654" s="234"/>
      <c r="I654" s="207"/>
    </row>
    <row r="655" spans="1:32" s="208" customFormat="1">
      <c r="A655" s="230"/>
      <c r="D655" s="234"/>
      <c r="E655" s="234"/>
      <c r="F655" s="234"/>
      <c r="I655" s="207"/>
    </row>
    <row r="656" spans="1:32" s="208" customFormat="1">
      <c r="A656" s="230"/>
      <c r="D656" s="234"/>
      <c r="E656" s="234"/>
      <c r="F656" s="234"/>
      <c r="I656" s="207"/>
    </row>
    <row r="657" spans="1:9" s="208" customFormat="1">
      <c r="A657" s="230"/>
      <c r="D657" s="234"/>
      <c r="E657" s="234"/>
      <c r="F657" s="234"/>
      <c r="I657" s="207"/>
    </row>
    <row r="658" spans="1:9" s="208" customFormat="1">
      <c r="A658" s="230"/>
      <c r="D658" s="234"/>
      <c r="E658" s="234"/>
      <c r="F658" s="234"/>
      <c r="I658" s="207"/>
    </row>
    <row r="659" spans="1:9" s="208" customFormat="1">
      <c r="A659" s="230"/>
      <c r="D659" s="234"/>
      <c r="E659" s="234"/>
      <c r="F659" s="234"/>
      <c r="I659" s="207"/>
    </row>
    <row r="660" spans="1:9" s="208" customFormat="1">
      <c r="A660" s="230"/>
      <c r="D660" s="234"/>
      <c r="E660" s="234"/>
      <c r="F660" s="234"/>
      <c r="I660" s="207"/>
    </row>
    <row r="661" spans="1:9" s="208" customFormat="1">
      <c r="A661" s="230"/>
      <c r="D661" s="234"/>
      <c r="E661" s="234"/>
      <c r="F661" s="234"/>
      <c r="I661" s="207"/>
    </row>
    <row r="662" spans="1:9" s="208" customFormat="1">
      <c r="A662" s="230"/>
      <c r="D662" s="234"/>
      <c r="E662" s="234"/>
      <c r="F662" s="234"/>
      <c r="I662" s="207"/>
    </row>
    <row r="663" spans="1:9" s="208" customFormat="1">
      <c r="A663" s="230"/>
      <c r="D663" s="234"/>
      <c r="E663" s="234"/>
      <c r="F663" s="234"/>
      <c r="I663" s="207"/>
    </row>
    <row r="664" spans="1:9" s="208" customFormat="1">
      <c r="A664" s="230"/>
      <c r="D664" s="234"/>
      <c r="E664" s="234"/>
      <c r="F664" s="234"/>
      <c r="I664" s="207"/>
    </row>
    <row r="665" spans="1:9" s="208" customFormat="1">
      <c r="A665" s="230"/>
      <c r="D665" s="234"/>
      <c r="E665" s="234"/>
      <c r="F665" s="234"/>
      <c r="I665" s="207"/>
    </row>
    <row r="666" spans="1:9" s="208" customFormat="1">
      <c r="A666" s="230"/>
      <c r="D666" s="234"/>
      <c r="E666" s="234"/>
      <c r="F666" s="234"/>
      <c r="I666" s="207"/>
    </row>
    <row r="667" spans="1:9" s="208" customFormat="1">
      <c r="A667" s="230"/>
      <c r="D667" s="234"/>
      <c r="E667" s="234"/>
      <c r="F667" s="234"/>
      <c r="I667" s="207"/>
    </row>
    <row r="668" spans="1:9" s="208" customFormat="1">
      <c r="A668" s="230"/>
      <c r="D668" s="234"/>
      <c r="E668" s="234"/>
      <c r="F668" s="234"/>
      <c r="I668" s="207"/>
    </row>
    <row r="669" spans="1:9" s="208" customFormat="1">
      <c r="A669" s="230"/>
      <c r="D669" s="234"/>
      <c r="E669" s="234"/>
      <c r="F669" s="234"/>
      <c r="I669" s="207"/>
    </row>
    <row r="670" spans="1:9" s="208" customFormat="1">
      <c r="A670" s="230"/>
      <c r="D670" s="234"/>
      <c r="E670" s="234"/>
      <c r="F670" s="234"/>
      <c r="I670" s="207"/>
    </row>
    <row r="671" spans="1:9" s="208" customFormat="1">
      <c r="A671" s="230"/>
      <c r="D671" s="234"/>
      <c r="E671" s="234"/>
      <c r="F671" s="234"/>
      <c r="I671" s="207"/>
    </row>
    <row r="672" spans="1:9" s="208" customFormat="1">
      <c r="A672" s="230"/>
      <c r="D672" s="234"/>
      <c r="E672" s="234"/>
      <c r="F672" s="234"/>
      <c r="I672" s="207"/>
    </row>
    <row r="673" spans="1:9" s="208" customFormat="1">
      <c r="A673" s="230"/>
      <c r="D673" s="234"/>
      <c r="E673" s="234"/>
      <c r="F673" s="234"/>
      <c r="I673" s="207"/>
    </row>
    <row r="674" spans="1:9" s="208" customFormat="1">
      <c r="A674" s="230"/>
      <c r="D674" s="234"/>
      <c r="E674" s="234"/>
      <c r="F674" s="234"/>
      <c r="I674" s="207"/>
    </row>
    <row r="675" spans="1:9" s="208" customFormat="1">
      <c r="A675" s="230"/>
      <c r="D675" s="234"/>
      <c r="E675" s="234"/>
      <c r="F675" s="234"/>
      <c r="I675" s="207"/>
    </row>
    <row r="676" spans="1:9" s="208" customFormat="1">
      <c r="A676" s="230"/>
      <c r="D676" s="234"/>
      <c r="E676" s="234"/>
      <c r="F676" s="234"/>
      <c r="I676" s="207"/>
    </row>
    <row r="677" spans="1:9" s="208" customFormat="1">
      <c r="A677" s="230"/>
      <c r="D677" s="234"/>
      <c r="E677" s="234"/>
      <c r="F677" s="234"/>
      <c r="I677" s="207"/>
    </row>
    <row r="678" spans="1:9" s="208" customFormat="1">
      <c r="A678" s="230"/>
      <c r="D678" s="234"/>
      <c r="E678" s="234"/>
      <c r="F678" s="234"/>
      <c r="I678" s="207"/>
    </row>
    <row r="679" spans="1:9" s="208" customFormat="1">
      <c r="A679" s="230"/>
      <c r="D679" s="234"/>
      <c r="E679" s="234"/>
      <c r="F679" s="234"/>
      <c r="I679" s="207"/>
    </row>
    <row r="680" spans="1:9" s="208" customFormat="1">
      <c r="A680" s="230"/>
      <c r="D680" s="234"/>
      <c r="E680" s="234"/>
      <c r="F680" s="234"/>
      <c r="I680" s="207"/>
    </row>
    <row r="681" spans="1:9" s="208" customFormat="1">
      <c r="A681" s="230"/>
      <c r="D681" s="234"/>
      <c r="E681" s="234"/>
      <c r="F681" s="234"/>
      <c r="I681" s="207"/>
    </row>
    <row r="682" spans="1:9" s="208" customFormat="1">
      <c r="A682" s="230"/>
      <c r="D682" s="234"/>
      <c r="E682" s="234"/>
      <c r="F682" s="234"/>
      <c r="I682" s="207"/>
    </row>
    <row r="683" spans="1:9" s="208" customFormat="1">
      <c r="A683" s="230"/>
      <c r="D683" s="234"/>
      <c r="E683" s="234"/>
      <c r="F683" s="234"/>
      <c r="I683" s="207"/>
    </row>
    <row r="684" spans="1:9" s="208" customFormat="1">
      <c r="A684" s="230"/>
      <c r="D684" s="234"/>
      <c r="E684" s="234"/>
      <c r="F684" s="234"/>
      <c r="I684" s="207"/>
    </row>
    <row r="685" spans="1:9" s="208" customFormat="1">
      <c r="A685" s="230"/>
      <c r="D685" s="234"/>
      <c r="E685" s="234"/>
      <c r="F685" s="234"/>
      <c r="I685" s="207"/>
    </row>
    <row r="686" spans="1:9" s="208" customFormat="1">
      <c r="A686" s="230"/>
      <c r="D686" s="234"/>
      <c r="E686" s="234"/>
      <c r="F686" s="234"/>
      <c r="I686" s="207"/>
    </row>
    <row r="687" spans="1:9" s="208" customFormat="1">
      <c r="A687" s="230"/>
      <c r="D687" s="234"/>
      <c r="E687" s="234"/>
      <c r="F687" s="234"/>
      <c r="I687" s="207"/>
    </row>
    <row r="688" spans="1:9" s="208" customFormat="1">
      <c r="A688" s="230"/>
      <c r="D688" s="234"/>
      <c r="E688" s="234"/>
      <c r="F688" s="234"/>
      <c r="I688" s="207"/>
    </row>
    <row r="689" spans="1:9" s="208" customFormat="1">
      <c r="A689" s="230"/>
      <c r="D689" s="234"/>
      <c r="E689" s="234"/>
      <c r="F689" s="234"/>
      <c r="I689" s="207"/>
    </row>
    <row r="690" spans="1:9" s="208" customFormat="1">
      <c r="A690" s="230"/>
      <c r="D690" s="234"/>
      <c r="E690" s="234"/>
      <c r="F690" s="234"/>
      <c r="I690" s="207"/>
    </row>
  </sheetData>
  <sheetProtection algorithmName="SHA-512" hashValue="2WDUSsCeeMXJkMCuk0xk1V2frW3HciZPv4+4RcYz9z1l30meQb5YfVDvUOuX+4b1Myv50sb+M4+ZsJ6PAm+t0A==" saltValue="3+GcShJSqMIVmm2Qbe0UwA==" spinCount="100000" sheet="1" objects="1" scenarios="1" formatColumns="0"/>
  <phoneticPr fontId="6" type="noConversion"/>
  <conditionalFormatting sqref="D6:E647">
    <cfRule type="containsBlanks" dxfId="8" priority="1">
      <formula>LEN(TRIM(D6))=0</formula>
    </cfRule>
  </conditionalFormatting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C3E3-0EE2-4CDA-8403-8ED24137C7F7}">
  <sheetPr filterMode="1">
    <tabColor rgb="FF92D050"/>
  </sheetPr>
  <dimension ref="A1:Y473"/>
  <sheetViews>
    <sheetView showGridLines="0" tabSelected="1" zoomScale="85" zoomScaleNormal="85" workbookViewId="0">
      <pane xSplit="7" ySplit="1" topLeftCell="Y2" activePane="bottomRight" state="frozen"/>
      <selection pane="bottomRight" activeCell="D3" sqref="D3"/>
      <selection pane="bottomLeft" activeCell="C48" sqref="C48"/>
      <selection pane="topRight" activeCell="C48" sqref="C48"/>
    </sheetView>
  </sheetViews>
  <sheetFormatPr defaultColWidth="8.625" defaultRowHeight="13.9"/>
  <cols>
    <col min="1" max="1" width="8.625" style="321" customWidth="1"/>
    <col min="2" max="2" width="22" style="321" customWidth="1"/>
    <col min="3" max="3" width="10.25" style="321" customWidth="1"/>
    <col min="4" max="4" width="27" style="321" customWidth="1"/>
    <col min="5" max="5" width="7.5" style="334" customWidth="1"/>
    <col min="6" max="6" width="18.125" style="321" customWidth="1"/>
    <col min="7" max="7" width="36.25" style="321" bestFit="1" customWidth="1"/>
    <col min="8" max="8" width="18.75" style="320" bestFit="1" customWidth="1"/>
    <col min="9" max="9" width="16.375" style="310" customWidth="1"/>
    <col min="10" max="10" width="18.5" style="320" customWidth="1"/>
    <col min="11" max="11" width="18.5" style="310" customWidth="1"/>
    <col min="12" max="12" width="17" style="310" customWidth="1"/>
    <col min="13" max="13" width="15.125" style="310" customWidth="1"/>
    <col min="14" max="14" width="15.125" style="336" customWidth="1"/>
    <col min="15" max="17" width="17.5" style="337" customWidth="1"/>
    <col min="18" max="18" width="18.5" style="337" customWidth="1"/>
    <col min="19" max="19" width="17.25" style="337" customWidth="1"/>
    <col min="20" max="20" width="18.5" style="328" customWidth="1"/>
    <col min="21" max="21" width="9.5" style="323" customWidth="1"/>
    <col min="22" max="22" width="9.5" style="309" customWidth="1"/>
    <col min="23" max="23" width="18.75" style="323" bestFit="1" customWidth="1"/>
    <col min="24" max="24" width="16.75" style="309" bestFit="1" customWidth="1"/>
    <col min="25" max="25" width="11.75" style="309" bestFit="1" customWidth="1"/>
    <col min="26" max="16384" width="8.625" style="309"/>
  </cols>
  <sheetData>
    <row r="1" spans="1:25" s="242" customFormat="1" ht="33" customHeight="1">
      <c r="A1" s="235" t="s">
        <v>935</v>
      </c>
      <c r="B1" s="235" t="s">
        <v>936</v>
      </c>
      <c r="C1" s="236" t="s">
        <v>937</v>
      </c>
      <c r="D1" s="237" t="s">
        <v>938</v>
      </c>
      <c r="E1" s="237" t="s">
        <v>939</v>
      </c>
      <c r="F1" s="237" t="s">
        <v>940</v>
      </c>
      <c r="G1" s="237" t="s">
        <v>941</v>
      </c>
      <c r="H1" s="238" t="s">
        <v>235</v>
      </c>
      <c r="I1" s="238" t="s">
        <v>236</v>
      </c>
      <c r="J1" s="238" t="s">
        <v>237</v>
      </c>
      <c r="K1" s="238" t="s">
        <v>238</v>
      </c>
      <c r="L1" s="238" t="s">
        <v>239</v>
      </c>
      <c r="M1" s="238" t="s">
        <v>240</v>
      </c>
      <c r="N1" s="239" t="s">
        <v>241</v>
      </c>
      <c r="O1" s="238" t="s">
        <v>242</v>
      </c>
      <c r="P1" s="238" t="s">
        <v>243</v>
      </c>
      <c r="Q1" s="238" t="s">
        <v>244</v>
      </c>
      <c r="R1" s="238" t="s">
        <v>245</v>
      </c>
      <c r="S1" s="238" t="s">
        <v>246</v>
      </c>
      <c r="T1" s="240" t="s">
        <v>247</v>
      </c>
      <c r="U1" s="241"/>
      <c r="W1" s="241"/>
    </row>
    <row r="2" spans="1:25" s="252" customFormat="1" hidden="1">
      <c r="A2" s="243">
        <v>10300</v>
      </c>
      <c r="B2" s="243" t="s">
        <v>942</v>
      </c>
      <c r="C2" s="244" t="s">
        <v>943</v>
      </c>
      <c r="D2" s="244" t="s">
        <v>944</v>
      </c>
      <c r="E2" s="245">
        <v>18001</v>
      </c>
      <c r="F2" s="244" t="s">
        <v>510</v>
      </c>
      <c r="G2" s="244" t="s">
        <v>79</v>
      </c>
      <c r="H2" s="246">
        <f>25048208.71</f>
        <v>25048208.710000001</v>
      </c>
      <c r="I2" s="246">
        <v>25048208.710000001</v>
      </c>
      <c r="J2" s="246">
        <v>25048208.710000001</v>
      </c>
      <c r="K2" s="247">
        <v>25048208.710000001</v>
      </c>
      <c r="L2" s="247">
        <v>25048208.710000001</v>
      </c>
      <c r="M2" s="247">
        <v>25048208.710000001</v>
      </c>
      <c r="N2" s="246">
        <v>25048208.710000001</v>
      </c>
      <c r="O2" s="248">
        <v>25048208.710000001</v>
      </c>
      <c r="P2" s="248">
        <v>25048208.710000001</v>
      </c>
      <c r="Q2" s="248">
        <v>25048208.710000001</v>
      </c>
      <c r="R2" s="248">
        <v>28884203.870000001</v>
      </c>
      <c r="S2" s="248">
        <f>24359036.44</f>
        <v>24359036.440000001</v>
      </c>
      <c r="T2" s="249"/>
      <c r="U2" s="250" t="s">
        <v>945</v>
      </c>
      <c r="V2" s="250"/>
      <c r="W2" s="250"/>
      <c r="X2" s="251"/>
    </row>
    <row r="3" spans="1:25" s="252" customFormat="1" hidden="1">
      <c r="A3" s="243">
        <v>10300</v>
      </c>
      <c r="B3" s="243" t="s">
        <v>942</v>
      </c>
      <c r="C3" s="244" t="s">
        <v>946</v>
      </c>
      <c r="D3" s="244" t="s">
        <v>947</v>
      </c>
      <c r="E3" s="245">
        <v>18001</v>
      </c>
      <c r="F3" s="244" t="s">
        <v>510</v>
      </c>
      <c r="G3" s="244" t="s">
        <v>79</v>
      </c>
      <c r="H3" s="253">
        <v>4521754.4400000004</v>
      </c>
      <c r="I3" s="254">
        <v>4585446.5999999996</v>
      </c>
      <c r="J3" s="254">
        <v>4635869.5599999996</v>
      </c>
      <c r="K3" s="255">
        <v>4670369.4800000004</v>
      </c>
      <c r="L3" s="255">
        <v>4701016.04</v>
      </c>
      <c r="M3" s="255">
        <v>4744796.84</v>
      </c>
      <c r="N3" s="254">
        <v>4790766.68</v>
      </c>
      <c r="O3" s="256">
        <v>4836736.5199999996</v>
      </c>
      <c r="P3" s="256">
        <v>4895840.5999999996</v>
      </c>
      <c r="Q3" s="256">
        <v>4928676.2</v>
      </c>
      <c r="R3" s="256">
        <v>4961511.8</v>
      </c>
      <c r="S3" s="256">
        <v>4979024.12</v>
      </c>
      <c r="T3" s="249"/>
      <c r="U3" s="251"/>
      <c r="V3" s="250"/>
      <c r="W3" s="250"/>
      <c r="X3" s="251"/>
    </row>
    <row r="4" spans="1:25" s="252" customFormat="1" hidden="1">
      <c r="A4" s="243">
        <v>10300</v>
      </c>
      <c r="B4" s="243" t="s">
        <v>942</v>
      </c>
      <c r="C4" s="244" t="s">
        <v>948</v>
      </c>
      <c r="D4" s="244" t="s">
        <v>949</v>
      </c>
      <c r="E4" s="245">
        <v>18001</v>
      </c>
      <c r="F4" s="244" t="s">
        <v>510</v>
      </c>
      <c r="G4" s="244" t="s">
        <v>79</v>
      </c>
      <c r="H4" s="253">
        <v>113626.27</v>
      </c>
      <c r="I4" s="254">
        <v>113626.27</v>
      </c>
      <c r="J4" s="254">
        <v>113626.27</v>
      </c>
      <c r="K4" s="255">
        <v>113626.27</v>
      </c>
      <c r="L4" s="255">
        <v>113626.27</v>
      </c>
      <c r="M4" s="255">
        <v>113626.27</v>
      </c>
      <c r="N4" s="254">
        <v>113626.27</v>
      </c>
      <c r="O4" s="256">
        <v>113626.27</v>
      </c>
      <c r="P4" s="256">
        <v>113626.27</v>
      </c>
      <c r="Q4" s="256">
        <v>113626.27</v>
      </c>
      <c r="R4" s="256">
        <v>113626.27</v>
      </c>
      <c r="S4" s="256">
        <v>113626.27</v>
      </c>
      <c r="T4" s="249"/>
      <c r="U4" s="251"/>
      <c r="V4" s="250"/>
      <c r="W4" s="250"/>
      <c r="X4" s="251"/>
    </row>
    <row r="5" spans="1:25" s="252" customFormat="1" hidden="1">
      <c r="A5" s="243">
        <v>10300</v>
      </c>
      <c r="B5" s="243" t="s">
        <v>942</v>
      </c>
      <c r="C5" s="244" t="s">
        <v>950</v>
      </c>
      <c r="D5" s="244" t="s">
        <v>951</v>
      </c>
      <c r="E5" s="245">
        <v>18001</v>
      </c>
      <c r="F5" s="244" t="s">
        <v>510</v>
      </c>
      <c r="G5" s="244" t="s">
        <v>79</v>
      </c>
      <c r="H5" s="253">
        <v>28514.52</v>
      </c>
      <c r="I5" s="254">
        <v>28514.52</v>
      </c>
      <c r="J5" s="254">
        <v>28514.52</v>
      </c>
      <c r="K5" s="255">
        <v>28514.52</v>
      </c>
      <c r="L5" s="255">
        <v>28514.52</v>
      </c>
      <c r="M5" s="255">
        <v>28514.52</v>
      </c>
      <c r="N5" s="254">
        <v>28514.52</v>
      </c>
      <c r="O5" s="256">
        <v>28514.52</v>
      </c>
      <c r="P5" s="256">
        <v>31522.27</v>
      </c>
      <c r="Q5" s="256">
        <v>31522.27</v>
      </c>
      <c r="R5" s="256">
        <v>31522.27</v>
      </c>
      <c r="S5" s="256">
        <v>31522.27</v>
      </c>
      <c r="T5" s="249"/>
      <c r="U5" s="251"/>
      <c r="V5" s="250"/>
      <c r="W5" s="250"/>
      <c r="X5" s="251"/>
    </row>
    <row r="6" spans="1:25" s="252" customFormat="1" hidden="1">
      <c r="A6" s="243">
        <v>10300</v>
      </c>
      <c r="B6" s="243" t="s">
        <v>942</v>
      </c>
      <c r="C6" s="244" t="s">
        <v>952</v>
      </c>
      <c r="D6" s="244" t="s">
        <v>953</v>
      </c>
      <c r="E6" s="245">
        <v>18001</v>
      </c>
      <c r="F6" s="244" t="s">
        <v>510</v>
      </c>
      <c r="G6" s="244" t="s">
        <v>79</v>
      </c>
      <c r="H6" s="253">
        <v>3738058.96</v>
      </c>
      <c r="I6" s="254">
        <v>3765399.72</v>
      </c>
      <c r="J6" s="254">
        <v>3818184.97</v>
      </c>
      <c r="K6" s="255">
        <v>3856816.83</v>
      </c>
      <c r="L6" s="255">
        <v>3427735.25</v>
      </c>
      <c r="M6" s="255">
        <v>3247165.71</v>
      </c>
      <c r="N6" s="254">
        <v>3282789.82</v>
      </c>
      <c r="O6" s="256">
        <v>3756599.4</v>
      </c>
      <c r="P6" s="256">
        <v>3876557.33</v>
      </c>
      <c r="Q6" s="256">
        <v>3953031.14</v>
      </c>
      <c r="R6" s="256">
        <v>3972575.48</v>
      </c>
      <c r="S6" s="256">
        <v>3972575.48</v>
      </c>
      <c r="T6" s="249"/>
      <c r="U6" s="251"/>
      <c r="V6" s="250"/>
      <c r="W6" s="250"/>
      <c r="X6" s="251"/>
    </row>
    <row r="7" spans="1:25" s="252" customFormat="1" hidden="1">
      <c r="A7" s="243">
        <v>10300</v>
      </c>
      <c r="B7" s="243" t="s">
        <v>942</v>
      </c>
      <c r="C7" s="244" t="s">
        <v>954</v>
      </c>
      <c r="D7" s="244" t="s">
        <v>955</v>
      </c>
      <c r="E7" s="245">
        <v>18001</v>
      </c>
      <c r="F7" s="244" t="s">
        <v>510</v>
      </c>
      <c r="G7" s="244" t="s">
        <v>79</v>
      </c>
      <c r="H7" s="253">
        <v>523167.53</v>
      </c>
      <c r="I7" s="254">
        <v>530320.36</v>
      </c>
      <c r="J7" s="254">
        <v>542176.36</v>
      </c>
      <c r="K7" s="255">
        <v>564440.81999999995</v>
      </c>
      <c r="L7" s="255">
        <v>567248.03</v>
      </c>
      <c r="M7" s="255">
        <v>568584.03</v>
      </c>
      <c r="N7" s="254">
        <v>568677.42000000004</v>
      </c>
      <c r="O7" s="256">
        <v>556885.23</v>
      </c>
      <c r="P7" s="256">
        <v>569369.04</v>
      </c>
      <c r="Q7" s="256">
        <v>572089.54</v>
      </c>
      <c r="R7" s="256">
        <v>572339.54</v>
      </c>
      <c r="S7" s="256">
        <v>562517.23</v>
      </c>
      <c r="T7" s="249"/>
      <c r="U7" s="251"/>
      <c r="V7" s="250"/>
      <c r="W7" s="250"/>
      <c r="X7" s="251"/>
    </row>
    <row r="8" spans="1:25" s="252" customFormat="1" hidden="1">
      <c r="A8" s="243">
        <v>10300</v>
      </c>
      <c r="B8" s="243" t="s">
        <v>942</v>
      </c>
      <c r="C8" s="244" t="s">
        <v>956</v>
      </c>
      <c r="D8" s="244" t="s">
        <v>957</v>
      </c>
      <c r="E8" s="245">
        <v>18001</v>
      </c>
      <c r="F8" s="244" t="s">
        <v>510</v>
      </c>
      <c r="G8" s="244" t="s">
        <v>79</v>
      </c>
      <c r="H8" s="253">
        <v>937652.95</v>
      </c>
      <c r="I8" s="254">
        <v>946308.95</v>
      </c>
      <c r="J8" s="254">
        <v>958820.95</v>
      </c>
      <c r="K8" s="255">
        <v>977636.95</v>
      </c>
      <c r="L8" s="255">
        <v>990580.95</v>
      </c>
      <c r="M8" s="255">
        <v>1004212.31</v>
      </c>
      <c r="N8" s="254">
        <v>1017972.31</v>
      </c>
      <c r="O8" s="256">
        <v>1056227.9099999999</v>
      </c>
      <c r="P8" s="256">
        <v>1086039.1100000001</v>
      </c>
      <c r="Q8" s="256">
        <v>1088471.1100000001</v>
      </c>
      <c r="R8" s="256">
        <v>1088471.1100000001</v>
      </c>
      <c r="S8" s="256">
        <v>1088471.1100000001</v>
      </c>
      <c r="T8" s="249"/>
      <c r="U8" s="251"/>
      <c r="V8" s="250"/>
      <c r="W8" s="250"/>
      <c r="X8" s="251"/>
    </row>
    <row r="9" spans="1:25" s="252" customFormat="1" hidden="1">
      <c r="A9" s="243">
        <v>10300</v>
      </c>
      <c r="B9" s="243" t="s">
        <v>942</v>
      </c>
      <c r="C9" s="244" t="s">
        <v>958</v>
      </c>
      <c r="D9" s="244" t="s">
        <v>959</v>
      </c>
      <c r="E9" s="245">
        <v>18001</v>
      </c>
      <c r="F9" s="244" t="s">
        <v>510</v>
      </c>
      <c r="G9" s="244" t="s">
        <v>79</v>
      </c>
      <c r="H9" s="253">
        <v>55536.84</v>
      </c>
      <c r="I9" s="254">
        <v>57352.52</v>
      </c>
      <c r="J9" s="254">
        <v>57352.52</v>
      </c>
      <c r="K9" s="255">
        <v>57352.52</v>
      </c>
      <c r="L9" s="255">
        <v>59209.11</v>
      </c>
      <c r="M9" s="255">
        <v>59935.42</v>
      </c>
      <c r="N9" s="254">
        <v>61755.81</v>
      </c>
      <c r="O9" s="256">
        <v>63224.24</v>
      </c>
      <c r="P9" s="256">
        <v>70129.55</v>
      </c>
      <c r="Q9" s="256">
        <v>130871.74</v>
      </c>
      <c r="R9" s="256">
        <v>79205.14</v>
      </c>
      <c r="S9" s="256">
        <v>79205.14</v>
      </c>
      <c r="T9" s="249"/>
      <c r="U9" s="251"/>
      <c r="V9" s="250"/>
      <c r="W9" s="250"/>
      <c r="X9" s="251"/>
    </row>
    <row r="10" spans="1:25" s="252" customFormat="1" hidden="1">
      <c r="A10" s="243">
        <v>10308</v>
      </c>
      <c r="B10" s="243" t="s">
        <v>960</v>
      </c>
      <c r="C10" s="244" t="s">
        <v>961</v>
      </c>
      <c r="D10" s="244" t="s">
        <v>962</v>
      </c>
      <c r="E10" s="245">
        <v>18101</v>
      </c>
      <c r="F10" s="244" t="s">
        <v>513</v>
      </c>
      <c r="G10" s="244" t="s">
        <v>79</v>
      </c>
      <c r="H10" s="246">
        <f>-5375410.83</f>
        <v>-5375410.8300000001</v>
      </c>
      <c r="I10" s="246">
        <f>-5707754.63</f>
        <v>-5707754.6299999999</v>
      </c>
      <c r="J10" s="246">
        <f>-6122703.26</f>
        <v>-6122703.2599999998</v>
      </c>
      <c r="K10" s="247">
        <f>-6543019.36</f>
        <v>-6543019.3600000003</v>
      </c>
      <c r="L10" s="247">
        <f>-6963335.46</f>
        <v>-6963335.46</v>
      </c>
      <c r="M10" s="247">
        <f>-7383651.56</f>
        <v>-7383651.5599999996</v>
      </c>
      <c r="N10" s="246">
        <f>-7803967.66</f>
        <v>-7803967.6600000001</v>
      </c>
      <c r="O10" s="248">
        <f>-8224283.76</f>
        <v>-8224283.7599999998</v>
      </c>
      <c r="P10" s="248">
        <f>-8644599.87</f>
        <v>-8644599.8699999992</v>
      </c>
      <c r="Q10" s="248">
        <f>-9064915.97</f>
        <v>-9064915.9700000007</v>
      </c>
      <c r="R10" s="248">
        <f>-9485232.08</f>
        <v>-9485232.0800000001</v>
      </c>
      <c r="S10" s="248">
        <f>-9784582.89</f>
        <v>-9784582.8900000006</v>
      </c>
      <c r="T10" s="249"/>
      <c r="U10" s="250" t="s">
        <v>945</v>
      </c>
      <c r="V10" s="250"/>
      <c r="W10" s="250"/>
      <c r="X10" s="251"/>
    </row>
    <row r="11" spans="1:25" s="252" customFormat="1" hidden="1">
      <c r="A11" s="243">
        <v>11100</v>
      </c>
      <c r="B11" s="243" t="s">
        <v>963</v>
      </c>
      <c r="C11" s="244" t="s">
        <v>964</v>
      </c>
      <c r="D11" s="244" t="s">
        <v>965</v>
      </c>
      <c r="E11" s="245">
        <v>16301</v>
      </c>
      <c r="F11" s="244" t="s">
        <v>450</v>
      </c>
      <c r="G11" s="244" t="s">
        <v>442</v>
      </c>
      <c r="H11" s="253">
        <v>4567986.05</v>
      </c>
      <c r="I11" s="254">
        <v>4567986.05</v>
      </c>
      <c r="J11" s="254">
        <v>4567986.05</v>
      </c>
      <c r="K11" s="255">
        <v>4567986.05</v>
      </c>
      <c r="L11" s="255">
        <v>4567986.05</v>
      </c>
      <c r="M11" s="255">
        <v>4567986.05</v>
      </c>
      <c r="N11" s="254">
        <v>4567986.05</v>
      </c>
      <c r="O11" s="256">
        <v>4567986.05</v>
      </c>
      <c r="P11" s="256">
        <v>4567986.05</v>
      </c>
      <c r="Q11" s="256">
        <v>4567986.05</v>
      </c>
      <c r="R11" s="256">
        <v>4567986.05</v>
      </c>
      <c r="S11" s="256">
        <v>4567986.05</v>
      </c>
      <c r="T11" s="249"/>
      <c r="U11" s="251"/>
      <c r="V11" s="250"/>
      <c r="W11" s="250"/>
      <c r="X11" s="251"/>
    </row>
    <row r="12" spans="1:25" s="252" customFormat="1" hidden="1">
      <c r="A12" s="243">
        <v>11000</v>
      </c>
      <c r="B12" s="243" t="s">
        <v>966</v>
      </c>
      <c r="C12" s="244" t="s">
        <v>967</v>
      </c>
      <c r="D12" s="244" t="s">
        <v>968</v>
      </c>
      <c r="E12" s="245"/>
      <c r="F12" s="244"/>
      <c r="G12" s="244"/>
      <c r="H12" s="253">
        <v>0</v>
      </c>
      <c r="I12" s="254">
        <v>0</v>
      </c>
      <c r="J12" s="254">
        <v>0</v>
      </c>
      <c r="K12" s="255">
        <v>0</v>
      </c>
      <c r="L12" s="255">
        <v>0</v>
      </c>
      <c r="M12" s="255">
        <v>0</v>
      </c>
      <c r="N12" s="254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49"/>
      <c r="U12" s="251"/>
      <c r="V12" s="250"/>
      <c r="W12" s="250"/>
      <c r="X12" s="251"/>
    </row>
    <row r="13" spans="1:25" s="252" customFormat="1" hidden="1">
      <c r="A13" s="243">
        <v>11200</v>
      </c>
      <c r="B13" s="243" t="s">
        <v>969</v>
      </c>
      <c r="C13" s="244" t="s">
        <v>970</v>
      </c>
      <c r="D13" s="244" t="s">
        <v>971</v>
      </c>
      <c r="E13" s="245">
        <v>16300</v>
      </c>
      <c r="F13" s="244" t="s">
        <v>449</v>
      </c>
      <c r="G13" s="244" t="s">
        <v>442</v>
      </c>
      <c r="H13" s="253">
        <v>14054523.390000001</v>
      </c>
      <c r="I13" s="254">
        <v>14070797.390000001</v>
      </c>
      <c r="J13" s="254">
        <v>14070797.390000001</v>
      </c>
      <c r="K13" s="255">
        <v>14070797.390000001</v>
      </c>
      <c r="L13" s="255">
        <v>14070797.390000001</v>
      </c>
      <c r="M13" s="255">
        <v>14070797.390000001</v>
      </c>
      <c r="N13" s="254">
        <v>14070797.390000001</v>
      </c>
      <c r="O13" s="256">
        <v>14070797.390000001</v>
      </c>
      <c r="P13" s="256">
        <v>14070797.390000001</v>
      </c>
      <c r="Q13" s="256">
        <v>14092853.390000001</v>
      </c>
      <c r="R13" s="256">
        <v>14092853.390000001</v>
      </c>
      <c r="S13" s="256">
        <v>14092853.390000001</v>
      </c>
      <c r="T13" s="249"/>
      <c r="U13" s="251"/>
      <c r="V13" s="250"/>
      <c r="W13" s="250"/>
      <c r="X13" s="251"/>
    </row>
    <row r="14" spans="1:25" s="252" customFormat="1" hidden="1">
      <c r="A14" s="243">
        <v>11200</v>
      </c>
      <c r="B14" s="243" t="s">
        <v>969</v>
      </c>
      <c r="C14" s="244" t="s">
        <v>972</v>
      </c>
      <c r="D14" s="244" t="s">
        <v>973</v>
      </c>
      <c r="E14" s="245"/>
      <c r="F14" s="244"/>
      <c r="G14" s="244"/>
      <c r="H14" s="253">
        <v>0</v>
      </c>
      <c r="I14" s="254">
        <v>0</v>
      </c>
      <c r="J14" s="254">
        <v>0</v>
      </c>
      <c r="K14" s="255">
        <v>0</v>
      </c>
      <c r="L14" s="255">
        <v>0</v>
      </c>
      <c r="M14" s="255">
        <v>0</v>
      </c>
      <c r="N14" s="254">
        <v>0</v>
      </c>
      <c r="O14" s="256">
        <v>0</v>
      </c>
      <c r="P14" s="256">
        <v>0</v>
      </c>
      <c r="Q14" s="256">
        <v>0</v>
      </c>
      <c r="R14" s="256">
        <v>0</v>
      </c>
      <c r="S14" s="256">
        <v>0</v>
      </c>
      <c r="T14" s="249"/>
      <c r="U14" s="251"/>
      <c r="V14" s="250"/>
      <c r="W14" s="250"/>
      <c r="X14" s="251"/>
      <c r="Y14" s="250"/>
    </row>
    <row r="15" spans="1:25" s="252" customFormat="1" hidden="1">
      <c r="A15" s="243">
        <v>11300</v>
      </c>
      <c r="B15" s="243" t="s">
        <v>974</v>
      </c>
      <c r="C15" s="244" t="s">
        <v>975</v>
      </c>
      <c r="D15" s="244" t="s">
        <v>976</v>
      </c>
      <c r="E15" s="245">
        <v>16300</v>
      </c>
      <c r="F15" s="244" t="s">
        <v>449</v>
      </c>
      <c r="G15" s="244" t="s">
        <v>442</v>
      </c>
      <c r="H15" s="253">
        <v>10706488.029999999</v>
      </c>
      <c r="I15" s="254">
        <v>15063719.539999999</v>
      </c>
      <c r="J15" s="254">
        <v>15063719.539999999</v>
      </c>
      <c r="K15" s="255">
        <v>15063719.539999999</v>
      </c>
      <c r="L15" s="255">
        <v>15063719.539999999</v>
      </c>
      <c r="M15" s="255">
        <v>15063719.539999999</v>
      </c>
      <c r="N15" s="254">
        <v>15063719.539999999</v>
      </c>
      <c r="O15" s="256">
        <v>15063719.539999999</v>
      </c>
      <c r="P15" s="256">
        <v>15063719.539999999</v>
      </c>
      <c r="Q15" s="256">
        <v>17221634.43</v>
      </c>
      <c r="R15" s="256">
        <v>17221634.43</v>
      </c>
      <c r="S15" s="256">
        <v>17221634.460000001</v>
      </c>
      <c r="T15" s="249"/>
      <c r="U15" s="251"/>
      <c r="V15" s="250"/>
      <c r="W15" s="250"/>
      <c r="X15" s="251"/>
      <c r="Y15" s="250"/>
    </row>
    <row r="16" spans="1:25" s="252" customFormat="1" hidden="1">
      <c r="A16" s="243">
        <v>11300</v>
      </c>
      <c r="B16" s="243" t="s">
        <v>974</v>
      </c>
      <c r="C16" s="244" t="s">
        <v>977</v>
      </c>
      <c r="D16" s="244" t="s">
        <v>978</v>
      </c>
      <c r="E16" s="245">
        <v>16300</v>
      </c>
      <c r="F16" s="244" t="s">
        <v>449</v>
      </c>
      <c r="G16" s="244" t="s">
        <v>442</v>
      </c>
      <c r="H16" s="253"/>
      <c r="I16" s="254"/>
      <c r="J16" s="254"/>
      <c r="K16" s="255"/>
      <c r="L16" s="255"/>
      <c r="M16" s="255"/>
      <c r="N16" s="254"/>
      <c r="O16" s="256"/>
      <c r="P16" s="256"/>
      <c r="Q16" s="256">
        <v>110987.7</v>
      </c>
      <c r="R16" s="256">
        <v>110987.7</v>
      </c>
      <c r="S16" s="256">
        <v>569987.69999999995</v>
      </c>
      <c r="T16" s="249"/>
      <c r="U16" s="251"/>
      <c r="V16" s="250"/>
      <c r="W16" s="250"/>
      <c r="X16" s="251"/>
      <c r="Y16" s="250"/>
    </row>
    <row r="17" spans="1:25" s="252" customFormat="1" hidden="1">
      <c r="A17" s="243">
        <v>11300</v>
      </c>
      <c r="B17" s="243" t="s">
        <v>974</v>
      </c>
      <c r="C17" s="244" t="s">
        <v>979</v>
      </c>
      <c r="D17" s="244" t="s">
        <v>980</v>
      </c>
      <c r="E17" s="245">
        <v>16300</v>
      </c>
      <c r="F17" s="244" t="s">
        <v>449</v>
      </c>
      <c r="G17" s="244" t="s">
        <v>442</v>
      </c>
      <c r="H17" s="253">
        <v>165440</v>
      </c>
      <c r="I17" s="254">
        <v>178440</v>
      </c>
      <c r="J17" s="254">
        <v>178440</v>
      </c>
      <c r="K17" s="255">
        <v>178440</v>
      </c>
      <c r="L17" s="255">
        <v>178440</v>
      </c>
      <c r="M17" s="255">
        <v>178440</v>
      </c>
      <c r="N17" s="254">
        <v>178440</v>
      </c>
      <c r="O17" s="256">
        <v>178440</v>
      </c>
      <c r="P17" s="256">
        <v>178440</v>
      </c>
      <c r="Q17" s="256">
        <v>178440</v>
      </c>
      <c r="R17" s="256">
        <v>178440</v>
      </c>
      <c r="S17" s="256">
        <v>178440</v>
      </c>
      <c r="T17" s="249"/>
      <c r="U17" s="251"/>
      <c r="V17" s="250"/>
      <c r="W17" s="250"/>
      <c r="X17" s="251"/>
      <c r="Y17" s="250"/>
    </row>
    <row r="18" spans="1:25" s="252" customFormat="1" hidden="1">
      <c r="A18" s="243">
        <v>11300</v>
      </c>
      <c r="B18" s="243" t="s">
        <v>974</v>
      </c>
      <c r="C18" s="244" t="s">
        <v>981</v>
      </c>
      <c r="D18" s="244" t="s">
        <v>982</v>
      </c>
      <c r="E18" s="245">
        <v>16300</v>
      </c>
      <c r="F18" s="244" t="s">
        <v>449</v>
      </c>
      <c r="G18" s="244" t="s">
        <v>442</v>
      </c>
      <c r="H18" s="253">
        <v>612308.4</v>
      </c>
      <c r="I18" s="254">
        <v>1023208.4</v>
      </c>
      <c r="J18" s="254">
        <v>1229424.3999999999</v>
      </c>
      <c r="K18" s="255">
        <v>1229424.3999999999</v>
      </c>
      <c r="L18" s="255">
        <v>1229424.3999999999</v>
      </c>
      <c r="M18" s="255">
        <v>1229424.3999999999</v>
      </c>
      <c r="N18" s="254">
        <v>1229424.3999999999</v>
      </c>
      <c r="O18" s="256">
        <v>1229424.3999999999</v>
      </c>
      <c r="P18" s="256">
        <v>1229424.3999999999</v>
      </c>
      <c r="Q18" s="256">
        <v>1478924.4</v>
      </c>
      <c r="R18" s="256">
        <v>1478924.4</v>
      </c>
      <c r="S18" s="256">
        <v>1478924.4</v>
      </c>
      <c r="T18" s="249"/>
      <c r="U18" s="251"/>
      <c r="V18" s="250"/>
      <c r="W18" s="250"/>
      <c r="X18" s="251"/>
      <c r="Y18" s="250"/>
    </row>
    <row r="19" spans="1:25" s="252" customFormat="1" hidden="1">
      <c r="A19" s="243">
        <v>11500</v>
      </c>
      <c r="B19" s="243" t="s">
        <v>983</v>
      </c>
      <c r="C19" s="244" t="s">
        <v>984</v>
      </c>
      <c r="D19" s="244" t="s">
        <v>985</v>
      </c>
      <c r="E19" s="245">
        <v>16305</v>
      </c>
      <c r="F19" s="244" t="s">
        <v>454</v>
      </c>
      <c r="G19" s="244" t="s">
        <v>442</v>
      </c>
      <c r="H19" s="253">
        <v>1837031.41</v>
      </c>
      <c r="I19" s="254">
        <v>1837031.41</v>
      </c>
      <c r="J19" s="254">
        <v>1837031.41</v>
      </c>
      <c r="K19" s="255">
        <v>1837031.41</v>
      </c>
      <c r="L19" s="255">
        <v>1837031.41</v>
      </c>
      <c r="M19" s="255">
        <v>1837031.41</v>
      </c>
      <c r="N19" s="254">
        <v>1837031.41</v>
      </c>
      <c r="O19" s="256">
        <v>1837031.41</v>
      </c>
      <c r="P19" s="256">
        <v>1837031.41</v>
      </c>
      <c r="Q19" s="256">
        <v>1837031.41</v>
      </c>
      <c r="R19" s="256">
        <v>1837031.41</v>
      </c>
      <c r="S19" s="256">
        <v>1837031.41</v>
      </c>
      <c r="T19" s="249"/>
      <c r="U19" s="251"/>
      <c r="V19" s="250"/>
      <c r="W19" s="250"/>
      <c r="X19" s="251"/>
      <c r="Y19" s="250"/>
    </row>
    <row r="20" spans="1:25" s="252" customFormat="1" hidden="1">
      <c r="A20" s="243">
        <v>11500</v>
      </c>
      <c r="B20" s="243" t="s">
        <v>983</v>
      </c>
      <c r="C20" s="244" t="s">
        <v>986</v>
      </c>
      <c r="D20" s="244" t="s">
        <v>987</v>
      </c>
      <c r="E20" s="245">
        <v>16306</v>
      </c>
      <c r="F20" s="244" t="s">
        <v>455</v>
      </c>
      <c r="G20" s="244" t="s">
        <v>442</v>
      </c>
      <c r="H20" s="253">
        <v>20700</v>
      </c>
      <c r="I20" s="254">
        <v>20700</v>
      </c>
      <c r="J20" s="254">
        <v>20700</v>
      </c>
      <c r="K20" s="255">
        <v>20700</v>
      </c>
      <c r="L20" s="255">
        <v>20700</v>
      </c>
      <c r="M20" s="255">
        <v>20700</v>
      </c>
      <c r="N20" s="254">
        <v>20700</v>
      </c>
      <c r="O20" s="256">
        <v>20700</v>
      </c>
      <c r="P20" s="256">
        <v>20700</v>
      </c>
      <c r="Q20" s="256">
        <v>20700</v>
      </c>
      <c r="R20" s="256">
        <v>20700</v>
      </c>
      <c r="S20" s="256">
        <v>20700</v>
      </c>
      <c r="T20" s="249"/>
      <c r="U20" s="251"/>
      <c r="V20" s="250"/>
      <c r="W20" s="250"/>
      <c r="X20" s="251"/>
    </row>
    <row r="21" spans="1:25" s="252" customFormat="1" hidden="1">
      <c r="A21" s="243">
        <v>11500</v>
      </c>
      <c r="B21" s="243" t="s">
        <v>983</v>
      </c>
      <c r="C21" s="244" t="s">
        <v>988</v>
      </c>
      <c r="D21" s="244" t="s">
        <v>989</v>
      </c>
      <c r="E21" s="245">
        <v>16306</v>
      </c>
      <c r="F21" s="244" t="s">
        <v>455</v>
      </c>
      <c r="G21" s="244" t="s">
        <v>442</v>
      </c>
      <c r="H21" s="253">
        <v>1746501.37</v>
      </c>
      <c r="I21" s="254">
        <v>1760871.37</v>
      </c>
      <c r="J21" s="254">
        <v>1760871.37</v>
      </c>
      <c r="K21" s="255">
        <v>1760871.37</v>
      </c>
      <c r="L21" s="255">
        <v>1760871.37</v>
      </c>
      <c r="M21" s="255">
        <v>1760871.37</v>
      </c>
      <c r="N21" s="254">
        <v>1760871.37</v>
      </c>
      <c r="O21" s="256">
        <v>1760871.37</v>
      </c>
      <c r="P21" s="256">
        <v>1760871.37</v>
      </c>
      <c r="Q21" s="256">
        <v>1760871.37</v>
      </c>
      <c r="R21" s="256">
        <v>1760871.37</v>
      </c>
      <c r="S21" s="256">
        <v>1760871.37</v>
      </c>
      <c r="T21" s="249"/>
      <c r="U21" s="251"/>
      <c r="V21" s="250"/>
      <c r="W21" s="250"/>
      <c r="X21" s="251"/>
    </row>
    <row r="22" spans="1:25" s="252" customFormat="1" hidden="1">
      <c r="A22" s="243">
        <v>11700</v>
      </c>
      <c r="B22" s="243" t="s">
        <v>990</v>
      </c>
      <c r="C22" s="244" t="s">
        <v>991</v>
      </c>
      <c r="D22" s="244" t="s">
        <v>992</v>
      </c>
      <c r="E22" s="245">
        <v>16311</v>
      </c>
      <c r="F22" s="244" t="s">
        <v>460</v>
      </c>
      <c r="G22" s="244" t="s">
        <v>442</v>
      </c>
      <c r="H22" s="254">
        <v>1897957.31</v>
      </c>
      <c r="I22" s="257">
        <v>1897957.31</v>
      </c>
      <c r="J22" s="257">
        <v>1897957.31</v>
      </c>
      <c r="K22" s="257">
        <v>1897957.31</v>
      </c>
      <c r="L22" s="258">
        <v>1897957.31</v>
      </c>
      <c r="M22" s="258">
        <v>1897957.31</v>
      </c>
      <c r="N22" s="257">
        <v>1897957.31</v>
      </c>
      <c r="O22" s="257">
        <v>1897957.31</v>
      </c>
      <c r="P22" s="257">
        <v>1897957.31</v>
      </c>
      <c r="Q22" s="259">
        <v>1897957.31</v>
      </c>
      <c r="R22" s="259">
        <v>1897957.31</v>
      </c>
      <c r="S22" s="259">
        <v>1897957.31</v>
      </c>
      <c r="T22" s="249"/>
      <c r="U22" s="250"/>
      <c r="V22" s="250"/>
      <c r="W22" s="250"/>
      <c r="X22" s="251"/>
    </row>
    <row r="23" spans="1:25" s="252" customFormat="1" hidden="1">
      <c r="A23" s="243">
        <v>11700</v>
      </c>
      <c r="B23" s="243" t="s">
        <v>990</v>
      </c>
      <c r="C23" s="244" t="s">
        <v>993</v>
      </c>
      <c r="D23" s="244" t="s">
        <v>992</v>
      </c>
      <c r="E23" s="245">
        <v>16304</v>
      </c>
      <c r="F23" s="244" t="s">
        <v>453</v>
      </c>
      <c r="G23" s="244" t="s">
        <v>442</v>
      </c>
      <c r="H23" s="253">
        <v>5155.2</v>
      </c>
      <c r="I23" s="254">
        <v>5155.2</v>
      </c>
      <c r="J23" s="254">
        <v>5155.2</v>
      </c>
      <c r="K23" s="255">
        <v>5155.2</v>
      </c>
      <c r="L23" s="255">
        <v>5155.2</v>
      </c>
      <c r="M23" s="255">
        <v>5155.2</v>
      </c>
      <c r="N23" s="254">
        <v>5155.2</v>
      </c>
      <c r="O23" s="256">
        <v>5155.2</v>
      </c>
      <c r="P23" s="256">
        <v>5155.2</v>
      </c>
      <c r="Q23" s="256">
        <v>5155.2</v>
      </c>
      <c r="R23" s="256">
        <v>5155.2</v>
      </c>
      <c r="S23" s="256">
        <v>5155.2</v>
      </c>
      <c r="T23" s="249"/>
      <c r="U23" s="251"/>
      <c r="V23" s="250"/>
      <c r="W23" s="250"/>
      <c r="X23" s="251"/>
    </row>
    <row r="24" spans="1:25" s="252" customFormat="1" hidden="1">
      <c r="A24" s="243">
        <v>11400</v>
      </c>
      <c r="B24" s="243" t="s">
        <v>994</v>
      </c>
      <c r="C24" s="244" t="s">
        <v>995</v>
      </c>
      <c r="D24" s="244" t="s">
        <v>996</v>
      </c>
      <c r="E24" s="245">
        <v>16308</v>
      </c>
      <c r="F24" s="244" t="s">
        <v>457</v>
      </c>
      <c r="G24" s="244" t="s">
        <v>442</v>
      </c>
      <c r="H24" s="260">
        <f>8754186-8754186+35000</f>
        <v>35000</v>
      </c>
      <c r="I24" s="260">
        <f>8798986-8798986+35000+44800</f>
        <v>79800</v>
      </c>
      <c r="J24" s="260">
        <f t="shared" ref="J24:N24" si="0">10323046-8798986+35000+44800-1524060</f>
        <v>79800</v>
      </c>
      <c r="K24" s="260">
        <f t="shared" si="0"/>
        <v>79800</v>
      </c>
      <c r="L24" s="260">
        <f t="shared" si="0"/>
        <v>79800</v>
      </c>
      <c r="M24" s="261">
        <f t="shared" si="0"/>
        <v>79800</v>
      </c>
      <c r="N24" s="260">
        <f t="shared" si="0"/>
        <v>79800</v>
      </c>
      <c r="O24" s="260">
        <f>10323046-8798986+35000+44800-1524060</f>
        <v>79800</v>
      </c>
      <c r="P24" s="262">
        <f>10350131-8798986+35000+44800-1524060</f>
        <v>106885</v>
      </c>
      <c r="Q24" s="262">
        <f>10350131-8798986+35000+44800-1524060</f>
        <v>106885</v>
      </c>
      <c r="R24" s="262">
        <f>10350131-8798986+35000+44800-1524060</f>
        <v>106885</v>
      </c>
      <c r="S24" s="262">
        <f>12713331-8798986+35000+44800-1524060-2363200</f>
        <v>106885</v>
      </c>
      <c r="T24" s="249"/>
      <c r="U24" s="250" t="s">
        <v>997</v>
      </c>
      <c r="V24" s="250"/>
      <c r="W24" s="250"/>
      <c r="X24" s="251"/>
    </row>
    <row r="25" spans="1:25" s="252" customFormat="1" hidden="1">
      <c r="A25" s="243">
        <v>11800</v>
      </c>
      <c r="B25" s="243" t="s">
        <v>998</v>
      </c>
      <c r="C25" s="244" t="s">
        <v>999</v>
      </c>
      <c r="D25" s="244" t="s">
        <v>1000</v>
      </c>
      <c r="E25" s="245">
        <v>16721</v>
      </c>
      <c r="F25" s="244" t="s">
        <v>478</v>
      </c>
      <c r="G25" s="244" t="s">
        <v>442</v>
      </c>
      <c r="H25" s="253">
        <v>18917942.75</v>
      </c>
      <c r="I25" s="254">
        <v>20609978.73</v>
      </c>
      <c r="J25" s="254">
        <v>20609978.73</v>
      </c>
      <c r="K25" s="255">
        <v>21113978.73</v>
      </c>
      <c r="L25" s="255">
        <v>21052478.780000001</v>
      </c>
      <c r="M25" s="255">
        <v>21042978.780000001</v>
      </c>
      <c r="N25" s="254">
        <v>21520893.670000002</v>
      </c>
      <c r="O25" s="256">
        <v>22042405.870000001</v>
      </c>
      <c r="P25" s="256">
        <v>22042405.870000001</v>
      </c>
      <c r="Q25" s="256">
        <v>22736461.870000001</v>
      </c>
      <c r="R25" s="256">
        <v>22736461.870000001</v>
      </c>
      <c r="S25" s="256">
        <v>22736461.82</v>
      </c>
      <c r="T25" s="249"/>
      <c r="U25" s="251"/>
      <c r="V25" s="250"/>
      <c r="W25" s="250"/>
      <c r="X25" s="251"/>
    </row>
    <row r="26" spans="1:25" s="252" customFormat="1" hidden="1">
      <c r="A26" s="243">
        <v>11800</v>
      </c>
      <c r="B26" s="243" t="s">
        <v>998</v>
      </c>
      <c r="C26" s="244" t="s">
        <v>1001</v>
      </c>
      <c r="D26" s="244" t="s">
        <v>1002</v>
      </c>
      <c r="E26" s="245">
        <v>16721</v>
      </c>
      <c r="F26" s="244" t="s">
        <v>478</v>
      </c>
      <c r="G26" s="244" t="s">
        <v>442</v>
      </c>
      <c r="H26" s="253">
        <v>62085</v>
      </c>
      <c r="I26" s="254">
        <v>106885</v>
      </c>
      <c r="J26" s="254">
        <v>106885</v>
      </c>
      <c r="K26" s="255">
        <v>106885</v>
      </c>
      <c r="L26" s="255">
        <v>106885</v>
      </c>
      <c r="M26" s="255">
        <v>106885</v>
      </c>
      <c r="N26" s="254">
        <v>106885</v>
      </c>
      <c r="O26" s="256">
        <v>106885</v>
      </c>
      <c r="P26" s="256">
        <v>1781885</v>
      </c>
      <c r="Q26" s="256">
        <v>1781885</v>
      </c>
      <c r="R26" s="256">
        <v>1781885</v>
      </c>
      <c r="S26" s="256">
        <f>1781885-1675000</f>
        <v>106885</v>
      </c>
      <c r="T26" s="249"/>
      <c r="U26" s="251"/>
      <c r="V26" s="250"/>
      <c r="W26" s="250"/>
      <c r="X26" s="251"/>
    </row>
    <row r="27" spans="1:25" s="252" customFormat="1" hidden="1">
      <c r="A27" s="243">
        <v>11800</v>
      </c>
      <c r="B27" s="243" t="s">
        <v>998</v>
      </c>
      <c r="C27" s="244" t="s">
        <v>1003</v>
      </c>
      <c r="D27" s="244" t="s">
        <v>1004</v>
      </c>
      <c r="E27" s="245">
        <v>16721</v>
      </c>
      <c r="F27" s="244" t="s">
        <v>478</v>
      </c>
      <c r="G27" s="244" t="s">
        <v>442</v>
      </c>
      <c r="H27" s="253">
        <v>841085.8</v>
      </c>
      <c r="I27" s="254">
        <v>854085.8</v>
      </c>
      <c r="J27" s="254">
        <v>997585.8</v>
      </c>
      <c r="K27" s="255">
        <v>997585.8</v>
      </c>
      <c r="L27" s="255">
        <v>997585.8</v>
      </c>
      <c r="M27" s="255">
        <v>997585.8</v>
      </c>
      <c r="N27" s="254">
        <v>997585.8</v>
      </c>
      <c r="O27" s="256">
        <v>997585.8</v>
      </c>
      <c r="P27" s="256">
        <v>997585.8</v>
      </c>
      <c r="Q27" s="256">
        <v>1172235.8</v>
      </c>
      <c r="R27" s="256">
        <v>1172235.8</v>
      </c>
      <c r="S27" s="256">
        <v>1172235.8</v>
      </c>
      <c r="T27" s="249"/>
      <c r="U27" s="251"/>
      <c r="V27" s="250"/>
      <c r="W27" s="250"/>
      <c r="X27" s="251"/>
    </row>
    <row r="28" spans="1:25" s="252" customFormat="1" hidden="1">
      <c r="A28" s="243">
        <v>11800</v>
      </c>
      <c r="B28" s="243" t="s">
        <v>998</v>
      </c>
      <c r="C28" s="244" t="s">
        <v>1005</v>
      </c>
      <c r="D28" s="244" t="s">
        <v>1006</v>
      </c>
      <c r="E28" s="245">
        <v>16721</v>
      </c>
      <c r="F28" s="244" t="s">
        <v>478</v>
      </c>
      <c r="G28" s="244" t="s">
        <v>442</v>
      </c>
      <c r="H28" s="253">
        <v>17400</v>
      </c>
      <c r="I28" s="254">
        <v>30400</v>
      </c>
      <c r="J28" s="254">
        <v>30400</v>
      </c>
      <c r="K28" s="255">
        <v>30400</v>
      </c>
      <c r="L28" s="255">
        <v>30400</v>
      </c>
      <c r="M28" s="255">
        <v>30400</v>
      </c>
      <c r="N28" s="254">
        <v>30400</v>
      </c>
      <c r="O28" s="256">
        <v>30400</v>
      </c>
      <c r="P28" s="256">
        <v>30400</v>
      </c>
      <c r="Q28" s="256">
        <v>30400</v>
      </c>
      <c r="R28" s="256">
        <v>30400</v>
      </c>
      <c r="S28" s="256">
        <v>30400</v>
      </c>
      <c r="T28" s="249"/>
      <c r="U28" s="251"/>
      <c r="V28" s="250"/>
      <c r="W28" s="250"/>
      <c r="X28" s="251"/>
    </row>
    <row r="29" spans="1:25" s="252" customFormat="1" hidden="1">
      <c r="A29" s="243">
        <v>11800</v>
      </c>
      <c r="B29" s="243" t="s">
        <v>998</v>
      </c>
      <c r="C29" s="244" t="s">
        <v>1007</v>
      </c>
      <c r="D29" s="244" t="s">
        <v>1008</v>
      </c>
      <c r="E29" s="245">
        <v>16721</v>
      </c>
      <c r="F29" s="244" t="s">
        <v>478</v>
      </c>
      <c r="G29" s="244" t="s">
        <v>442</v>
      </c>
      <c r="H29" s="253">
        <v>107053.57</v>
      </c>
      <c r="I29" s="254">
        <v>107053.57</v>
      </c>
      <c r="J29" s="254">
        <v>107053.57</v>
      </c>
      <c r="K29" s="255">
        <v>107053.57</v>
      </c>
      <c r="L29" s="255">
        <v>129553.57</v>
      </c>
      <c r="M29" s="255">
        <v>175791.27</v>
      </c>
      <c r="N29" s="254">
        <v>175791.27</v>
      </c>
      <c r="O29" s="256">
        <v>175791.27</v>
      </c>
      <c r="P29" s="256">
        <v>175791.27</v>
      </c>
      <c r="Q29" s="256">
        <v>234291.27</v>
      </c>
      <c r="R29" s="256">
        <v>360291.27</v>
      </c>
      <c r="S29" s="256">
        <v>693291.27</v>
      </c>
      <c r="T29" s="249"/>
      <c r="U29" s="251"/>
      <c r="V29" s="250"/>
      <c r="W29" s="250"/>
      <c r="X29" s="251"/>
    </row>
    <row r="30" spans="1:25" s="252" customFormat="1" hidden="1">
      <c r="A30" s="243">
        <v>11800</v>
      </c>
      <c r="B30" s="243" t="s">
        <v>998</v>
      </c>
      <c r="C30" s="244" t="s">
        <v>1009</v>
      </c>
      <c r="D30" s="244" t="s">
        <v>1010</v>
      </c>
      <c r="E30" s="245">
        <v>16721</v>
      </c>
      <c r="F30" s="244" t="s">
        <v>478</v>
      </c>
      <c r="G30" s="244" t="s">
        <v>442</v>
      </c>
      <c r="H30" s="253">
        <v>-35628738.890000001</v>
      </c>
      <c r="I30" s="254">
        <v>-40485314.399999999</v>
      </c>
      <c r="J30" s="254">
        <v>-40691530.399999999</v>
      </c>
      <c r="K30" s="255">
        <v>-40691530.399999999</v>
      </c>
      <c r="L30" s="255">
        <v>-40691530.399999999</v>
      </c>
      <c r="M30" s="255">
        <v>-40691530.399999999</v>
      </c>
      <c r="N30" s="254">
        <v>-40691530.399999999</v>
      </c>
      <c r="O30" s="256">
        <v>-40691530.399999999</v>
      </c>
      <c r="P30" s="256">
        <v>-40718615.399999999</v>
      </c>
      <c r="Q30" s="256">
        <v>-43259073.990000002</v>
      </c>
      <c r="R30" s="256">
        <v>-43259073.990000002</v>
      </c>
      <c r="S30" s="256">
        <v>-43718073.990000002</v>
      </c>
      <c r="T30" s="249"/>
      <c r="U30" s="251"/>
      <c r="V30" s="250"/>
      <c r="W30" s="250"/>
      <c r="X30" s="251"/>
    </row>
    <row r="31" spans="1:25" s="252" customFormat="1" hidden="1">
      <c r="A31" s="243">
        <v>11800</v>
      </c>
      <c r="B31" s="243" t="s">
        <v>998</v>
      </c>
      <c r="C31" s="244" t="s">
        <v>1011</v>
      </c>
      <c r="D31" s="244" t="s">
        <v>1012</v>
      </c>
      <c r="E31" s="245">
        <v>16721</v>
      </c>
      <c r="F31" s="244" t="s">
        <v>478</v>
      </c>
      <c r="G31" s="244" t="s">
        <v>442</v>
      </c>
      <c r="H31" s="253">
        <v>20340928.300000001</v>
      </c>
      <c r="I31" s="254">
        <v>20340928.300000001</v>
      </c>
      <c r="J31" s="254">
        <v>20340928.300000001</v>
      </c>
      <c r="K31" s="255">
        <v>20340928.300000001</v>
      </c>
      <c r="L31" s="255">
        <v>20340928.300000001</v>
      </c>
      <c r="M31" s="255">
        <v>20340928.300000001</v>
      </c>
      <c r="N31" s="254">
        <v>20340928.300000001</v>
      </c>
      <c r="O31" s="256">
        <v>20340928.300000001</v>
      </c>
      <c r="P31" s="256">
        <v>20340928.300000001</v>
      </c>
      <c r="Q31" s="256">
        <v>20340928.300000001</v>
      </c>
      <c r="R31" s="256">
        <v>20340928.300000001</v>
      </c>
      <c r="S31" s="256">
        <v>20340928.300000001</v>
      </c>
      <c r="T31" s="249"/>
      <c r="U31" s="251"/>
      <c r="V31" s="250"/>
      <c r="W31" s="250"/>
      <c r="X31" s="251"/>
    </row>
    <row r="32" spans="1:25" s="252" customFormat="1" hidden="1">
      <c r="A32" s="243">
        <v>11600</v>
      </c>
      <c r="B32" s="243" t="s">
        <v>1013</v>
      </c>
      <c r="C32" s="244" t="s">
        <v>1014</v>
      </c>
      <c r="D32" s="244" t="s">
        <v>1015</v>
      </c>
      <c r="E32" s="245">
        <v>16304</v>
      </c>
      <c r="F32" s="244" t="s">
        <v>453</v>
      </c>
      <c r="G32" s="244" t="s">
        <v>442</v>
      </c>
      <c r="H32" s="253">
        <v>306358.90999999997</v>
      </c>
      <c r="I32" s="254">
        <v>306358.90999999997</v>
      </c>
      <c r="J32" s="254">
        <v>306358.90999999997</v>
      </c>
      <c r="K32" s="255">
        <v>306358.90999999997</v>
      </c>
      <c r="L32" s="255">
        <v>306358.90999999997</v>
      </c>
      <c r="M32" s="255">
        <v>306358.90999999997</v>
      </c>
      <c r="N32" s="254">
        <v>306358.90999999997</v>
      </c>
      <c r="O32" s="256">
        <v>306358.90999999997</v>
      </c>
      <c r="P32" s="256">
        <v>306358.90999999997</v>
      </c>
      <c r="Q32" s="256">
        <v>306358.90999999997</v>
      </c>
      <c r="R32" s="256">
        <v>306358.90999999997</v>
      </c>
      <c r="S32" s="256">
        <v>306358.90999999997</v>
      </c>
      <c r="T32" s="249"/>
      <c r="U32" s="251"/>
      <c r="V32" s="250"/>
      <c r="W32" s="250"/>
      <c r="X32" s="251"/>
    </row>
    <row r="33" spans="1:24" s="252" customFormat="1" hidden="1">
      <c r="A33" s="243">
        <v>11108</v>
      </c>
      <c r="B33" s="243" t="s">
        <v>1016</v>
      </c>
      <c r="C33" s="244" t="s">
        <v>1017</v>
      </c>
      <c r="D33" s="244" t="s">
        <v>1018</v>
      </c>
      <c r="E33" s="245">
        <v>16401</v>
      </c>
      <c r="F33" s="244" t="s">
        <v>462</v>
      </c>
      <c r="G33" s="244" t="s">
        <v>445</v>
      </c>
      <c r="H33" s="253">
        <v>-1464815.54</v>
      </c>
      <c r="I33" s="254">
        <v>-1515957.21</v>
      </c>
      <c r="J33" s="254">
        <v>-1567098.86</v>
      </c>
      <c r="K33" s="255">
        <v>-1618240.53</v>
      </c>
      <c r="L33" s="255">
        <v>-1669382.18</v>
      </c>
      <c r="M33" s="255">
        <v>-1720523.85</v>
      </c>
      <c r="N33" s="254">
        <v>-1771665.5</v>
      </c>
      <c r="O33" s="256">
        <v>-1822807.17</v>
      </c>
      <c r="P33" s="256">
        <v>-1873948.82</v>
      </c>
      <c r="Q33" s="256">
        <v>-1925090.5</v>
      </c>
      <c r="R33" s="256">
        <v>-1976232.14</v>
      </c>
      <c r="S33" s="256">
        <v>-2027373.82</v>
      </c>
      <c r="T33" s="249"/>
      <c r="U33" s="251"/>
      <c r="V33" s="250"/>
      <c r="W33" s="250"/>
      <c r="X33" s="251"/>
    </row>
    <row r="34" spans="1:24" s="252" customFormat="1" hidden="1">
      <c r="A34" s="243">
        <v>11008</v>
      </c>
      <c r="B34" s="243" t="s">
        <v>1019</v>
      </c>
      <c r="C34" s="244" t="s">
        <v>1020</v>
      </c>
      <c r="D34" s="244" t="s">
        <v>1021</v>
      </c>
      <c r="E34" s="245"/>
      <c r="F34" s="244"/>
      <c r="G34" s="244"/>
      <c r="H34" s="253">
        <v>0</v>
      </c>
      <c r="I34" s="254">
        <v>0</v>
      </c>
      <c r="J34" s="254">
        <v>0</v>
      </c>
      <c r="K34" s="255">
        <v>0</v>
      </c>
      <c r="L34" s="255">
        <v>0</v>
      </c>
      <c r="M34" s="255">
        <v>0</v>
      </c>
      <c r="N34" s="254">
        <v>0</v>
      </c>
      <c r="O34" s="256">
        <v>0</v>
      </c>
      <c r="P34" s="256">
        <v>0</v>
      </c>
      <c r="Q34" s="256">
        <v>0</v>
      </c>
      <c r="R34" s="256">
        <v>0</v>
      </c>
      <c r="S34" s="256">
        <v>0</v>
      </c>
      <c r="T34" s="249"/>
      <c r="U34" s="251"/>
      <c r="V34" s="250"/>
      <c r="W34" s="250"/>
      <c r="X34" s="251"/>
    </row>
    <row r="35" spans="1:24" s="252" customFormat="1" hidden="1">
      <c r="A35" s="243">
        <v>11208</v>
      </c>
      <c r="B35" s="243" t="s">
        <v>1022</v>
      </c>
      <c r="C35" s="244" t="s">
        <v>1023</v>
      </c>
      <c r="D35" s="244" t="s">
        <v>1024</v>
      </c>
      <c r="E35" s="245">
        <v>16400</v>
      </c>
      <c r="F35" s="244" t="s">
        <v>461</v>
      </c>
      <c r="G35" s="244" t="s">
        <v>445</v>
      </c>
      <c r="H35" s="253">
        <v>-4683966.38</v>
      </c>
      <c r="I35" s="254">
        <v>-4840307.13</v>
      </c>
      <c r="J35" s="254">
        <v>-4996829.74</v>
      </c>
      <c r="K35" s="255">
        <v>-5153352.4000000004</v>
      </c>
      <c r="L35" s="255">
        <v>-5309875.0199999996</v>
      </c>
      <c r="M35" s="255">
        <v>-5466397.6799999997</v>
      </c>
      <c r="N35" s="254">
        <v>-5622920.29</v>
      </c>
      <c r="O35" s="256">
        <v>-5779442.9500000002</v>
      </c>
      <c r="P35" s="256">
        <v>-5935965.5599999996</v>
      </c>
      <c r="Q35" s="256">
        <v>-6092511.1399999997</v>
      </c>
      <c r="R35" s="256">
        <v>-6249270.6600000001</v>
      </c>
      <c r="S35" s="256">
        <v>-6406030.2199999997</v>
      </c>
      <c r="T35" s="249"/>
      <c r="U35" s="251"/>
      <c r="V35" s="250"/>
      <c r="W35" s="250"/>
      <c r="X35" s="251"/>
    </row>
    <row r="36" spans="1:24" s="252" customFormat="1" hidden="1">
      <c r="A36" s="243">
        <v>11308</v>
      </c>
      <c r="B36" s="243" t="s">
        <v>1025</v>
      </c>
      <c r="C36" s="244" t="s">
        <v>1026</v>
      </c>
      <c r="D36" s="244" t="s">
        <v>1027</v>
      </c>
      <c r="E36" s="245">
        <v>16400</v>
      </c>
      <c r="F36" s="244" t="s">
        <v>461</v>
      </c>
      <c r="G36" s="244" t="s">
        <v>445</v>
      </c>
      <c r="H36" s="253">
        <v>-2816398.14</v>
      </c>
      <c r="I36" s="254">
        <v>-2972000.87</v>
      </c>
      <c r="J36" s="254">
        <v>-3185700.04</v>
      </c>
      <c r="K36" s="255">
        <v>-3399399.18</v>
      </c>
      <c r="L36" s="255">
        <v>-3613098.35</v>
      </c>
      <c r="M36" s="255">
        <v>-3826797.5</v>
      </c>
      <c r="N36" s="254">
        <v>-4040496.65</v>
      </c>
      <c r="O36" s="256">
        <v>-4254195.8099999996</v>
      </c>
      <c r="P36" s="256">
        <v>-4467894.96</v>
      </c>
      <c r="Q36" s="256">
        <v>-4681594.12</v>
      </c>
      <c r="R36" s="256">
        <v>-4895293.26</v>
      </c>
      <c r="S36" s="256">
        <v>-5108992.42</v>
      </c>
      <c r="T36" s="249"/>
      <c r="U36" s="251"/>
      <c r="V36" s="250"/>
      <c r="W36" s="250"/>
      <c r="X36" s="251"/>
    </row>
    <row r="37" spans="1:24" s="252" customFormat="1" hidden="1">
      <c r="A37" s="243">
        <v>11308</v>
      </c>
      <c r="B37" s="243" t="s">
        <v>1025</v>
      </c>
      <c r="C37" s="244" t="s">
        <v>1028</v>
      </c>
      <c r="D37" s="244" t="s">
        <v>1029</v>
      </c>
      <c r="E37" s="245">
        <v>16400</v>
      </c>
      <c r="F37" s="244" t="s">
        <v>461</v>
      </c>
      <c r="G37" s="244" t="s">
        <v>445</v>
      </c>
      <c r="H37" s="253">
        <v>-10026.64</v>
      </c>
      <c r="I37" s="254">
        <v>-12533.3</v>
      </c>
      <c r="J37" s="254">
        <v>-15213.29</v>
      </c>
      <c r="K37" s="255">
        <v>-17893.28</v>
      </c>
      <c r="L37" s="255">
        <v>-20573.27</v>
      </c>
      <c r="M37" s="255">
        <v>-23253.26</v>
      </c>
      <c r="N37" s="254">
        <v>-25933.25</v>
      </c>
      <c r="O37" s="256">
        <v>-28613.25</v>
      </c>
      <c r="P37" s="256">
        <v>-31293.24</v>
      </c>
      <c r="Q37" s="256">
        <v>-33973.24</v>
      </c>
      <c r="R37" s="256">
        <v>-36653.230000000003</v>
      </c>
      <c r="S37" s="256">
        <v>-39333.230000000003</v>
      </c>
      <c r="T37" s="249"/>
      <c r="U37" s="251"/>
      <c r="V37" s="250"/>
      <c r="W37" s="250"/>
      <c r="X37" s="251"/>
    </row>
    <row r="38" spans="1:24" s="252" customFormat="1" hidden="1">
      <c r="A38" s="243">
        <v>11308</v>
      </c>
      <c r="B38" s="243" t="s">
        <v>1025</v>
      </c>
      <c r="C38" s="244" t="s">
        <v>1030</v>
      </c>
      <c r="D38" s="244" t="s">
        <v>1031</v>
      </c>
      <c r="E38" s="245">
        <v>16400</v>
      </c>
      <c r="F38" s="244" t="s">
        <v>461</v>
      </c>
      <c r="G38" s="244" t="s">
        <v>445</v>
      </c>
      <c r="H38" s="253">
        <v>-136127.54</v>
      </c>
      <c r="I38" s="254">
        <v>-145335.99</v>
      </c>
      <c r="J38" s="254">
        <v>-162772.64000000001</v>
      </c>
      <c r="K38" s="255">
        <v>-180209.3</v>
      </c>
      <c r="L38" s="255">
        <v>-197645.95</v>
      </c>
      <c r="M38" s="255">
        <v>-215082.61</v>
      </c>
      <c r="N38" s="254">
        <v>-232519.26</v>
      </c>
      <c r="O38" s="256">
        <v>-249955.93</v>
      </c>
      <c r="P38" s="256">
        <v>-267392.58</v>
      </c>
      <c r="Q38" s="256">
        <v>-284829.25</v>
      </c>
      <c r="R38" s="256">
        <v>-302265.90000000002</v>
      </c>
      <c r="S38" s="256">
        <v>-319702.57</v>
      </c>
      <c r="T38" s="249"/>
      <c r="U38" s="251"/>
      <c r="V38" s="250"/>
      <c r="W38" s="250"/>
      <c r="X38" s="251"/>
    </row>
    <row r="39" spans="1:24" s="252" customFormat="1" hidden="1">
      <c r="A39" s="243">
        <v>11508</v>
      </c>
      <c r="B39" s="243" t="s">
        <v>1032</v>
      </c>
      <c r="C39" s="244" t="s">
        <v>1033</v>
      </c>
      <c r="D39" s="244" t="s">
        <v>1034</v>
      </c>
      <c r="E39" s="245">
        <v>16405</v>
      </c>
      <c r="F39" s="244" t="s">
        <v>466</v>
      </c>
      <c r="G39" s="244" t="s">
        <v>445</v>
      </c>
      <c r="H39" s="253">
        <v>-925877.75</v>
      </c>
      <c r="I39" s="254">
        <v>-957289.96</v>
      </c>
      <c r="J39" s="254">
        <v>-988701.66</v>
      </c>
      <c r="K39" s="255">
        <v>-1020113.88</v>
      </c>
      <c r="L39" s="255">
        <v>-1051525.57</v>
      </c>
      <c r="M39" s="255">
        <v>-1082937.79</v>
      </c>
      <c r="N39" s="254">
        <v>-1114349.48</v>
      </c>
      <c r="O39" s="256">
        <v>-1145761.7</v>
      </c>
      <c r="P39" s="256">
        <v>-1177173.3799999999</v>
      </c>
      <c r="Q39" s="256">
        <v>-1208585.6000000001</v>
      </c>
      <c r="R39" s="256">
        <v>-1239997.26</v>
      </c>
      <c r="S39" s="256">
        <v>-1271409.51</v>
      </c>
      <c r="T39" s="249"/>
      <c r="U39" s="251"/>
      <c r="V39" s="250"/>
      <c r="W39" s="250"/>
      <c r="X39" s="251"/>
    </row>
    <row r="40" spans="1:24" s="252" customFormat="1" hidden="1">
      <c r="A40" s="243">
        <v>11508</v>
      </c>
      <c r="B40" s="243" t="s">
        <v>1032</v>
      </c>
      <c r="C40" s="244" t="s">
        <v>1035</v>
      </c>
      <c r="D40" s="263" t="s">
        <v>1036</v>
      </c>
      <c r="E40" s="245">
        <v>16406</v>
      </c>
      <c r="F40" s="244" t="s">
        <v>467</v>
      </c>
      <c r="G40" s="244" t="s">
        <v>445</v>
      </c>
      <c r="H40" s="253">
        <v>-11730</v>
      </c>
      <c r="I40" s="254">
        <v>-12075</v>
      </c>
      <c r="J40" s="254">
        <v>-12420</v>
      </c>
      <c r="K40" s="255">
        <v>-12765</v>
      </c>
      <c r="L40" s="255">
        <v>-13110</v>
      </c>
      <c r="M40" s="255">
        <v>-13455</v>
      </c>
      <c r="N40" s="254">
        <v>-13800</v>
      </c>
      <c r="O40" s="256">
        <v>-14145</v>
      </c>
      <c r="P40" s="256">
        <v>-14490</v>
      </c>
      <c r="Q40" s="256">
        <v>-14835</v>
      </c>
      <c r="R40" s="256">
        <v>-15180</v>
      </c>
      <c r="S40" s="256">
        <v>-15525</v>
      </c>
      <c r="T40" s="249"/>
      <c r="U40" s="251"/>
      <c r="V40" s="250"/>
      <c r="W40" s="250"/>
      <c r="X40" s="251"/>
    </row>
    <row r="41" spans="1:24" s="252" customFormat="1" hidden="1">
      <c r="A41" s="243">
        <v>11508</v>
      </c>
      <c r="B41" s="243" t="s">
        <v>1032</v>
      </c>
      <c r="C41" s="244" t="s">
        <v>1037</v>
      </c>
      <c r="D41" s="244" t="s">
        <v>1038</v>
      </c>
      <c r="E41" s="245">
        <v>16406</v>
      </c>
      <c r="F41" s="244" t="s">
        <v>467</v>
      </c>
      <c r="G41" s="244" t="s">
        <v>445</v>
      </c>
      <c r="H41" s="253">
        <v>-802358.13</v>
      </c>
      <c r="I41" s="254">
        <v>-832130.32</v>
      </c>
      <c r="J41" s="254">
        <v>-862094.09</v>
      </c>
      <c r="K41" s="255">
        <v>-892057.86</v>
      </c>
      <c r="L41" s="255">
        <v>-922021.64</v>
      </c>
      <c r="M41" s="255">
        <v>-951985.39</v>
      </c>
      <c r="N41" s="254">
        <v>-981827.78</v>
      </c>
      <c r="O41" s="256">
        <v>-1011670.14</v>
      </c>
      <c r="P41" s="256">
        <v>-1041512.53</v>
      </c>
      <c r="Q41" s="256">
        <v>-1071354.8999999999</v>
      </c>
      <c r="R41" s="256">
        <v>-1101197.29</v>
      </c>
      <c r="S41" s="256">
        <v>-1131039.6599999999</v>
      </c>
      <c r="T41" s="249"/>
      <c r="U41" s="251"/>
      <c r="V41" s="250"/>
      <c r="W41" s="250"/>
      <c r="X41" s="251"/>
    </row>
    <row r="42" spans="1:24" s="252" customFormat="1" ht="15" hidden="1" customHeight="1">
      <c r="A42" s="243">
        <v>11708</v>
      </c>
      <c r="B42" s="243" t="s">
        <v>1039</v>
      </c>
      <c r="C42" s="244" t="s">
        <v>1040</v>
      </c>
      <c r="D42" s="244" t="s">
        <v>1041</v>
      </c>
      <c r="E42" s="245">
        <v>16411</v>
      </c>
      <c r="F42" s="244" t="s">
        <v>472</v>
      </c>
      <c r="G42" s="244" t="s">
        <v>445</v>
      </c>
      <c r="H42" s="254">
        <v>-924593.28</v>
      </c>
      <c r="I42" s="257">
        <v>-958616.56</v>
      </c>
      <c r="J42" s="257">
        <v>-992639.82</v>
      </c>
      <c r="K42" s="257">
        <v>-1026663.08</v>
      </c>
      <c r="L42" s="258">
        <v>-1060686.33</v>
      </c>
      <c r="M42" s="258">
        <v>-1094709.5900000001</v>
      </c>
      <c r="N42" s="257">
        <v>-1128732.8400000001</v>
      </c>
      <c r="O42" s="257">
        <v>-1162756.1000000001</v>
      </c>
      <c r="P42" s="257">
        <v>-1196779.3500000001</v>
      </c>
      <c r="Q42" s="259">
        <v>-1230802.6299999999</v>
      </c>
      <c r="R42" s="259">
        <v>-1264825.8899999999</v>
      </c>
      <c r="S42" s="259">
        <v>-1298849.17</v>
      </c>
      <c r="T42" s="249"/>
      <c r="U42" s="250"/>
      <c r="V42" s="250"/>
      <c r="W42" s="250"/>
      <c r="X42" s="251"/>
    </row>
    <row r="43" spans="1:24" s="252" customFormat="1" hidden="1">
      <c r="A43" s="243">
        <v>11708</v>
      </c>
      <c r="B43" s="243" t="s">
        <v>1039</v>
      </c>
      <c r="C43" s="244" t="s">
        <v>1042</v>
      </c>
      <c r="D43" s="244" t="s">
        <v>1043</v>
      </c>
      <c r="E43" s="245">
        <v>16404</v>
      </c>
      <c r="F43" s="244" t="s">
        <v>465</v>
      </c>
      <c r="G43" s="244" t="s">
        <v>445</v>
      </c>
      <c r="H43" s="253">
        <v>-3175.95</v>
      </c>
      <c r="I43" s="254">
        <v>-3270.2</v>
      </c>
      <c r="J43" s="254">
        <v>-3364.45</v>
      </c>
      <c r="K43" s="255">
        <v>-3458.7</v>
      </c>
      <c r="L43" s="255">
        <v>-3552.95</v>
      </c>
      <c r="M43" s="255">
        <v>-3647.2</v>
      </c>
      <c r="N43" s="254">
        <v>-3741.45</v>
      </c>
      <c r="O43" s="256">
        <v>-3835.7</v>
      </c>
      <c r="P43" s="256">
        <v>-3929.95</v>
      </c>
      <c r="Q43" s="256">
        <v>-4024.2</v>
      </c>
      <c r="R43" s="256">
        <v>-4118.45</v>
      </c>
      <c r="S43" s="256">
        <v>-4212.7</v>
      </c>
      <c r="T43" s="249"/>
      <c r="U43" s="251"/>
      <c r="V43" s="250"/>
      <c r="W43" s="250"/>
      <c r="X43" s="251"/>
    </row>
    <row r="44" spans="1:24" s="252" customFormat="1" hidden="1">
      <c r="A44" s="243">
        <v>11408</v>
      </c>
      <c r="B44" s="243" t="s">
        <v>1044</v>
      </c>
      <c r="C44" s="244" t="s">
        <v>1045</v>
      </c>
      <c r="D44" s="244" t="s">
        <v>1046</v>
      </c>
      <c r="E44" s="245">
        <v>16408</v>
      </c>
      <c r="F44" s="244" t="s">
        <v>469</v>
      </c>
      <c r="G44" s="244" t="s">
        <v>445</v>
      </c>
      <c r="H44" s="253">
        <f>-494532.48+487532.52</f>
        <v>-6999.9599999999627</v>
      </c>
      <c r="I44" s="254">
        <f>-495115.81+487532.52</f>
        <v>-7583.289999999979</v>
      </c>
      <c r="J44" s="254">
        <f>-674647+487532.52+178350.52</f>
        <v>-8763.9599999999919</v>
      </c>
      <c r="K44" s="255">
        <f>-675827.67+487532.52+178350.52</f>
        <v>-9944.6300000000338</v>
      </c>
      <c r="L44" s="255">
        <f>-677008.34+487532.52+178350.52</f>
        <v>-11125.299999999959</v>
      </c>
      <c r="M44" s="255">
        <f>-762766.44+487532.52+178350.52+84577.43</f>
        <v>-12305.969999999943</v>
      </c>
      <c r="N44" s="254">
        <f>-763947.11+487532.52+178350.52+84577.43</f>
        <v>-13486.639999999985</v>
      </c>
      <c r="O44" s="256">
        <f>-765127.78+487532.52+178350.52+84577.43</f>
        <v>-14667.310000000027</v>
      </c>
      <c r="P44" s="256">
        <f>-872305.05+487532.52+178350.52+84577.43+103468.69</f>
        <v>-18375.890000000043</v>
      </c>
      <c r="Q44" s="256">
        <f>-873846.86+487532.52+178350.52+84577.43+103468.69</f>
        <v>-19917.699999999983</v>
      </c>
      <c r="R44" s="256">
        <f>-875388.66+487532.52+178350.52+84577.43+103468.69</f>
        <v>-21459.500000000029</v>
      </c>
      <c r="S44" s="256">
        <f>-971817.13+487532.52+178350.52+84577.43+103468.69+94886.66</f>
        <v>-23001.309999999969</v>
      </c>
      <c r="T44" s="249"/>
      <c r="U44" s="250" t="s">
        <v>997</v>
      </c>
      <c r="V44" s="250"/>
      <c r="W44" s="250"/>
      <c r="X44" s="251"/>
    </row>
    <row r="45" spans="1:24" s="252" customFormat="1" hidden="1">
      <c r="A45" s="243">
        <v>11608</v>
      </c>
      <c r="B45" s="243" t="s">
        <v>1047</v>
      </c>
      <c r="C45" s="244" t="s">
        <v>1048</v>
      </c>
      <c r="D45" s="244" t="s">
        <v>1049</v>
      </c>
      <c r="E45" s="245">
        <v>16404</v>
      </c>
      <c r="F45" s="244" t="s">
        <v>465</v>
      </c>
      <c r="G45" s="244" t="s">
        <v>445</v>
      </c>
      <c r="H45" s="253">
        <v>-163391.35999999999</v>
      </c>
      <c r="I45" s="254">
        <v>-168497.34</v>
      </c>
      <c r="J45" s="254">
        <v>-173603.32</v>
      </c>
      <c r="K45" s="255">
        <v>-178709.3</v>
      </c>
      <c r="L45" s="255">
        <v>-183815.28</v>
      </c>
      <c r="M45" s="255">
        <v>-188921.26</v>
      </c>
      <c r="N45" s="254">
        <v>-194027.24</v>
      </c>
      <c r="O45" s="256">
        <v>-199133.23</v>
      </c>
      <c r="P45" s="256">
        <v>-204239.21</v>
      </c>
      <c r="Q45" s="256">
        <v>-209345.2</v>
      </c>
      <c r="R45" s="256">
        <v>-214451.18</v>
      </c>
      <c r="S45" s="256">
        <v>-219557.17</v>
      </c>
      <c r="T45" s="249"/>
      <c r="U45" s="251"/>
      <c r="V45" s="250"/>
      <c r="W45" s="250"/>
      <c r="X45" s="251"/>
    </row>
    <row r="46" spans="1:24" s="252" customFormat="1" hidden="1">
      <c r="A46" s="243">
        <v>11708</v>
      </c>
      <c r="B46" s="243" t="s">
        <v>1039</v>
      </c>
      <c r="C46" s="244" t="s">
        <v>1050</v>
      </c>
      <c r="D46" s="244" t="s">
        <v>1051</v>
      </c>
      <c r="E46" s="245">
        <v>16600</v>
      </c>
      <c r="F46" s="244" t="s">
        <v>473</v>
      </c>
      <c r="G46" s="244" t="s">
        <v>91</v>
      </c>
      <c r="H46" s="253">
        <v>0</v>
      </c>
      <c r="I46" s="254">
        <v>0</v>
      </c>
      <c r="J46" s="254">
        <v>0</v>
      </c>
      <c r="K46" s="255">
        <v>0</v>
      </c>
      <c r="L46" s="255">
        <v>0</v>
      </c>
      <c r="M46" s="255">
        <v>0</v>
      </c>
      <c r="N46" s="254">
        <v>0</v>
      </c>
      <c r="O46" s="256">
        <v>0</v>
      </c>
      <c r="P46" s="256">
        <v>0</v>
      </c>
      <c r="Q46" s="256">
        <v>0</v>
      </c>
      <c r="R46" s="256">
        <v>0</v>
      </c>
      <c r="S46" s="256">
        <v>0</v>
      </c>
      <c r="T46" s="249"/>
      <c r="U46" s="251"/>
      <c r="V46" s="250"/>
      <c r="W46" s="250"/>
      <c r="X46" s="251"/>
    </row>
    <row r="47" spans="1:24" s="252" customFormat="1" hidden="1">
      <c r="A47" s="243">
        <v>11308</v>
      </c>
      <c r="B47" s="243" t="s">
        <v>1025</v>
      </c>
      <c r="C47" s="244" t="s">
        <v>1052</v>
      </c>
      <c r="D47" s="244" t="s">
        <v>1053</v>
      </c>
      <c r="E47" s="245">
        <v>16500</v>
      </c>
      <c r="F47" s="244" t="s">
        <v>448</v>
      </c>
      <c r="G47" s="244" t="s">
        <v>448</v>
      </c>
      <c r="H47" s="253">
        <v>0</v>
      </c>
      <c r="I47" s="254">
        <v>0</v>
      </c>
      <c r="J47" s="254">
        <v>0</v>
      </c>
      <c r="K47" s="255">
        <v>0</v>
      </c>
      <c r="L47" s="255">
        <v>0</v>
      </c>
      <c r="M47" s="255">
        <v>0</v>
      </c>
      <c r="N47" s="254">
        <v>0</v>
      </c>
      <c r="O47" s="256">
        <v>0</v>
      </c>
      <c r="P47" s="256">
        <v>0</v>
      </c>
      <c r="Q47" s="256">
        <v>0</v>
      </c>
      <c r="R47" s="256">
        <v>0</v>
      </c>
      <c r="S47" s="256">
        <v>0</v>
      </c>
      <c r="T47" s="249"/>
      <c r="U47" s="251"/>
      <c r="V47" s="250"/>
      <c r="W47" s="250"/>
      <c r="X47" s="251"/>
    </row>
    <row r="48" spans="1:24" s="252" customFormat="1" hidden="1">
      <c r="A48" s="243">
        <v>13200</v>
      </c>
      <c r="B48" s="243" t="s">
        <v>1054</v>
      </c>
      <c r="C48" s="244" t="s">
        <v>1055</v>
      </c>
      <c r="D48" s="244" t="s">
        <v>1056</v>
      </c>
      <c r="E48" s="245">
        <v>12900</v>
      </c>
      <c r="F48" s="244" t="s">
        <v>307</v>
      </c>
      <c r="G48" s="244" t="s">
        <v>304</v>
      </c>
      <c r="H48" s="253">
        <v>0</v>
      </c>
      <c r="I48" s="254">
        <v>0</v>
      </c>
      <c r="J48" s="254">
        <v>0</v>
      </c>
      <c r="K48" s="255">
        <v>0</v>
      </c>
      <c r="L48" s="255">
        <v>-30000</v>
      </c>
      <c r="M48" s="255">
        <v>0</v>
      </c>
      <c r="N48" s="254">
        <v>0</v>
      </c>
      <c r="O48" s="256">
        <v>0</v>
      </c>
      <c r="P48" s="256">
        <v>0</v>
      </c>
      <c r="Q48" s="256">
        <v>0</v>
      </c>
      <c r="R48" s="256">
        <v>0</v>
      </c>
      <c r="S48" s="256">
        <v>1675000</v>
      </c>
      <c r="T48" s="249"/>
      <c r="U48" s="251"/>
      <c r="V48" s="250"/>
      <c r="W48" s="250"/>
      <c r="X48" s="251"/>
    </row>
    <row r="49" spans="1:24" s="252" customFormat="1" hidden="1">
      <c r="A49" s="243">
        <v>13200</v>
      </c>
      <c r="B49" s="243" t="s">
        <v>1054</v>
      </c>
      <c r="C49" s="244" t="s">
        <v>1057</v>
      </c>
      <c r="D49" s="244" t="s">
        <v>1058</v>
      </c>
      <c r="E49" s="245">
        <v>12900</v>
      </c>
      <c r="F49" s="244" t="s">
        <v>307</v>
      </c>
      <c r="G49" s="244" t="s">
        <v>307</v>
      </c>
      <c r="H49" s="253">
        <v>0</v>
      </c>
      <c r="I49" s="254">
        <v>0</v>
      </c>
      <c r="J49" s="254">
        <v>0</v>
      </c>
      <c r="K49" s="255">
        <v>0</v>
      </c>
      <c r="L49" s="255">
        <v>0</v>
      </c>
      <c r="M49" s="255">
        <v>0</v>
      </c>
      <c r="N49" s="254">
        <v>0</v>
      </c>
      <c r="O49" s="256">
        <v>0</v>
      </c>
      <c r="P49" s="256">
        <v>0</v>
      </c>
      <c r="Q49" s="256">
        <v>0</v>
      </c>
      <c r="R49" s="256">
        <v>0</v>
      </c>
      <c r="S49" s="256">
        <v>0</v>
      </c>
      <c r="T49" s="249"/>
      <c r="U49" s="251"/>
      <c r="V49" s="250"/>
      <c r="W49" s="250"/>
      <c r="X49" s="251"/>
    </row>
    <row r="50" spans="1:24" s="252" customFormat="1" hidden="1">
      <c r="A50" s="243">
        <v>13200</v>
      </c>
      <c r="B50" s="243" t="s">
        <v>1054</v>
      </c>
      <c r="C50" s="244" t="s">
        <v>1059</v>
      </c>
      <c r="D50" s="244" t="s">
        <v>1060</v>
      </c>
      <c r="E50" s="245">
        <v>28100</v>
      </c>
      <c r="F50" s="244" t="s">
        <v>604</v>
      </c>
      <c r="G50" s="27" t="s">
        <v>30</v>
      </c>
      <c r="H50" s="260">
        <f>-8231653.48+8754186-35000-487532.52</f>
        <v>-4.6566128730773926E-10</v>
      </c>
      <c r="I50" s="260">
        <f>-8231653.48+8231653.48</f>
        <v>0</v>
      </c>
      <c r="J50" s="260">
        <f>-9577362.96+9577362.96</f>
        <v>0</v>
      </c>
      <c r="K50" s="261">
        <f>-9577362.96+9577362.96</f>
        <v>0</v>
      </c>
      <c r="L50" s="261">
        <f>-9577362.96+9577362.96</f>
        <v>0</v>
      </c>
      <c r="M50" s="261">
        <f>-9492785.53+9492785.53</f>
        <v>0</v>
      </c>
      <c r="N50" s="260">
        <f>-9492785.53+9492785.53</f>
        <v>0</v>
      </c>
      <c r="O50" s="262">
        <f>-9492785.53+9492785.53</f>
        <v>0</v>
      </c>
      <c r="P50" s="262">
        <f>-9389316.84+9389316.84</f>
        <v>0</v>
      </c>
      <c r="Q50" s="262">
        <f>-9389316.84+9389316.84</f>
        <v>0</v>
      </c>
      <c r="R50" s="262">
        <f>-9389316.84+9389316.84</f>
        <v>0</v>
      </c>
      <c r="S50" s="262">
        <f>-11646796.71+11646796.71+10833.47</f>
        <v>10833.47</v>
      </c>
      <c r="T50" s="249"/>
      <c r="U50" s="250" t="s">
        <v>997</v>
      </c>
      <c r="V50" s="250"/>
      <c r="W50" s="250"/>
      <c r="X50" s="251"/>
    </row>
    <row r="51" spans="1:24" s="252" customFormat="1" hidden="1">
      <c r="A51" s="243">
        <v>13200</v>
      </c>
      <c r="B51" s="243" t="s">
        <v>1054</v>
      </c>
      <c r="C51" s="244" t="s">
        <v>1061</v>
      </c>
      <c r="D51" s="244" t="s">
        <v>1062</v>
      </c>
      <c r="E51" s="245"/>
      <c r="F51" s="244"/>
      <c r="G51" s="244"/>
      <c r="H51" s="253">
        <v>0</v>
      </c>
      <c r="I51" s="254">
        <v>0</v>
      </c>
      <c r="J51" s="254">
        <v>0</v>
      </c>
      <c r="K51" s="255">
        <v>0</v>
      </c>
      <c r="L51" s="255">
        <v>0</v>
      </c>
      <c r="M51" s="255">
        <v>0</v>
      </c>
      <c r="N51" s="254">
        <v>0</v>
      </c>
      <c r="O51" s="256">
        <v>0</v>
      </c>
      <c r="P51" s="256">
        <v>0</v>
      </c>
      <c r="Q51" s="256">
        <v>0</v>
      </c>
      <c r="R51" s="256">
        <v>0</v>
      </c>
      <c r="S51" s="256">
        <v>0</v>
      </c>
      <c r="T51" s="249"/>
      <c r="U51" s="251"/>
      <c r="V51" s="250"/>
      <c r="W51" s="250"/>
      <c r="X51" s="251"/>
    </row>
    <row r="52" spans="1:24" s="252" customFormat="1" hidden="1">
      <c r="A52" s="243">
        <v>12820</v>
      </c>
      <c r="B52" s="243" t="s">
        <v>1063</v>
      </c>
      <c r="C52" s="244" t="s">
        <v>1064</v>
      </c>
      <c r="D52" s="244" t="s">
        <v>1065</v>
      </c>
      <c r="E52" s="245"/>
      <c r="F52" s="244"/>
      <c r="G52" s="244"/>
      <c r="H52" s="253">
        <v>0</v>
      </c>
      <c r="I52" s="254">
        <v>0</v>
      </c>
      <c r="J52" s="254">
        <v>0</v>
      </c>
      <c r="K52" s="255">
        <v>0</v>
      </c>
      <c r="L52" s="255">
        <v>0</v>
      </c>
      <c r="M52" s="255">
        <v>0</v>
      </c>
      <c r="N52" s="254">
        <v>0</v>
      </c>
      <c r="O52" s="256">
        <v>0</v>
      </c>
      <c r="P52" s="256">
        <v>0</v>
      </c>
      <c r="Q52" s="256">
        <v>0</v>
      </c>
      <c r="R52" s="256">
        <v>0</v>
      </c>
      <c r="S52" s="256">
        <v>0</v>
      </c>
      <c r="T52" s="249"/>
      <c r="U52" s="251"/>
      <c r="V52" s="250"/>
      <c r="W52" s="250"/>
      <c r="X52" s="251"/>
    </row>
    <row r="53" spans="1:24" s="252" customFormat="1" hidden="1">
      <c r="A53" s="243">
        <v>12820</v>
      </c>
      <c r="B53" s="243" t="s">
        <v>1063</v>
      </c>
      <c r="C53" s="244" t="s">
        <v>1066</v>
      </c>
      <c r="D53" s="244" t="s">
        <v>1067</v>
      </c>
      <c r="E53" s="245"/>
      <c r="F53" s="244"/>
      <c r="G53" s="244"/>
      <c r="H53" s="253">
        <v>0</v>
      </c>
      <c r="I53" s="254">
        <v>0</v>
      </c>
      <c r="J53" s="254">
        <v>0</v>
      </c>
      <c r="K53" s="255">
        <v>0</v>
      </c>
      <c r="L53" s="255">
        <v>0</v>
      </c>
      <c r="M53" s="255">
        <v>0</v>
      </c>
      <c r="N53" s="254">
        <v>0</v>
      </c>
      <c r="O53" s="256">
        <v>0</v>
      </c>
      <c r="P53" s="256">
        <v>0</v>
      </c>
      <c r="Q53" s="256">
        <v>0</v>
      </c>
      <c r="R53" s="256">
        <v>0</v>
      </c>
      <c r="S53" s="256">
        <v>0</v>
      </c>
      <c r="T53" s="249"/>
      <c r="U53" s="251"/>
      <c r="V53" s="250"/>
      <c r="W53" s="250"/>
      <c r="X53" s="251"/>
    </row>
    <row r="54" spans="1:24" s="252" customFormat="1" hidden="1">
      <c r="A54" s="243">
        <v>21000</v>
      </c>
      <c r="B54" s="243" t="s">
        <v>1068</v>
      </c>
      <c r="C54" s="244" t="s">
        <v>1069</v>
      </c>
      <c r="D54" s="244" t="s">
        <v>1070</v>
      </c>
      <c r="E54" s="245">
        <v>19100</v>
      </c>
      <c r="F54" s="244" t="s">
        <v>89</v>
      </c>
      <c r="G54" s="244" t="s">
        <v>89</v>
      </c>
      <c r="H54" s="264">
        <f>20982525.27+H439</f>
        <v>21474383.599999998</v>
      </c>
      <c r="I54" s="264">
        <f>20982525.27+SUM(H439:I439)</f>
        <v>22061281.84</v>
      </c>
      <c r="J54" s="264">
        <f>20982525.27+SUM($H439:J439)</f>
        <v>22495177.899999999</v>
      </c>
      <c r="K54" s="264">
        <f>20982525.27+SUM($H439:K439)</f>
        <v>23191693.120000001</v>
      </c>
      <c r="L54" s="264">
        <f>20982525.27+SUM($H439:L439)</f>
        <v>23643589.350000001</v>
      </c>
      <c r="M54" s="264">
        <f>20982525.27+SUM($H439:M439)</f>
        <v>24112496.789999999</v>
      </c>
      <c r="N54" s="264">
        <f>20982525.27+SUM($H439:N439)</f>
        <v>24693921.5</v>
      </c>
      <c r="O54" s="264">
        <f>20982525.27+SUM($H439:O439)</f>
        <v>25246444.009999998</v>
      </c>
      <c r="P54" s="264">
        <f>20982525.27+SUM($H439:P439)</f>
        <v>25698152.609999999</v>
      </c>
      <c r="Q54" s="264">
        <f>20982525.27+SUM($H439:Q439)</f>
        <v>26232452.850000001</v>
      </c>
      <c r="R54" s="264">
        <f>20982525.27+SUM($H439:R439)</f>
        <v>26749188.739999998</v>
      </c>
      <c r="S54" s="264">
        <f>20982525.27+SUM($H439:S439)</f>
        <v>26503406.57</v>
      </c>
      <c r="T54" s="249"/>
      <c r="U54" s="250" t="s">
        <v>1071</v>
      </c>
      <c r="V54" s="250"/>
      <c r="W54" s="250"/>
      <c r="X54" s="251"/>
    </row>
    <row r="55" spans="1:24" s="252" customFormat="1" hidden="1">
      <c r="A55" s="243">
        <v>12840</v>
      </c>
      <c r="B55" s="243" t="s">
        <v>1072</v>
      </c>
      <c r="C55" s="244" t="s">
        <v>1073</v>
      </c>
      <c r="D55" s="244" t="s">
        <v>1074</v>
      </c>
      <c r="E55" s="245">
        <v>14609</v>
      </c>
      <c r="F55" s="244" t="s">
        <v>433</v>
      </c>
      <c r="G55" s="244" t="s">
        <v>57</v>
      </c>
      <c r="H55" s="265">
        <v>11111666.710000001</v>
      </c>
      <c r="I55" s="265">
        <v>10903333.380000001</v>
      </c>
      <c r="J55" s="265">
        <v>10695000.050000001</v>
      </c>
      <c r="K55" s="265">
        <v>10486666.720000001</v>
      </c>
      <c r="L55" s="265">
        <v>10278333.390000001</v>
      </c>
      <c r="M55" s="265">
        <v>10070000.060000001</v>
      </c>
      <c r="N55" s="265">
        <v>9861666.7300000004</v>
      </c>
      <c r="O55" s="265">
        <v>9653333.4000000004</v>
      </c>
      <c r="P55" s="265">
        <v>9445000.0600000005</v>
      </c>
      <c r="Q55" s="266">
        <v>9236666.7300000004</v>
      </c>
      <c r="R55" s="266">
        <v>9028333.3900000006</v>
      </c>
      <c r="S55" s="266">
        <v>8820000.0600000005</v>
      </c>
      <c r="T55" s="249"/>
      <c r="U55" s="251"/>
      <c r="V55" s="250"/>
      <c r="W55" s="250"/>
      <c r="X55" s="251"/>
    </row>
    <row r="56" spans="1:24" s="252" customFormat="1" hidden="1">
      <c r="A56" s="243">
        <v>13000</v>
      </c>
      <c r="B56" s="243" t="s">
        <v>1075</v>
      </c>
      <c r="C56" s="244" t="s">
        <v>1076</v>
      </c>
      <c r="D56" s="244" t="s">
        <v>1077</v>
      </c>
      <c r="E56" s="245">
        <v>14101</v>
      </c>
      <c r="F56" s="244" t="s">
        <v>414</v>
      </c>
      <c r="G56" s="244" t="s">
        <v>33</v>
      </c>
      <c r="H56" s="253">
        <v>2320748.2999999998</v>
      </c>
      <c r="I56" s="254">
        <v>1706224.44</v>
      </c>
      <c r="J56" s="254">
        <v>1649353.68</v>
      </c>
      <c r="K56" s="255">
        <v>1590904.55</v>
      </c>
      <c r="L56" s="255">
        <v>1645096.34</v>
      </c>
      <c r="M56" s="255">
        <v>1215877.1499999999</v>
      </c>
      <c r="N56" s="254">
        <v>1171620.5900000001</v>
      </c>
      <c r="O56" s="256">
        <v>993102.96</v>
      </c>
      <c r="P56" s="256">
        <v>979486.68</v>
      </c>
      <c r="Q56" s="256">
        <v>984432.86</v>
      </c>
      <c r="R56" s="256">
        <v>1060262.06</v>
      </c>
      <c r="S56" s="256">
        <v>1047066.71</v>
      </c>
      <c r="T56" s="249"/>
      <c r="U56" s="251"/>
      <c r="V56" s="250"/>
      <c r="W56" s="250"/>
      <c r="X56" s="251"/>
    </row>
    <row r="57" spans="1:24" s="252" customFormat="1" hidden="1">
      <c r="A57" s="243">
        <v>13000</v>
      </c>
      <c r="B57" s="243" t="s">
        <v>1075</v>
      </c>
      <c r="C57" s="244" t="s">
        <v>1078</v>
      </c>
      <c r="D57" s="244" t="s">
        <v>1079</v>
      </c>
      <c r="E57" s="245">
        <v>14101</v>
      </c>
      <c r="F57" s="244" t="s">
        <v>414</v>
      </c>
      <c r="G57" s="244" t="s">
        <v>33</v>
      </c>
      <c r="H57" s="253">
        <v>0</v>
      </c>
      <c r="I57" s="254">
        <v>0</v>
      </c>
      <c r="J57" s="254">
        <v>0</v>
      </c>
      <c r="K57" s="255">
        <v>4230</v>
      </c>
      <c r="L57" s="255">
        <v>4230</v>
      </c>
      <c r="M57" s="255">
        <v>0</v>
      </c>
      <c r="N57" s="254">
        <v>0</v>
      </c>
      <c r="O57" s="256">
        <v>0</v>
      </c>
      <c r="P57" s="256">
        <v>0</v>
      </c>
      <c r="Q57" s="256">
        <v>0</v>
      </c>
      <c r="R57" s="256">
        <v>0</v>
      </c>
      <c r="S57" s="256">
        <v>0</v>
      </c>
      <c r="T57" s="249"/>
      <c r="U57" s="251"/>
      <c r="V57" s="250"/>
      <c r="W57" s="250"/>
      <c r="X57" s="251"/>
    </row>
    <row r="58" spans="1:24" s="252" customFormat="1" hidden="1">
      <c r="A58" s="243">
        <v>13000</v>
      </c>
      <c r="B58" s="243" t="s">
        <v>1075</v>
      </c>
      <c r="C58" s="244" t="s">
        <v>1080</v>
      </c>
      <c r="D58" s="244" t="s">
        <v>1081</v>
      </c>
      <c r="E58" s="245">
        <v>14101</v>
      </c>
      <c r="F58" s="244" t="s">
        <v>414</v>
      </c>
      <c r="G58" s="244" t="s">
        <v>33</v>
      </c>
      <c r="H58" s="253">
        <v>0</v>
      </c>
      <c r="I58" s="254">
        <v>0</v>
      </c>
      <c r="J58" s="254">
        <v>0</v>
      </c>
      <c r="K58" s="255">
        <v>0</v>
      </c>
      <c r="L58" s="255">
        <v>0</v>
      </c>
      <c r="M58" s="255">
        <v>0</v>
      </c>
      <c r="N58" s="254">
        <v>0</v>
      </c>
      <c r="O58" s="256">
        <v>0</v>
      </c>
      <c r="P58" s="256">
        <v>0</v>
      </c>
      <c r="Q58" s="256">
        <v>0</v>
      </c>
      <c r="R58" s="256">
        <v>0</v>
      </c>
      <c r="S58" s="256">
        <v>0</v>
      </c>
      <c r="T58" s="249"/>
      <c r="U58" s="251"/>
      <c r="V58" s="250"/>
      <c r="W58" s="250"/>
      <c r="X58" s="251"/>
    </row>
    <row r="59" spans="1:24" s="252" customFormat="1" hidden="1">
      <c r="A59" s="243">
        <v>13000</v>
      </c>
      <c r="B59" s="243" t="s">
        <v>1075</v>
      </c>
      <c r="C59" s="244" t="s">
        <v>1082</v>
      </c>
      <c r="D59" s="244" t="s">
        <v>1083</v>
      </c>
      <c r="E59" s="245">
        <v>14101</v>
      </c>
      <c r="F59" s="244" t="s">
        <v>414</v>
      </c>
      <c r="G59" s="244" t="s">
        <v>33</v>
      </c>
      <c r="H59" s="253">
        <v>243484.18</v>
      </c>
      <c r="I59" s="254">
        <v>343592.53</v>
      </c>
      <c r="J59" s="254">
        <v>344613.07</v>
      </c>
      <c r="K59" s="255">
        <v>241348.21</v>
      </c>
      <c r="L59" s="255">
        <v>149340.75</v>
      </c>
      <c r="M59" s="255">
        <v>100579.58</v>
      </c>
      <c r="N59" s="254">
        <v>126343.77</v>
      </c>
      <c r="O59" s="256">
        <v>154165.76999999999</v>
      </c>
      <c r="P59" s="256">
        <v>176121.33</v>
      </c>
      <c r="Q59" s="256">
        <v>247996.72</v>
      </c>
      <c r="R59" s="256">
        <v>72818.850000000006</v>
      </c>
      <c r="S59" s="256">
        <v>44402.79</v>
      </c>
      <c r="T59" s="249"/>
      <c r="U59" s="251"/>
      <c r="V59" s="250"/>
      <c r="W59" s="250"/>
      <c r="X59" s="251"/>
    </row>
    <row r="60" spans="1:24" s="252" customFormat="1" hidden="1">
      <c r="A60" s="243">
        <v>13000</v>
      </c>
      <c r="B60" s="243" t="s">
        <v>1075</v>
      </c>
      <c r="C60" s="244" t="s">
        <v>1084</v>
      </c>
      <c r="D60" s="244" t="s">
        <v>1085</v>
      </c>
      <c r="E60" s="245">
        <v>14101</v>
      </c>
      <c r="F60" s="244" t="s">
        <v>414</v>
      </c>
      <c r="G60" s="244" t="s">
        <v>33</v>
      </c>
      <c r="H60" s="253">
        <v>0</v>
      </c>
      <c r="I60" s="254">
        <v>0</v>
      </c>
      <c r="J60" s="254">
        <v>0</v>
      </c>
      <c r="K60" s="255">
        <v>0</v>
      </c>
      <c r="L60" s="255">
        <v>0</v>
      </c>
      <c r="M60" s="255">
        <v>0</v>
      </c>
      <c r="N60" s="254">
        <v>0</v>
      </c>
      <c r="O60" s="256">
        <v>0</v>
      </c>
      <c r="P60" s="256">
        <v>0</v>
      </c>
      <c r="Q60" s="256">
        <v>0</v>
      </c>
      <c r="R60" s="256">
        <v>0</v>
      </c>
      <c r="S60" s="256">
        <v>0</v>
      </c>
      <c r="T60" s="249"/>
      <c r="U60" s="251"/>
      <c r="V60" s="250"/>
      <c r="W60" s="250"/>
      <c r="X60" s="251"/>
    </row>
    <row r="61" spans="1:24" s="252" customFormat="1" hidden="1">
      <c r="A61" s="243">
        <v>13000</v>
      </c>
      <c r="B61" s="243" t="s">
        <v>1075</v>
      </c>
      <c r="C61" s="244" t="s">
        <v>1086</v>
      </c>
      <c r="D61" s="244" t="s">
        <v>1087</v>
      </c>
      <c r="E61" s="245">
        <v>14101</v>
      </c>
      <c r="F61" s="244" t="s">
        <v>414</v>
      </c>
      <c r="G61" s="244" t="s">
        <v>33</v>
      </c>
      <c r="H61" s="253">
        <v>821969.96</v>
      </c>
      <c r="I61" s="254">
        <v>1105048.7</v>
      </c>
      <c r="J61" s="254">
        <v>1242811.78</v>
      </c>
      <c r="K61" s="255">
        <v>900959.53</v>
      </c>
      <c r="L61" s="255">
        <v>863961.01</v>
      </c>
      <c r="M61" s="255">
        <v>833598.69</v>
      </c>
      <c r="N61" s="254">
        <v>525915.29</v>
      </c>
      <c r="O61" s="256">
        <v>671296.06</v>
      </c>
      <c r="P61" s="256">
        <v>668118.03</v>
      </c>
      <c r="Q61" s="256">
        <v>633952.87</v>
      </c>
      <c r="R61" s="256">
        <v>794349.65</v>
      </c>
      <c r="S61" s="256">
        <v>739105.69</v>
      </c>
      <c r="T61" s="249"/>
      <c r="U61" s="251"/>
      <c r="V61" s="250"/>
      <c r="W61" s="250"/>
      <c r="X61" s="251"/>
    </row>
    <row r="62" spans="1:24" s="252" customFormat="1" hidden="1">
      <c r="A62" s="243">
        <v>13000</v>
      </c>
      <c r="B62" s="243" t="s">
        <v>1075</v>
      </c>
      <c r="C62" s="244" t="s">
        <v>1088</v>
      </c>
      <c r="D62" s="244" t="s">
        <v>1089</v>
      </c>
      <c r="E62" s="245">
        <v>14101</v>
      </c>
      <c r="F62" s="244" t="s">
        <v>414</v>
      </c>
      <c r="G62" s="244" t="s">
        <v>33</v>
      </c>
      <c r="H62" s="253">
        <v>0</v>
      </c>
      <c r="I62" s="254">
        <v>0</v>
      </c>
      <c r="J62" s="254">
        <v>0</v>
      </c>
      <c r="K62" s="255">
        <v>0</v>
      </c>
      <c r="L62" s="255">
        <v>0</v>
      </c>
      <c r="M62" s="255">
        <v>0</v>
      </c>
      <c r="N62" s="254">
        <v>0</v>
      </c>
      <c r="O62" s="256">
        <v>0</v>
      </c>
      <c r="P62" s="256">
        <v>0</v>
      </c>
      <c r="Q62" s="256">
        <v>0</v>
      </c>
      <c r="R62" s="256">
        <v>0</v>
      </c>
      <c r="S62" s="256">
        <v>0</v>
      </c>
      <c r="T62" s="249"/>
      <c r="U62" s="251"/>
      <c r="V62" s="250"/>
      <c r="W62" s="250"/>
      <c r="X62" s="251"/>
    </row>
    <row r="63" spans="1:24" s="252" customFormat="1" hidden="1">
      <c r="A63" s="243">
        <v>13000</v>
      </c>
      <c r="B63" s="243" t="s">
        <v>1075</v>
      </c>
      <c r="C63" s="244" t="s">
        <v>1090</v>
      </c>
      <c r="D63" s="244" t="s">
        <v>1091</v>
      </c>
      <c r="E63" s="245">
        <v>14101</v>
      </c>
      <c r="F63" s="244" t="s">
        <v>414</v>
      </c>
      <c r="G63" s="244" t="s">
        <v>33</v>
      </c>
      <c r="H63" s="253">
        <v>0</v>
      </c>
      <c r="I63" s="254">
        <v>0</v>
      </c>
      <c r="J63" s="254">
        <v>0</v>
      </c>
      <c r="K63" s="255">
        <v>0</v>
      </c>
      <c r="L63" s="255">
        <v>0</v>
      </c>
      <c r="M63" s="255">
        <v>0</v>
      </c>
      <c r="N63" s="254">
        <v>0</v>
      </c>
      <c r="O63" s="256">
        <v>0</v>
      </c>
      <c r="P63" s="256">
        <v>0</v>
      </c>
      <c r="Q63" s="256">
        <v>0</v>
      </c>
      <c r="R63" s="256">
        <v>0</v>
      </c>
      <c r="S63" s="256">
        <v>0</v>
      </c>
      <c r="T63" s="249"/>
      <c r="U63" s="251"/>
      <c r="V63" s="250"/>
      <c r="W63" s="250"/>
      <c r="X63" s="251"/>
    </row>
    <row r="64" spans="1:24" s="252" customFormat="1" hidden="1">
      <c r="A64" s="243">
        <v>13000</v>
      </c>
      <c r="B64" s="243" t="s">
        <v>1075</v>
      </c>
      <c r="C64" s="244" t="s">
        <v>1092</v>
      </c>
      <c r="D64" s="244" t="s">
        <v>1093</v>
      </c>
      <c r="E64" s="245">
        <v>14101</v>
      </c>
      <c r="F64" s="244" t="s">
        <v>414</v>
      </c>
      <c r="G64" s="244" t="s">
        <v>33</v>
      </c>
      <c r="H64" s="253">
        <v>0</v>
      </c>
      <c r="I64" s="254">
        <v>0</v>
      </c>
      <c r="J64" s="254">
        <v>0</v>
      </c>
      <c r="K64" s="255">
        <v>0</v>
      </c>
      <c r="L64" s="255">
        <v>0</v>
      </c>
      <c r="M64" s="255">
        <v>0</v>
      </c>
      <c r="N64" s="254">
        <v>0</v>
      </c>
      <c r="O64" s="256">
        <v>0</v>
      </c>
      <c r="P64" s="256">
        <v>0</v>
      </c>
      <c r="Q64" s="256">
        <v>0</v>
      </c>
      <c r="R64" s="256">
        <v>0</v>
      </c>
      <c r="S64" s="256">
        <v>0</v>
      </c>
      <c r="T64" s="249"/>
      <c r="U64" s="251"/>
      <c r="V64" s="250"/>
      <c r="W64" s="250"/>
      <c r="X64" s="251"/>
    </row>
    <row r="65" spans="1:24" s="252" customFormat="1" hidden="1">
      <c r="A65" s="243">
        <v>13000</v>
      </c>
      <c r="B65" s="243" t="s">
        <v>1075</v>
      </c>
      <c r="C65" s="244" t="s">
        <v>1094</v>
      </c>
      <c r="D65" s="244" t="s">
        <v>1095</v>
      </c>
      <c r="E65" s="245">
        <v>14101</v>
      </c>
      <c r="F65" s="244" t="s">
        <v>414</v>
      </c>
      <c r="G65" s="244" t="s">
        <v>33</v>
      </c>
      <c r="H65" s="253">
        <v>0</v>
      </c>
      <c r="I65" s="254">
        <v>0</v>
      </c>
      <c r="J65" s="254">
        <v>0</v>
      </c>
      <c r="K65" s="255">
        <v>0</v>
      </c>
      <c r="L65" s="255">
        <v>0</v>
      </c>
      <c r="M65" s="255">
        <v>0</v>
      </c>
      <c r="N65" s="254">
        <v>0</v>
      </c>
      <c r="O65" s="256">
        <v>0</v>
      </c>
      <c r="P65" s="256">
        <v>0</v>
      </c>
      <c r="Q65" s="256">
        <v>0</v>
      </c>
      <c r="R65" s="256">
        <v>0</v>
      </c>
      <c r="S65" s="256">
        <v>0</v>
      </c>
      <c r="T65" s="249"/>
      <c r="U65" s="251"/>
      <c r="V65" s="250"/>
      <c r="W65" s="250"/>
      <c r="X65" s="251"/>
    </row>
    <row r="66" spans="1:24" s="252" customFormat="1" hidden="1">
      <c r="A66" s="243">
        <v>13040</v>
      </c>
      <c r="B66" s="243" t="s">
        <v>1096</v>
      </c>
      <c r="C66" s="244" t="s">
        <v>1097</v>
      </c>
      <c r="D66" s="244" t="s">
        <v>1098</v>
      </c>
      <c r="E66" s="245">
        <v>14107</v>
      </c>
      <c r="F66" s="244" t="s">
        <v>420</v>
      </c>
      <c r="G66" s="244" t="s">
        <v>33</v>
      </c>
      <c r="H66" s="253">
        <v>216210.41</v>
      </c>
      <c r="I66" s="254">
        <v>138070.01999999999</v>
      </c>
      <c r="J66" s="254">
        <v>149164.28</v>
      </c>
      <c r="K66" s="255">
        <v>182727.77</v>
      </c>
      <c r="L66" s="255">
        <v>187962.34</v>
      </c>
      <c r="M66" s="255">
        <v>92276.61</v>
      </c>
      <c r="N66" s="254">
        <v>115953.53</v>
      </c>
      <c r="O66" s="256">
        <v>100864.33</v>
      </c>
      <c r="P66" s="256">
        <v>240232.79</v>
      </c>
      <c r="Q66" s="256">
        <v>84140.85</v>
      </c>
      <c r="R66" s="256">
        <v>144684.94</v>
      </c>
      <c r="S66" s="256">
        <v>51071.29</v>
      </c>
      <c r="T66" s="249"/>
      <c r="U66" s="251"/>
      <c r="V66" s="250"/>
      <c r="W66" s="250"/>
      <c r="X66" s="251"/>
    </row>
    <row r="67" spans="1:24" s="252" customFormat="1" hidden="1">
      <c r="A67" s="243">
        <v>13040</v>
      </c>
      <c r="B67" s="243" t="s">
        <v>1096</v>
      </c>
      <c r="C67" s="244" t="s">
        <v>1099</v>
      </c>
      <c r="D67" s="244" t="s">
        <v>1100</v>
      </c>
      <c r="E67" s="245">
        <v>14107</v>
      </c>
      <c r="F67" s="244" t="s">
        <v>420</v>
      </c>
      <c r="G67" s="244" t="s">
        <v>33</v>
      </c>
      <c r="H67" s="253">
        <v>0</v>
      </c>
      <c r="I67" s="254">
        <v>0</v>
      </c>
      <c r="J67" s="254">
        <v>0</v>
      </c>
      <c r="K67" s="255">
        <v>0</v>
      </c>
      <c r="L67" s="255">
        <v>0</v>
      </c>
      <c r="M67" s="255">
        <v>0</v>
      </c>
      <c r="N67" s="254">
        <v>0</v>
      </c>
      <c r="O67" s="256">
        <v>0</v>
      </c>
      <c r="P67" s="256">
        <v>0</v>
      </c>
      <c r="Q67" s="256">
        <v>0</v>
      </c>
      <c r="R67" s="256">
        <v>0</v>
      </c>
      <c r="S67" s="256">
        <v>0</v>
      </c>
      <c r="T67" s="249"/>
      <c r="U67" s="251"/>
      <c r="V67" s="250"/>
      <c r="W67" s="250"/>
      <c r="X67" s="251"/>
    </row>
    <row r="68" spans="1:24" s="252" customFormat="1" hidden="1">
      <c r="A68" s="243">
        <v>13080</v>
      </c>
      <c r="B68" s="243" t="s">
        <v>1101</v>
      </c>
      <c r="C68" s="244" t="s">
        <v>1102</v>
      </c>
      <c r="D68" s="244" t="s">
        <v>1103</v>
      </c>
      <c r="E68" s="245">
        <v>14200</v>
      </c>
      <c r="F68" s="244" t="s">
        <v>421</v>
      </c>
      <c r="G68" s="244" t="s">
        <v>33</v>
      </c>
      <c r="H68" s="253">
        <v>901135.2</v>
      </c>
      <c r="I68" s="254">
        <v>556867.5</v>
      </c>
      <c r="J68" s="254">
        <v>652245.67000000004</v>
      </c>
      <c r="K68" s="255">
        <v>234608.39</v>
      </c>
      <c r="L68" s="255">
        <v>249875.68</v>
      </c>
      <c r="M68" s="255">
        <v>288819.28000000003</v>
      </c>
      <c r="N68" s="254">
        <v>192522.9</v>
      </c>
      <c r="O68" s="256">
        <v>152622.48000000001</v>
      </c>
      <c r="P68" s="256">
        <v>389773.11</v>
      </c>
      <c r="Q68" s="256">
        <v>220124.46</v>
      </c>
      <c r="R68" s="256">
        <v>255059.17</v>
      </c>
      <c r="S68" s="256">
        <v>930955.82</v>
      </c>
      <c r="T68" s="249"/>
      <c r="U68" s="251"/>
      <c r="V68" s="250"/>
      <c r="W68" s="250"/>
      <c r="X68" s="251"/>
    </row>
    <row r="69" spans="1:24" s="252" customFormat="1" hidden="1">
      <c r="A69" s="243">
        <v>13080</v>
      </c>
      <c r="B69" s="243" t="s">
        <v>1101</v>
      </c>
      <c r="C69" s="244" t="s">
        <v>1104</v>
      </c>
      <c r="D69" s="244" t="s">
        <v>1105</v>
      </c>
      <c r="E69" s="245">
        <v>14200</v>
      </c>
      <c r="F69" s="244" t="s">
        <v>421</v>
      </c>
      <c r="G69" s="244" t="s">
        <v>33</v>
      </c>
      <c r="H69" s="253">
        <v>262803.17</v>
      </c>
      <c r="I69" s="254">
        <v>70574.12</v>
      </c>
      <c r="J69" s="254">
        <v>123360.45</v>
      </c>
      <c r="K69" s="255">
        <v>148166.01999999999</v>
      </c>
      <c r="L69" s="255">
        <v>171766.85</v>
      </c>
      <c r="M69" s="255">
        <v>137971.45000000001</v>
      </c>
      <c r="N69" s="254">
        <v>164580.59</v>
      </c>
      <c r="O69" s="256">
        <v>0</v>
      </c>
      <c r="P69" s="256">
        <v>342483.14</v>
      </c>
      <c r="Q69" s="256">
        <v>3756.33</v>
      </c>
      <c r="R69" s="256">
        <v>32545.200000000001</v>
      </c>
      <c r="S69" s="256">
        <v>31313.93</v>
      </c>
      <c r="T69" s="249"/>
      <c r="U69" s="251"/>
      <c r="V69" s="250"/>
      <c r="W69" s="250"/>
      <c r="X69" s="251"/>
    </row>
    <row r="70" spans="1:24" s="252" customFormat="1" hidden="1">
      <c r="A70" s="243">
        <v>13080</v>
      </c>
      <c r="B70" s="243" t="s">
        <v>1101</v>
      </c>
      <c r="C70" s="244" t="s">
        <v>1106</v>
      </c>
      <c r="D70" s="244" t="s">
        <v>1107</v>
      </c>
      <c r="E70" s="245">
        <v>14200</v>
      </c>
      <c r="F70" s="244" t="s">
        <v>421</v>
      </c>
      <c r="G70" s="244" t="s">
        <v>33</v>
      </c>
      <c r="H70" s="253">
        <v>0</v>
      </c>
      <c r="I70" s="254">
        <v>0</v>
      </c>
      <c r="J70" s="254">
        <v>0</v>
      </c>
      <c r="K70" s="255">
        <v>0</v>
      </c>
      <c r="L70" s="255">
        <v>0</v>
      </c>
      <c r="M70" s="255">
        <v>0</v>
      </c>
      <c r="N70" s="254">
        <v>0</v>
      </c>
      <c r="O70" s="256">
        <v>0</v>
      </c>
      <c r="P70" s="256">
        <v>0</v>
      </c>
      <c r="Q70" s="256">
        <v>0</v>
      </c>
      <c r="R70" s="256">
        <v>0</v>
      </c>
      <c r="S70" s="256">
        <v>0</v>
      </c>
      <c r="T70" s="249"/>
      <c r="U70" s="251"/>
      <c r="V70" s="250"/>
      <c r="W70" s="250"/>
      <c r="X70" s="251"/>
    </row>
    <row r="71" spans="1:24" s="252" customFormat="1" hidden="1">
      <c r="A71" s="243">
        <v>13080</v>
      </c>
      <c r="B71" s="243" t="s">
        <v>1101</v>
      </c>
      <c r="C71" s="244" t="s">
        <v>1108</v>
      </c>
      <c r="D71" s="244" t="s">
        <v>1109</v>
      </c>
      <c r="E71" s="245">
        <v>14200</v>
      </c>
      <c r="F71" s="244" t="s">
        <v>421</v>
      </c>
      <c r="G71" s="244" t="s">
        <v>33</v>
      </c>
      <c r="H71" s="253">
        <v>0</v>
      </c>
      <c r="I71" s="254">
        <v>0</v>
      </c>
      <c r="J71" s="254">
        <v>0</v>
      </c>
      <c r="K71" s="255">
        <v>0</v>
      </c>
      <c r="L71" s="255">
        <v>0</v>
      </c>
      <c r="M71" s="255">
        <v>0</v>
      </c>
      <c r="N71" s="254">
        <v>0</v>
      </c>
      <c r="O71" s="256">
        <v>0</v>
      </c>
      <c r="P71" s="256">
        <v>0</v>
      </c>
      <c r="Q71" s="256">
        <v>0</v>
      </c>
      <c r="R71" s="256">
        <v>0</v>
      </c>
      <c r="S71" s="256">
        <v>0</v>
      </c>
      <c r="T71" s="249"/>
      <c r="U71" s="251"/>
      <c r="V71" s="250"/>
      <c r="W71" s="250"/>
      <c r="X71" s="251"/>
    </row>
    <row r="72" spans="1:24" s="252" customFormat="1" hidden="1">
      <c r="A72" s="243">
        <v>13080</v>
      </c>
      <c r="B72" s="243" t="s">
        <v>1101</v>
      </c>
      <c r="C72" s="244" t="s">
        <v>1110</v>
      </c>
      <c r="D72" s="244" t="s">
        <v>1111</v>
      </c>
      <c r="E72" s="245">
        <v>14200</v>
      </c>
      <c r="F72" s="244" t="s">
        <v>421</v>
      </c>
      <c r="G72" s="244" t="s">
        <v>33</v>
      </c>
      <c r="H72" s="253">
        <v>0</v>
      </c>
      <c r="I72" s="254"/>
      <c r="J72" s="254"/>
      <c r="K72" s="255"/>
      <c r="L72" s="255">
        <v>0</v>
      </c>
      <c r="M72" s="255"/>
      <c r="N72" s="254"/>
      <c r="O72" s="256"/>
      <c r="P72" s="256">
        <v>0</v>
      </c>
      <c r="Q72" s="256"/>
      <c r="R72" s="256"/>
      <c r="S72" s="256"/>
      <c r="T72" s="249"/>
      <c r="U72" s="251"/>
      <c r="V72" s="250"/>
      <c r="W72" s="250"/>
      <c r="X72" s="251"/>
    </row>
    <row r="73" spans="1:24" s="252" customFormat="1" hidden="1">
      <c r="A73" s="243">
        <v>13080</v>
      </c>
      <c r="B73" s="243" t="s">
        <v>1101</v>
      </c>
      <c r="C73" s="244" t="s">
        <v>1112</v>
      </c>
      <c r="D73" s="244" t="s">
        <v>1113</v>
      </c>
      <c r="E73" s="245">
        <v>14200</v>
      </c>
      <c r="F73" s="244" t="s">
        <v>421</v>
      </c>
      <c r="G73" s="244" t="s">
        <v>33</v>
      </c>
      <c r="H73" s="253">
        <v>0</v>
      </c>
      <c r="I73" s="254"/>
      <c r="J73" s="254"/>
      <c r="K73" s="255"/>
      <c r="L73" s="255">
        <v>0</v>
      </c>
      <c r="M73" s="255"/>
      <c r="N73" s="254"/>
      <c r="O73" s="256"/>
      <c r="P73" s="256">
        <v>0</v>
      </c>
      <c r="Q73" s="256"/>
      <c r="R73" s="256"/>
      <c r="S73" s="256"/>
      <c r="T73" s="249"/>
      <c r="U73" s="251"/>
      <c r="V73" s="250"/>
      <c r="W73" s="250"/>
      <c r="X73" s="251"/>
    </row>
    <row r="74" spans="1:24" s="252" customFormat="1" hidden="1">
      <c r="A74" s="243">
        <v>13080</v>
      </c>
      <c r="B74" s="243" t="s">
        <v>1101</v>
      </c>
      <c r="C74" s="244" t="s">
        <v>1114</v>
      </c>
      <c r="D74" s="244" t="s">
        <v>1115</v>
      </c>
      <c r="E74" s="245">
        <v>14200</v>
      </c>
      <c r="F74" s="244" t="s">
        <v>421</v>
      </c>
      <c r="G74" s="244" t="s">
        <v>33</v>
      </c>
      <c r="H74" s="253">
        <v>0</v>
      </c>
      <c r="I74" s="254"/>
      <c r="J74" s="254"/>
      <c r="K74" s="255"/>
      <c r="L74" s="255">
        <v>0</v>
      </c>
      <c r="M74" s="255"/>
      <c r="N74" s="254"/>
      <c r="O74" s="256"/>
      <c r="P74" s="256">
        <v>0</v>
      </c>
      <c r="Q74" s="256"/>
      <c r="R74" s="256"/>
      <c r="S74" s="256"/>
      <c r="T74" s="249"/>
      <c r="U74" s="251"/>
      <c r="V74" s="250"/>
      <c r="W74" s="250"/>
      <c r="X74" s="251"/>
    </row>
    <row r="75" spans="1:24" s="252" customFormat="1" hidden="1">
      <c r="A75" s="243">
        <v>13080</v>
      </c>
      <c r="B75" s="243" t="s">
        <v>1101</v>
      </c>
      <c r="C75" s="244" t="s">
        <v>1116</v>
      </c>
      <c r="D75" s="244" t="s">
        <v>1117</v>
      </c>
      <c r="E75" s="245">
        <v>14200</v>
      </c>
      <c r="F75" s="244" t="s">
        <v>421</v>
      </c>
      <c r="G75" s="244" t="s">
        <v>33</v>
      </c>
      <c r="H75" s="253">
        <v>0</v>
      </c>
      <c r="I75" s="254"/>
      <c r="J75" s="254"/>
      <c r="K75" s="255"/>
      <c r="L75" s="255">
        <v>0</v>
      </c>
      <c r="M75" s="255"/>
      <c r="N75" s="254"/>
      <c r="O75" s="256"/>
      <c r="P75" s="256">
        <v>0</v>
      </c>
      <c r="Q75" s="256"/>
      <c r="R75" s="256"/>
      <c r="S75" s="256"/>
      <c r="T75" s="249"/>
      <c r="U75" s="251"/>
      <c r="V75" s="250"/>
      <c r="W75" s="250"/>
      <c r="X75" s="251"/>
    </row>
    <row r="76" spans="1:24" s="252" customFormat="1" hidden="1">
      <c r="A76" s="243">
        <v>13080</v>
      </c>
      <c r="B76" s="243" t="s">
        <v>1101</v>
      </c>
      <c r="C76" s="244" t="s">
        <v>1118</v>
      </c>
      <c r="D76" s="244" t="s">
        <v>1119</v>
      </c>
      <c r="E76" s="245">
        <v>14200</v>
      </c>
      <c r="F76" s="244" t="s">
        <v>421</v>
      </c>
      <c r="G76" s="244" t="s">
        <v>33</v>
      </c>
      <c r="H76" s="253">
        <v>0</v>
      </c>
      <c r="I76" s="254"/>
      <c r="J76" s="254"/>
      <c r="K76" s="255"/>
      <c r="L76" s="255">
        <v>0</v>
      </c>
      <c r="M76" s="255"/>
      <c r="N76" s="254"/>
      <c r="O76" s="256"/>
      <c r="P76" s="256">
        <v>0</v>
      </c>
      <c r="Q76" s="256"/>
      <c r="R76" s="256"/>
      <c r="S76" s="256"/>
      <c r="T76" s="249"/>
      <c r="U76" s="251"/>
      <c r="V76" s="250"/>
      <c r="W76" s="250"/>
      <c r="X76" s="251"/>
    </row>
    <row r="77" spans="1:24" s="252" customFormat="1" hidden="1">
      <c r="A77" s="243">
        <v>13080</v>
      </c>
      <c r="B77" s="243" t="s">
        <v>1101</v>
      </c>
      <c r="C77" s="244" t="s">
        <v>1120</v>
      </c>
      <c r="D77" s="244" t="s">
        <v>1121</v>
      </c>
      <c r="E77" s="245">
        <v>14200</v>
      </c>
      <c r="F77" s="244" t="s">
        <v>421</v>
      </c>
      <c r="G77" s="244" t="s">
        <v>33</v>
      </c>
      <c r="H77" s="253">
        <v>0</v>
      </c>
      <c r="I77" s="254"/>
      <c r="J77" s="254"/>
      <c r="K77" s="255"/>
      <c r="L77" s="255">
        <v>0</v>
      </c>
      <c r="M77" s="255"/>
      <c r="N77" s="254"/>
      <c r="O77" s="256"/>
      <c r="P77" s="256">
        <v>0</v>
      </c>
      <c r="Q77" s="256"/>
      <c r="R77" s="256"/>
      <c r="S77" s="256"/>
      <c r="T77" s="249"/>
      <c r="U77" s="251"/>
      <c r="V77" s="250"/>
      <c r="W77" s="250"/>
      <c r="X77" s="251"/>
    </row>
    <row r="78" spans="1:24" s="252" customFormat="1" hidden="1">
      <c r="A78" s="243">
        <v>13080</v>
      </c>
      <c r="B78" s="243" t="s">
        <v>1101</v>
      </c>
      <c r="C78" s="244" t="s">
        <v>1122</v>
      </c>
      <c r="D78" s="244" t="s">
        <v>1123</v>
      </c>
      <c r="E78" s="245">
        <v>14200</v>
      </c>
      <c r="F78" s="244" t="s">
        <v>421</v>
      </c>
      <c r="G78" s="244" t="s">
        <v>33</v>
      </c>
      <c r="H78" s="253">
        <v>0</v>
      </c>
      <c r="I78" s="254"/>
      <c r="J78" s="254"/>
      <c r="K78" s="255"/>
      <c r="L78" s="255">
        <v>0</v>
      </c>
      <c r="M78" s="255"/>
      <c r="N78" s="254"/>
      <c r="O78" s="256"/>
      <c r="P78" s="256">
        <v>0</v>
      </c>
      <c r="Q78" s="256"/>
      <c r="R78" s="256"/>
      <c r="S78" s="256"/>
      <c r="T78" s="249"/>
      <c r="U78" s="251"/>
      <c r="V78" s="250"/>
      <c r="W78" s="250"/>
      <c r="X78" s="251"/>
    </row>
    <row r="79" spans="1:24" s="252" customFormat="1" hidden="1">
      <c r="A79" s="243">
        <v>13080</v>
      </c>
      <c r="B79" s="243" t="s">
        <v>1101</v>
      </c>
      <c r="C79" s="244" t="s">
        <v>1124</v>
      </c>
      <c r="D79" s="244" t="s">
        <v>1125</v>
      </c>
      <c r="E79" s="245">
        <v>14200</v>
      </c>
      <c r="F79" s="244" t="s">
        <v>421</v>
      </c>
      <c r="G79" s="244" t="s">
        <v>33</v>
      </c>
      <c r="H79" s="253">
        <v>0</v>
      </c>
      <c r="I79" s="254"/>
      <c r="J79" s="254"/>
      <c r="K79" s="255"/>
      <c r="L79" s="255">
        <v>0</v>
      </c>
      <c r="M79" s="255"/>
      <c r="N79" s="254"/>
      <c r="O79" s="256"/>
      <c r="P79" s="256">
        <v>0</v>
      </c>
      <c r="Q79" s="256"/>
      <c r="R79" s="256"/>
      <c r="S79" s="256"/>
      <c r="T79" s="249"/>
      <c r="U79" s="251"/>
      <c r="V79" s="250"/>
      <c r="W79" s="250"/>
      <c r="X79" s="251"/>
    </row>
    <row r="80" spans="1:24" s="252" customFormat="1" hidden="1">
      <c r="A80" s="243">
        <v>13080</v>
      </c>
      <c r="B80" s="243" t="s">
        <v>1101</v>
      </c>
      <c r="C80" s="244" t="s">
        <v>1126</v>
      </c>
      <c r="D80" s="244" t="s">
        <v>1127</v>
      </c>
      <c r="E80" s="245">
        <v>14200</v>
      </c>
      <c r="F80" s="244" t="s">
        <v>421</v>
      </c>
      <c r="G80" s="244" t="s">
        <v>33</v>
      </c>
      <c r="H80" s="253">
        <v>0</v>
      </c>
      <c r="I80" s="254"/>
      <c r="J80" s="254"/>
      <c r="K80" s="255"/>
      <c r="L80" s="255">
        <v>0</v>
      </c>
      <c r="M80" s="255"/>
      <c r="N80" s="254"/>
      <c r="O80" s="256"/>
      <c r="P80" s="256">
        <v>0</v>
      </c>
      <c r="Q80" s="256"/>
      <c r="R80" s="256"/>
      <c r="S80" s="256"/>
      <c r="T80" s="249"/>
      <c r="U80" s="251"/>
      <c r="V80" s="250"/>
      <c r="W80" s="250"/>
      <c r="X80" s="251"/>
    </row>
    <row r="81" spans="1:24" s="252" customFormat="1" hidden="1">
      <c r="A81" s="243">
        <v>13080</v>
      </c>
      <c r="B81" s="243" t="s">
        <v>1101</v>
      </c>
      <c r="C81" s="244" t="s">
        <v>1128</v>
      </c>
      <c r="D81" s="244" t="s">
        <v>1129</v>
      </c>
      <c r="E81" s="245">
        <v>14200</v>
      </c>
      <c r="F81" s="244" t="s">
        <v>421</v>
      </c>
      <c r="G81" s="244" t="s">
        <v>33</v>
      </c>
      <c r="H81" s="253">
        <v>0</v>
      </c>
      <c r="I81" s="254"/>
      <c r="J81" s="254"/>
      <c r="K81" s="255"/>
      <c r="L81" s="255">
        <v>0</v>
      </c>
      <c r="M81" s="255"/>
      <c r="N81" s="254"/>
      <c r="O81" s="256"/>
      <c r="P81" s="256">
        <v>0</v>
      </c>
      <c r="Q81" s="256"/>
      <c r="R81" s="256"/>
      <c r="S81" s="256"/>
      <c r="T81" s="249"/>
      <c r="U81" s="251"/>
      <c r="V81" s="250"/>
      <c r="W81" s="250"/>
      <c r="X81" s="251"/>
    </row>
    <row r="82" spans="1:24" s="252" customFormat="1" hidden="1">
      <c r="A82" s="243">
        <v>13080</v>
      </c>
      <c r="B82" s="243" t="s">
        <v>1101</v>
      </c>
      <c r="C82" s="244" t="s">
        <v>1130</v>
      </c>
      <c r="D82" s="244" t="s">
        <v>1131</v>
      </c>
      <c r="E82" s="245">
        <v>14200</v>
      </c>
      <c r="F82" s="244" t="s">
        <v>421</v>
      </c>
      <c r="G82" s="244" t="s">
        <v>33</v>
      </c>
      <c r="H82" s="253">
        <v>0</v>
      </c>
      <c r="I82" s="254"/>
      <c r="J82" s="254"/>
      <c r="K82" s="255"/>
      <c r="L82" s="255">
        <v>0</v>
      </c>
      <c r="M82" s="255"/>
      <c r="N82" s="254"/>
      <c r="O82" s="256"/>
      <c r="P82" s="256">
        <v>0</v>
      </c>
      <c r="Q82" s="256"/>
      <c r="R82" s="256"/>
      <c r="S82" s="256"/>
      <c r="T82" s="249"/>
      <c r="U82" s="251"/>
      <c r="V82" s="250"/>
      <c r="W82" s="250"/>
      <c r="X82" s="251"/>
    </row>
    <row r="83" spans="1:24" s="252" customFormat="1" hidden="1">
      <c r="A83" s="243">
        <v>13080</v>
      </c>
      <c r="B83" s="243" t="s">
        <v>1101</v>
      </c>
      <c r="C83" s="244" t="s">
        <v>1132</v>
      </c>
      <c r="D83" s="244" t="s">
        <v>1133</v>
      </c>
      <c r="E83" s="245">
        <v>14200</v>
      </c>
      <c r="F83" s="244" t="s">
        <v>421</v>
      </c>
      <c r="G83" s="244" t="s">
        <v>33</v>
      </c>
      <c r="H83" s="253">
        <v>116391.03</v>
      </c>
      <c r="I83" s="254">
        <v>94599.039999999994</v>
      </c>
      <c r="J83" s="254">
        <v>93796.2</v>
      </c>
      <c r="K83" s="255">
        <v>135842.76</v>
      </c>
      <c r="L83" s="255">
        <v>135842.76</v>
      </c>
      <c r="M83" s="255">
        <v>135842.72</v>
      </c>
      <c r="N83" s="254">
        <v>135842.72</v>
      </c>
      <c r="O83" s="256">
        <v>135842.72</v>
      </c>
      <c r="P83" s="256">
        <v>135842.72</v>
      </c>
      <c r="Q83" s="256">
        <v>116436.62</v>
      </c>
      <c r="R83" s="256">
        <v>92947.92</v>
      </c>
      <c r="S83" s="256">
        <v>0</v>
      </c>
      <c r="T83" s="249"/>
      <c r="U83" s="251"/>
      <c r="V83" s="250"/>
      <c r="W83" s="250"/>
      <c r="X83" s="251"/>
    </row>
    <row r="84" spans="1:24" s="252" customFormat="1" hidden="1">
      <c r="A84" s="243">
        <v>13080</v>
      </c>
      <c r="B84" s="243" t="s">
        <v>1101</v>
      </c>
      <c r="C84" s="244" t="s">
        <v>1134</v>
      </c>
      <c r="D84" s="244"/>
      <c r="E84" s="245">
        <v>14200</v>
      </c>
      <c r="F84" s="244" t="s">
        <v>421</v>
      </c>
      <c r="G84" s="244" t="s">
        <v>33</v>
      </c>
      <c r="H84" s="253">
        <v>3368.66</v>
      </c>
      <c r="I84" s="254">
        <v>3367.94</v>
      </c>
      <c r="J84" s="254">
        <v>3368.66</v>
      </c>
      <c r="K84" s="255">
        <v>0</v>
      </c>
      <c r="L84" s="255">
        <v>0</v>
      </c>
      <c r="M84" s="255">
        <v>0</v>
      </c>
      <c r="N84" s="254">
        <v>0</v>
      </c>
      <c r="O84" s="256">
        <v>0</v>
      </c>
      <c r="P84" s="256">
        <v>0</v>
      </c>
      <c r="Q84" s="256">
        <v>0</v>
      </c>
      <c r="R84" s="256">
        <v>0</v>
      </c>
      <c r="S84" s="256">
        <v>0</v>
      </c>
      <c r="T84" s="249"/>
      <c r="U84" s="251"/>
      <c r="V84" s="250"/>
      <c r="W84" s="250"/>
      <c r="X84" s="251"/>
    </row>
    <row r="85" spans="1:24" s="252" customFormat="1" hidden="1">
      <c r="A85" s="243">
        <v>13080</v>
      </c>
      <c r="B85" s="243" t="s">
        <v>1101</v>
      </c>
      <c r="C85" s="244" t="s">
        <v>1135</v>
      </c>
      <c r="D85" s="244"/>
      <c r="E85" s="245">
        <v>14200</v>
      </c>
      <c r="F85" s="244" t="s">
        <v>421</v>
      </c>
      <c r="G85" s="244" t="s">
        <v>33</v>
      </c>
      <c r="H85" s="253">
        <v>0</v>
      </c>
      <c r="I85" s="254">
        <v>0</v>
      </c>
      <c r="J85" s="254">
        <v>0</v>
      </c>
      <c r="K85" s="255">
        <v>0</v>
      </c>
      <c r="L85" s="255">
        <v>65142.14</v>
      </c>
      <c r="M85" s="255">
        <v>0</v>
      </c>
      <c r="N85" s="254">
        <v>0</v>
      </c>
      <c r="O85" s="256">
        <v>0</v>
      </c>
      <c r="P85" s="256">
        <v>0</v>
      </c>
      <c r="Q85" s="256">
        <v>0</v>
      </c>
      <c r="R85" s="256">
        <v>0</v>
      </c>
      <c r="S85" s="256">
        <v>0</v>
      </c>
      <c r="T85" s="249"/>
      <c r="U85" s="251"/>
      <c r="V85" s="250"/>
      <c r="W85" s="250"/>
      <c r="X85" s="251"/>
    </row>
    <row r="86" spans="1:24" s="252" customFormat="1" hidden="1">
      <c r="A86" s="243">
        <v>13080</v>
      </c>
      <c r="B86" s="243" t="s">
        <v>1101</v>
      </c>
      <c r="C86" s="244" t="s">
        <v>1136</v>
      </c>
      <c r="D86" s="244"/>
      <c r="E86" s="245">
        <v>14200</v>
      </c>
      <c r="F86" s="244" t="s">
        <v>421</v>
      </c>
      <c r="G86" s="244" t="s">
        <v>33</v>
      </c>
      <c r="H86" s="253">
        <v>116744.92</v>
      </c>
      <c r="I86" s="254">
        <v>159209.28</v>
      </c>
      <c r="J86" s="254">
        <v>159209.28</v>
      </c>
      <c r="K86" s="255">
        <v>127367.42</v>
      </c>
      <c r="L86" s="255">
        <v>63679.05</v>
      </c>
      <c r="M86" s="255">
        <v>84905.51</v>
      </c>
      <c r="N86" s="254">
        <v>0.12</v>
      </c>
      <c r="O86" s="256">
        <v>148584.39000000001</v>
      </c>
      <c r="P86" s="256">
        <v>21226.38</v>
      </c>
      <c r="Q86" s="256">
        <v>212263.78</v>
      </c>
      <c r="R86" s="256">
        <v>159197.82999999999</v>
      </c>
      <c r="S86" s="256">
        <v>0</v>
      </c>
      <c r="T86" s="249"/>
      <c r="U86" s="251"/>
      <c r="V86" s="250"/>
      <c r="W86" s="250"/>
      <c r="X86" s="251"/>
    </row>
    <row r="87" spans="1:24" s="252" customFormat="1" hidden="1">
      <c r="A87" s="243">
        <v>13080</v>
      </c>
      <c r="B87" s="243" t="s">
        <v>1101</v>
      </c>
      <c r="C87" s="244" t="s">
        <v>1137</v>
      </c>
      <c r="D87" s="244" t="s">
        <v>1138</v>
      </c>
      <c r="E87" s="245">
        <v>14100</v>
      </c>
      <c r="F87" s="244" t="s">
        <v>412</v>
      </c>
      <c r="G87" s="244" t="s">
        <v>33</v>
      </c>
      <c r="H87" s="253">
        <v>0</v>
      </c>
      <c r="I87" s="254">
        <v>0</v>
      </c>
      <c r="J87" s="254">
        <v>0</v>
      </c>
      <c r="K87" s="255">
        <v>0</v>
      </c>
      <c r="L87" s="255">
        <v>0</v>
      </c>
      <c r="M87" s="255">
        <v>0</v>
      </c>
      <c r="N87" s="254">
        <v>0</v>
      </c>
      <c r="O87" s="256">
        <v>0</v>
      </c>
      <c r="P87" s="256">
        <v>0</v>
      </c>
      <c r="Q87" s="256">
        <v>0</v>
      </c>
      <c r="R87" s="256">
        <v>0</v>
      </c>
      <c r="S87" s="256">
        <v>0</v>
      </c>
      <c r="T87" s="249"/>
      <c r="U87" s="251"/>
      <c r="V87" s="250"/>
      <c r="W87" s="250"/>
      <c r="X87" s="251"/>
    </row>
    <row r="88" spans="1:24" s="252" customFormat="1" hidden="1">
      <c r="A88" s="243">
        <v>13080</v>
      </c>
      <c r="B88" s="243" t="s">
        <v>1101</v>
      </c>
      <c r="C88" s="244" t="s">
        <v>1139</v>
      </c>
      <c r="D88" s="244" t="s">
        <v>1140</v>
      </c>
      <c r="E88" s="245">
        <v>14400</v>
      </c>
      <c r="F88" s="244" t="s">
        <v>425</v>
      </c>
      <c r="G88" s="244" t="s">
        <v>33</v>
      </c>
      <c r="H88" s="253">
        <v>0</v>
      </c>
      <c r="I88" s="254">
        <v>0</v>
      </c>
      <c r="J88" s="254">
        <v>0</v>
      </c>
      <c r="K88" s="255">
        <v>0</v>
      </c>
      <c r="L88" s="255">
        <v>0</v>
      </c>
      <c r="M88" s="255">
        <v>0</v>
      </c>
      <c r="N88" s="254">
        <v>0</v>
      </c>
      <c r="O88" s="256">
        <v>0</v>
      </c>
      <c r="P88" s="256">
        <v>0</v>
      </c>
      <c r="Q88" s="256">
        <v>0</v>
      </c>
      <c r="R88" s="256">
        <v>0</v>
      </c>
      <c r="S88" s="256">
        <v>0</v>
      </c>
      <c r="T88" s="249"/>
      <c r="U88" s="251"/>
      <c r="V88" s="250"/>
      <c r="W88" s="250"/>
      <c r="X88" s="251"/>
    </row>
    <row r="89" spans="1:24" s="252" customFormat="1" hidden="1">
      <c r="A89" s="243">
        <v>13100</v>
      </c>
      <c r="B89" s="243" t="s">
        <v>1141</v>
      </c>
      <c r="C89" s="244" t="s">
        <v>1142</v>
      </c>
      <c r="D89" s="244" t="s">
        <v>1143</v>
      </c>
      <c r="E89" s="245">
        <v>14500</v>
      </c>
      <c r="F89" s="244" t="s">
        <v>427</v>
      </c>
      <c r="G89" s="244" t="s">
        <v>428</v>
      </c>
      <c r="H89" s="253">
        <v>-275958.34999999998</v>
      </c>
      <c r="I89" s="254">
        <v>-275958.34999999998</v>
      </c>
      <c r="J89" s="254">
        <v>-275958.34999999998</v>
      </c>
      <c r="K89" s="255">
        <v>-275958.34999999998</v>
      </c>
      <c r="L89" s="255">
        <v>-275958.34999999998</v>
      </c>
      <c r="M89" s="255">
        <v>-275958.34999999998</v>
      </c>
      <c r="N89" s="254">
        <v>-275958.34999999998</v>
      </c>
      <c r="O89" s="256">
        <v>-275958.34999999998</v>
      </c>
      <c r="P89" s="256">
        <v>-275958.34999999998</v>
      </c>
      <c r="Q89" s="256">
        <v>-275958.34999999998</v>
      </c>
      <c r="R89" s="256">
        <v>-275958.34999999998</v>
      </c>
      <c r="S89" s="256">
        <v>-409735.89</v>
      </c>
      <c r="T89" s="249"/>
      <c r="U89" s="251"/>
      <c r="V89" s="250"/>
      <c r="W89" s="250"/>
      <c r="X89" s="251"/>
    </row>
    <row r="90" spans="1:24" s="252" customFormat="1" hidden="1">
      <c r="A90" s="243">
        <v>13080</v>
      </c>
      <c r="B90" s="243" t="s">
        <v>1101</v>
      </c>
      <c r="C90" s="244" t="s">
        <v>1144</v>
      </c>
      <c r="D90" s="244" t="s">
        <v>1145</v>
      </c>
      <c r="E90" s="245">
        <v>14202</v>
      </c>
      <c r="F90" s="244" t="s">
        <v>423</v>
      </c>
      <c r="G90" s="244" t="s">
        <v>33</v>
      </c>
      <c r="H90" s="253">
        <v>473451.42</v>
      </c>
      <c r="I90" s="254">
        <v>473451.42</v>
      </c>
      <c r="J90" s="254">
        <v>473451.42</v>
      </c>
      <c r="K90" s="255">
        <v>473451.42</v>
      </c>
      <c r="L90" s="255">
        <v>473451.42</v>
      </c>
      <c r="M90" s="255">
        <v>473451.42</v>
      </c>
      <c r="N90" s="254">
        <v>473451.42</v>
      </c>
      <c r="O90" s="256">
        <v>297505.81</v>
      </c>
      <c r="P90" s="256">
        <v>297505.81</v>
      </c>
      <c r="Q90" s="256">
        <v>297505.81</v>
      </c>
      <c r="R90" s="256">
        <v>297505.81</v>
      </c>
      <c r="S90" s="256">
        <v>578249.87</v>
      </c>
      <c r="T90" s="249"/>
      <c r="U90" s="251"/>
      <c r="V90" s="250"/>
      <c r="W90" s="250"/>
      <c r="X90" s="251"/>
    </row>
    <row r="91" spans="1:24" s="252" customFormat="1" hidden="1">
      <c r="A91" s="243">
        <v>13220</v>
      </c>
      <c r="B91" s="243" t="s">
        <v>1146</v>
      </c>
      <c r="C91" s="244" t="s">
        <v>1147</v>
      </c>
      <c r="D91" s="244" t="s">
        <v>1148</v>
      </c>
      <c r="E91" s="245">
        <v>12100</v>
      </c>
      <c r="F91" s="244" t="s">
        <v>292</v>
      </c>
      <c r="G91" s="244" t="s">
        <v>293</v>
      </c>
      <c r="H91" s="253">
        <v>0</v>
      </c>
      <c r="I91" s="254">
        <v>0</v>
      </c>
      <c r="J91" s="254">
        <v>0</v>
      </c>
      <c r="K91" s="255">
        <v>0</v>
      </c>
      <c r="L91" s="255">
        <v>0</v>
      </c>
      <c r="M91" s="255">
        <v>0</v>
      </c>
      <c r="N91" s="254">
        <v>0</v>
      </c>
      <c r="O91" s="256">
        <v>0</v>
      </c>
      <c r="P91" s="256">
        <v>0</v>
      </c>
      <c r="Q91" s="256">
        <v>0</v>
      </c>
      <c r="R91" s="256">
        <v>0</v>
      </c>
      <c r="S91" s="256">
        <v>0</v>
      </c>
      <c r="T91" s="249"/>
      <c r="U91" s="251"/>
      <c r="V91" s="250"/>
      <c r="W91" s="250"/>
      <c r="X91" s="251"/>
    </row>
    <row r="92" spans="1:24" s="252" customFormat="1" hidden="1">
      <c r="A92" s="243">
        <v>13480</v>
      </c>
      <c r="B92" s="243" t="s">
        <v>1149</v>
      </c>
      <c r="C92" s="244" t="s">
        <v>1150</v>
      </c>
      <c r="D92" s="244" t="s">
        <v>1151</v>
      </c>
      <c r="E92" s="245">
        <v>12100</v>
      </c>
      <c r="F92" s="244" t="s">
        <v>292</v>
      </c>
      <c r="G92" s="244" t="s">
        <v>293</v>
      </c>
      <c r="H92" s="267">
        <f>33150607.04-H459</f>
        <v>17511407.039999999</v>
      </c>
      <c r="I92" s="254">
        <f>-I459+36005869.01</f>
        <v>20366669.009999998</v>
      </c>
      <c r="J92" s="254">
        <f>-J459+36833080.53</f>
        <v>21193880.530000001</v>
      </c>
      <c r="K92" s="255">
        <f>-K459+29575832.91</f>
        <v>13936632.91</v>
      </c>
      <c r="L92" s="255">
        <f>-L459+17675856.39</f>
        <v>7686656.3900000006</v>
      </c>
      <c r="M92" s="255">
        <f>-M459+18973542.04</f>
        <v>8984342.0399999991</v>
      </c>
      <c r="N92" s="254">
        <f>-N459+16643553.96</f>
        <v>6654353.9600000009</v>
      </c>
      <c r="O92" s="256">
        <f>-O459+12764447.91</f>
        <v>2775247.91</v>
      </c>
      <c r="P92" s="256">
        <f>-P459+9928334.18</f>
        <v>4865134.18</v>
      </c>
      <c r="Q92" s="256">
        <f>-Q459+10506287.44</f>
        <v>5443087.4399999995</v>
      </c>
      <c r="R92" s="256">
        <f>-R459+8565903.3</f>
        <v>3502703.3000000007</v>
      </c>
      <c r="S92" s="267">
        <v>3568620.23</v>
      </c>
      <c r="T92" s="249"/>
      <c r="U92" s="251" t="s">
        <v>1152</v>
      </c>
      <c r="V92" s="250"/>
      <c r="W92" s="250"/>
      <c r="X92" s="251"/>
    </row>
    <row r="93" spans="1:24" s="252" customFormat="1" hidden="1">
      <c r="A93" s="243">
        <v>13481</v>
      </c>
      <c r="B93" s="243" t="s">
        <v>1153</v>
      </c>
      <c r="C93" s="244" t="s">
        <v>1154</v>
      </c>
      <c r="D93" s="244" t="s">
        <v>1155</v>
      </c>
      <c r="E93" s="245">
        <v>12109</v>
      </c>
      <c r="F93" s="244" t="s">
        <v>297</v>
      </c>
      <c r="G93" s="244" t="s">
        <v>293</v>
      </c>
      <c r="H93" s="253">
        <v>11449.09</v>
      </c>
      <c r="I93" s="254">
        <v>53033.09</v>
      </c>
      <c r="J93" s="254">
        <v>4217.09</v>
      </c>
      <c r="K93" s="255">
        <v>4217.09</v>
      </c>
      <c r="L93" s="255">
        <v>4217.09</v>
      </c>
      <c r="M93" s="255">
        <v>3162.97</v>
      </c>
      <c r="N93" s="254">
        <v>3162.97</v>
      </c>
      <c r="O93" s="256">
        <v>3162.97</v>
      </c>
      <c r="P93" s="256">
        <v>3162.97</v>
      </c>
      <c r="Q93" s="256">
        <v>3162.97</v>
      </c>
      <c r="R93" s="256">
        <v>3162.97</v>
      </c>
      <c r="S93" s="256">
        <v>0</v>
      </c>
      <c r="T93" s="249"/>
      <c r="U93" s="251"/>
      <c r="V93" s="250"/>
      <c r="W93" s="250"/>
      <c r="X93" s="251"/>
    </row>
    <row r="94" spans="1:24" s="252" customFormat="1" hidden="1">
      <c r="A94" s="243">
        <v>13220</v>
      </c>
      <c r="B94" s="243" t="s">
        <v>1146</v>
      </c>
      <c r="C94" s="244" t="s">
        <v>1156</v>
      </c>
      <c r="D94" s="244" t="s">
        <v>1157</v>
      </c>
      <c r="E94" s="245">
        <v>12100</v>
      </c>
      <c r="F94" s="244" t="s">
        <v>292</v>
      </c>
      <c r="G94" s="244" t="s">
        <v>293</v>
      </c>
      <c r="H94" s="268">
        <v>671104.86</v>
      </c>
      <c r="I94" s="268">
        <v>1612174.84</v>
      </c>
      <c r="J94" s="268">
        <v>2034585.22</v>
      </c>
      <c r="K94" s="269">
        <v>1409167.63</v>
      </c>
      <c r="L94" s="269">
        <v>464326.43</v>
      </c>
      <c r="M94" s="269">
        <v>146485.74</v>
      </c>
      <c r="N94" s="268">
        <v>401785.54</v>
      </c>
      <c r="O94" s="270">
        <v>1216854.93</v>
      </c>
      <c r="P94" s="270">
        <v>1604898.85</v>
      </c>
      <c r="Q94" s="270">
        <v>2865830.09</v>
      </c>
      <c r="R94" s="270">
        <v>2673385.9500000002</v>
      </c>
      <c r="S94" s="270">
        <v>598536.13</v>
      </c>
      <c r="T94" s="249"/>
      <c r="U94" s="251" t="s">
        <v>1158</v>
      </c>
      <c r="V94" s="250"/>
      <c r="W94" s="250"/>
      <c r="X94" s="251"/>
    </row>
    <row r="95" spans="1:24" s="252" customFormat="1" hidden="1">
      <c r="A95" s="243">
        <v>13220</v>
      </c>
      <c r="B95" s="243" t="s">
        <v>1146</v>
      </c>
      <c r="C95" s="244" t="s">
        <v>1156</v>
      </c>
      <c r="D95" s="244" t="s">
        <v>1157</v>
      </c>
      <c r="E95" s="245">
        <v>12109</v>
      </c>
      <c r="F95" s="244" t="s">
        <v>297</v>
      </c>
      <c r="G95" s="244" t="s">
        <v>293</v>
      </c>
      <c r="H95" s="268">
        <v>1967655.71</v>
      </c>
      <c r="I95" s="268">
        <v>1800961.1899999997</v>
      </c>
      <c r="J95" s="268">
        <v>1564149.56</v>
      </c>
      <c r="K95" s="269">
        <v>1436719.23</v>
      </c>
      <c r="L95" s="269">
        <v>1538204.76</v>
      </c>
      <c r="M95" s="269">
        <f>756286.23-M94</f>
        <v>609800.49</v>
      </c>
      <c r="N95" s="268">
        <v>1214751.1499999999</v>
      </c>
      <c r="O95" s="270">
        <v>1107712.19</v>
      </c>
      <c r="P95" s="270">
        <v>4037716.58</v>
      </c>
      <c r="Q95" s="270">
        <v>4961541.17</v>
      </c>
      <c r="R95" s="270">
        <v>5198948.0999999996</v>
      </c>
      <c r="S95" s="270">
        <v>8952308.0700000003</v>
      </c>
      <c r="T95" s="271"/>
      <c r="U95" s="251" t="s">
        <v>1158</v>
      </c>
      <c r="V95" s="250"/>
      <c r="W95" s="250"/>
      <c r="X95" s="251"/>
    </row>
    <row r="96" spans="1:24" s="252" customFormat="1" hidden="1">
      <c r="A96" s="243">
        <v>13320</v>
      </c>
      <c r="B96" s="243" t="s">
        <v>1159</v>
      </c>
      <c r="C96" s="244" t="s">
        <v>1160</v>
      </c>
      <c r="D96" s="244" t="s">
        <v>1161</v>
      </c>
      <c r="E96" s="245"/>
      <c r="F96" s="244"/>
      <c r="G96" s="244"/>
      <c r="H96" s="253">
        <v>0</v>
      </c>
      <c r="I96" s="254">
        <v>0</v>
      </c>
      <c r="J96" s="254">
        <v>0</v>
      </c>
      <c r="K96" s="255">
        <v>0</v>
      </c>
      <c r="L96" s="255">
        <v>0</v>
      </c>
      <c r="M96" s="255">
        <v>0</v>
      </c>
      <c r="N96" s="255">
        <v>0</v>
      </c>
      <c r="O96" s="255">
        <v>0</v>
      </c>
      <c r="P96" s="255">
        <v>0</v>
      </c>
      <c r="Q96" s="255">
        <v>0</v>
      </c>
      <c r="R96" s="255">
        <v>0</v>
      </c>
      <c r="S96" s="255">
        <v>0</v>
      </c>
      <c r="T96" s="249"/>
      <c r="U96" s="251"/>
      <c r="V96" s="250"/>
      <c r="W96" s="250"/>
      <c r="X96" s="251"/>
    </row>
    <row r="97" spans="1:24" s="252" customFormat="1" hidden="1">
      <c r="A97" s="243">
        <v>13320</v>
      </c>
      <c r="B97" s="243" t="s">
        <v>1159</v>
      </c>
      <c r="C97" s="244" t="s">
        <v>1162</v>
      </c>
      <c r="D97" s="244" t="s">
        <v>1163</v>
      </c>
      <c r="E97" s="245">
        <v>12300</v>
      </c>
      <c r="F97" s="244" t="s">
        <v>1164</v>
      </c>
      <c r="G97" s="244" t="s">
        <v>300</v>
      </c>
      <c r="H97" s="253">
        <v>0</v>
      </c>
      <c r="I97" s="254">
        <v>0</v>
      </c>
      <c r="J97" s="254">
        <v>0</v>
      </c>
      <c r="K97" s="255">
        <v>0</v>
      </c>
      <c r="L97" s="255">
        <v>0</v>
      </c>
      <c r="M97" s="255">
        <v>0</v>
      </c>
      <c r="N97" s="254">
        <v>0</v>
      </c>
      <c r="O97" s="256">
        <v>0</v>
      </c>
      <c r="P97" s="256">
        <v>0</v>
      </c>
      <c r="Q97" s="256">
        <v>0</v>
      </c>
      <c r="R97" s="256">
        <v>0</v>
      </c>
      <c r="S97" s="256">
        <v>0</v>
      </c>
      <c r="T97" s="249"/>
      <c r="U97" s="251"/>
      <c r="V97" s="250"/>
      <c r="W97" s="250"/>
      <c r="X97" s="251"/>
    </row>
    <row r="98" spans="1:24" s="252" customFormat="1" hidden="1">
      <c r="A98" s="243">
        <v>13481</v>
      </c>
      <c r="B98" s="243" t="s">
        <v>1153</v>
      </c>
      <c r="C98" s="244" t="s">
        <v>1165</v>
      </c>
      <c r="D98" s="244" t="s">
        <v>1166</v>
      </c>
      <c r="E98" s="245">
        <v>12109</v>
      </c>
      <c r="F98" s="244" t="s">
        <v>297</v>
      </c>
      <c r="G98" s="244" t="s">
        <v>293</v>
      </c>
      <c r="H98" s="253">
        <v>0</v>
      </c>
      <c r="I98" s="254"/>
      <c r="J98" s="254"/>
      <c r="K98" s="255"/>
      <c r="L98" s="255">
        <v>0</v>
      </c>
      <c r="M98" s="255"/>
      <c r="N98" s="254"/>
      <c r="O98" s="256"/>
      <c r="P98" s="256">
        <v>0</v>
      </c>
      <c r="Q98" s="256"/>
      <c r="R98" s="256"/>
      <c r="S98" s="256"/>
      <c r="T98" s="249"/>
      <c r="U98" s="251"/>
      <c r="V98" s="250"/>
      <c r="W98" s="250"/>
      <c r="X98" s="251"/>
    </row>
    <row r="99" spans="1:24" s="252" customFormat="1" hidden="1">
      <c r="A99" s="243">
        <v>13481</v>
      </c>
      <c r="B99" s="243" t="s">
        <v>1153</v>
      </c>
      <c r="C99" s="244" t="s">
        <v>1167</v>
      </c>
      <c r="D99" s="244" t="s">
        <v>1168</v>
      </c>
      <c r="E99" s="245">
        <v>12109</v>
      </c>
      <c r="F99" s="244" t="s">
        <v>297</v>
      </c>
      <c r="G99" s="244" t="s">
        <v>293</v>
      </c>
      <c r="H99" s="253">
        <v>0</v>
      </c>
      <c r="I99" s="254"/>
      <c r="J99" s="254"/>
      <c r="K99" s="255"/>
      <c r="L99" s="255">
        <v>0</v>
      </c>
      <c r="M99" s="255"/>
      <c r="N99" s="254"/>
      <c r="O99" s="256"/>
      <c r="P99" s="256">
        <v>0</v>
      </c>
      <c r="Q99" s="256"/>
      <c r="R99" s="256"/>
      <c r="S99" s="256"/>
      <c r="T99" s="249"/>
      <c r="U99" s="251"/>
      <c r="V99" s="250"/>
      <c r="W99" s="250"/>
      <c r="X99" s="251"/>
    </row>
    <row r="100" spans="1:24" s="252" customFormat="1" hidden="1">
      <c r="A100" s="243">
        <v>13481</v>
      </c>
      <c r="B100" s="243" t="s">
        <v>1153</v>
      </c>
      <c r="C100" s="244" t="s">
        <v>1169</v>
      </c>
      <c r="D100" s="244" t="s">
        <v>1170</v>
      </c>
      <c r="E100" s="245">
        <v>12109</v>
      </c>
      <c r="F100" s="244" t="s">
        <v>297</v>
      </c>
      <c r="G100" s="244" t="s">
        <v>293</v>
      </c>
      <c r="H100" s="253">
        <v>0</v>
      </c>
      <c r="I100" s="254"/>
      <c r="J100" s="254"/>
      <c r="K100" s="255"/>
      <c r="L100" s="255">
        <v>0</v>
      </c>
      <c r="M100" s="255"/>
      <c r="N100" s="254"/>
      <c r="O100" s="256"/>
      <c r="P100" s="256">
        <v>0</v>
      </c>
      <c r="Q100" s="256"/>
      <c r="R100" s="256"/>
      <c r="S100" s="256"/>
      <c r="T100" s="249"/>
      <c r="U100" s="251"/>
      <c r="V100" s="250"/>
      <c r="W100" s="250"/>
      <c r="X100" s="251"/>
    </row>
    <row r="101" spans="1:24" s="252" customFormat="1" hidden="1">
      <c r="A101" s="243">
        <v>13481</v>
      </c>
      <c r="B101" s="243" t="s">
        <v>1153</v>
      </c>
      <c r="C101" s="244" t="s">
        <v>1171</v>
      </c>
      <c r="D101" s="244" t="s">
        <v>1172</v>
      </c>
      <c r="E101" s="245">
        <v>12109</v>
      </c>
      <c r="F101" s="244" t="s">
        <v>297</v>
      </c>
      <c r="G101" s="244" t="s">
        <v>293</v>
      </c>
      <c r="H101" s="253">
        <v>0</v>
      </c>
      <c r="I101" s="254"/>
      <c r="J101" s="254"/>
      <c r="K101" s="255"/>
      <c r="L101" s="255">
        <v>0</v>
      </c>
      <c r="M101" s="255"/>
      <c r="N101" s="254"/>
      <c r="O101" s="256"/>
      <c r="P101" s="256">
        <v>0</v>
      </c>
      <c r="Q101" s="256"/>
      <c r="R101" s="256"/>
      <c r="S101" s="256"/>
      <c r="T101" s="249"/>
      <c r="U101" s="251"/>
      <c r="V101" s="250"/>
      <c r="W101" s="250"/>
      <c r="X101" s="251"/>
    </row>
    <row r="102" spans="1:24" s="252" customFormat="1" hidden="1">
      <c r="A102" s="243">
        <v>13481</v>
      </c>
      <c r="B102" s="243" t="s">
        <v>1153</v>
      </c>
      <c r="C102" s="244" t="s">
        <v>1173</v>
      </c>
      <c r="D102" s="244" t="s">
        <v>1174</v>
      </c>
      <c r="E102" s="245">
        <v>12109</v>
      </c>
      <c r="F102" s="244" t="s">
        <v>297</v>
      </c>
      <c r="G102" s="244" t="s">
        <v>293</v>
      </c>
      <c r="H102" s="253">
        <v>0</v>
      </c>
      <c r="I102" s="254">
        <v>0</v>
      </c>
      <c r="J102" s="254">
        <v>0</v>
      </c>
      <c r="K102" s="255">
        <v>0</v>
      </c>
      <c r="L102" s="255">
        <v>0</v>
      </c>
      <c r="M102" s="255">
        <v>0</v>
      </c>
      <c r="N102" s="254">
        <v>0</v>
      </c>
      <c r="O102" s="256">
        <v>0</v>
      </c>
      <c r="P102" s="256">
        <v>0</v>
      </c>
      <c r="Q102" s="256">
        <v>0</v>
      </c>
      <c r="R102" s="256">
        <v>0</v>
      </c>
      <c r="S102" s="256">
        <v>0</v>
      </c>
      <c r="T102" s="249"/>
      <c r="U102" s="251"/>
      <c r="V102" s="250"/>
      <c r="W102" s="250"/>
      <c r="X102" s="251"/>
    </row>
    <row r="103" spans="1:24" s="252" customFormat="1" hidden="1">
      <c r="A103" s="243">
        <v>13481</v>
      </c>
      <c r="B103" s="243" t="s">
        <v>1153</v>
      </c>
      <c r="C103" s="244" t="s">
        <v>1175</v>
      </c>
      <c r="D103" s="244" t="s">
        <v>1176</v>
      </c>
      <c r="E103" s="245">
        <v>12109</v>
      </c>
      <c r="F103" s="244" t="s">
        <v>297</v>
      </c>
      <c r="G103" s="244" t="s">
        <v>293</v>
      </c>
      <c r="H103" s="253">
        <v>1660382.27</v>
      </c>
      <c r="I103" s="254">
        <v>1861681.03</v>
      </c>
      <c r="J103" s="254">
        <v>3312216.07</v>
      </c>
      <c r="K103" s="255">
        <v>1306416.8</v>
      </c>
      <c r="L103" s="255">
        <v>2090158.34</v>
      </c>
      <c r="M103" s="255">
        <v>3076141</v>
      </c>
      <c r="N103" s="254">
        <v>1052080.3999999999</v>
      </c>
      <c r="O103" s="256">
        <v>1824954.34</v>
      </c>
      <c r="P103" s="256">
        <v>1978481.17</v>
      </c>
      <c r="Q103" s="256">
        <v>1393244.63</v>
      </c>
      <c r="R103" s="256">
        <v>2155766.29</v>
      </c>
      <c r="S103" s="256">
        <v>1944648.04</v>
      </c>
      <c r="T103" s="249"/>
      <c r="U103" s="251"/>
      <c r="V103" s="250"/>
      <c r="W103" s="250"/>
      <c r="X103" s="251"/>
    </row>
    <row r="104" spans="1:24" s="252" customFormat="1" hidden="1">
      <c r="A104" s="243">
        <v>13481</v>
      </c>
      <c r="B104" s="243" t="s">
        <v>1153</v>
      </c>
      <c r="C104" s="244" t="s">
        <v>1177</v>
      </c>
      <c r="D104" s="244" t="s">
        <v>1178</v>
      </c>
      <c r="E104" s="245">
        <v>12109</v>
      </c>
      <c r="F104" s="244" t="s">
        <v>297</v>
      </c>
      <c r="G104" s="244" t="s">
        <v>293</v>
      </c>
      <c r="H104" s="253">
        <v>0</v>
      </c>
      <c r="I104" s="254"/>
      <c r="J104" s="254"/>
      <c r="K104" s="255"/>
      <c r="L104" s="255">
        <v>0</v>
      </c>
      <c r="M104" s="255"/>
      <c r="N104" s="254"/>
      <c r="O104" s="256"/>
      <c r="P104" s="256">
        <v>0</v>
      </c>
      <c r="Q104" s="256"/>
      <c r="R104" s="256"/>
      <c r="S104" s="256"/>
      <c r="T104" s="249"/>
      <c r="U104" s="251"/>
      <c r="V104" s="250"/>
      <c r="W104" s="250"/>
      <c r="X104" s="251"/>
    </row>
    <row r="105" spans="1:24" s="252" customFormat="1" hidden="1">
      <c r="A105" s="243">
        <v>13481</v>
      </c>
      <c r="B105" s="243" t="s">
        <v>1153</v>
      </c>
      <c r="C105" s="272" t="s">
        <v>1179</v>
      </c>
      <c r="D105" s="273" t="s">
        <v>1180</v>
      </c>
      <c r="E105" s="245">
        <v>12109</v>
      </c>
      <c r="F105" s="244" t="s">
        <v>297</v>
      </c>
      <c r="G105" s="244" t="s">
        <v>293</v>
      </c>
      <c r="H105" s="253">
        <v>42381.72</v>
      </c>
      <c r="I105" s="254">
        <v>14490.49</v>
      </c>
      <c r="J105" s="254">
        <v>12141.36</v>
      </c>
      <c r="K105" s="255">
        <v>36119.74</v>
      </c>
      <c r="L105" s="255">
        <v>102476.27</v>
      </c>
      <c r="M105" s="255">
        <v>11563.52</v>
      </c>
      <c r="N105" s="254">
        <v>11563.52</v>
      </c>
      <c r="O105" s="256">
        <v>11563.52</v>
      </c>
      <c r="P105" s="256">
        <v>11563.52</v>
      </c>
      <c r="Q105" s="256">
        <v>41867.769999999997</v>
      </c>
      <c r="R105" s="256">
        <v>75863.259999999995</v>
      </c>
      <c r="S105" s="256">
        <v>143834.98000000001</v>
      </c>
      <c r="T105" s="249"/>
      <c r="U105" s="251"/>
      <c r="V105" s="250"/>
      <c r="W105" s="250"/>
      <c r="X105" s="251"/>
    </row>
    <row r="106" spans="1:24" s="252" customFormat="1" hidden="1">
      <c r="A106" s="243">
        <v>13481</v>
      </c>
      <c r="B106" s="243" t="s">
        <v>1153</v>
      </c>
      <c r="C106" s="244" t="s">
        <v>1181</v>
      </c>
      <c r="D106" s="244" t="s">
        <v>1182</v>
      </c>
      <c r="E106" s="245">
        <v>12109</v>
      </c>
      <c r="F106" s="244" t="s">
        <v>297</v>
      </c>
      <c r="G106" s="244" t="s">
        <v>293</v>
      </c>
      <c r="H106" s="246">
        <v>0</v>
      </c>
      <c r="I106" s="246">
        <v>0</v>
      </c>
      <c r="J106" s="246">
        <v>0</v>
      </c>
      <c r="K106" s="247">
        <v>0</v>
      </c>
      <c r="L106" s="247">
        <v>0</v>
      </c>
      <c r="M106" s="247">
        <v>0</v>
      </c>
      <c r="N106" s="246">
        <v>0</v>
      </c>
      <c r="O106" s="248">
        <v>0</v>
      </c>
      <c r="P106" s="248">
        <v>0</v>
      </c>
      <c r="Q106" s="248">
        <v>0</v>
      </c>
      <c r="R106" s="248">
        <v>0</v>
      </c>
      <c r="S106" s="248">
        <v>0</v>
      </c>
      <c r="T106" s="249"/>
      <c r="U106" s="250" t="s">
        <v>945</v>
      </c>
      <c r="V106" s="250"/>
      <c r="W106" s="250"/>
      <c r="X106" s="251"/>
    </row>
    <row r="107" spans="1:24" s="252" customFormat="1" hidden="1">
      <c r="A107" s="243">
        <v>13481</v>
      </c>
      <c r="B107" s="243" t="s">
        <v>1153</v>
      </c>
      <c r="C107" s="274" t="s">
        <v>1183</v>
      </c>
      <c r="D107" s="244" t="s">
        <v>1184</v>
      </c>
      <c r="E107" s="245">
        <v>12109</v>
      </c>
      <c r="F107" s="244" t="s">
        <v>297</v>
      </c>
      <c r="G107" s="244" t="s">
        <v>293</v>
      </c>
      <c r="H107" s="254">
        <v>3950253.28</v>
      </c>
      <c r="I107" s="254">
        <v>2437711.4700000002</v>
      </c>
      <c r="J107" s="254">
        <v>4745749.32</v>
      </c>
      <c r="K107" s="255">
        <v>3513486.46</v>
      </c>
      <c r="L107" s="255">
        <v>5275393.2</v>
      </c>
      <c r="M107" s="255">
        <v>4709807.29</v>
      </c>
      <c r="N107" s="254">
        <v>3230628.99</v>
      </c>
      <c r="O107" s="256">
        <v>3306926.53</v>
      </c>
      <c r="P107" s="256">
        <v>1018122.2</v>
      </c>
      <c r="Q107" s="256">
        <v>867188.68</v>
      </c>
      <c r="R107" s="256">
        <v>663841.16</v>
      </c>
      <c r="S107" s="256">
        <v>53110.09</v>
      </c>
      <c r="T107" s="249"/>
      <c r="U107" s="251"/>
      <c r="V107" s="250"/>
      <c r="W107" s="250"/>
      <c r="X107" s="251"/>
    </row>
    <row r="108" spans="1:24" s="252" customFormat="1" hidden="1">
      <c r="A108" s="243">
        <v>13481</v>
      </c>
      <c r="B108" s="243" t="s">
        <v>1153</v>
      </c>
      <c r="C108" s="244" t="s">
        <v>1185</v>
      </c>
      <c r="D108" s="244" t="s">
        <v>1186</v>
      </c>
      <c r="E108" s="245">
        <v>12109</v>
      </c>
      <c r="F108" s="244" t="s">
        <v>297</v>
      </c>
      <c r="G108" s="244" t="s">
        <v>293</v>
      </c>
      <c r="H108" s="253">
        <v>0</v>
      </c>
      <c r="I108" s="254">
        <v>0</v>
      </c>
      <c r="J108" s="254">
        <v>0</v>
      </c>
      <c r="K108" s="255">
        <v>0</v>
      </c>
      <c r="L108" s="255">
        <v>0</v>
      </c>
      <c r="M108" s="255">
        <v>0</v>
      </c>
      <c r="N108" s="254">
        <v>0</v>
      </c>
      <c r="O108" s="256">
        <v>0</v>
      </c>
      <c r="P108" s="256">
        <v>0</v>
      </c>
      <c r="Q108" s="256">
        <v>0</v>
      </c>
      <c r="R108" s="256">
        <v>0</v>
      </c>
      <c r="S108" s="256">
        <v>0</v>
      </c>
      <c r="T108" s="249"/>
      <c r="U108" s="251"/>
      <c r="V108" s="250"/>
      <c r="W108" s="250"/>
      <c r="X108" s="251"/>
    </row>
    <row r="109" spans="1:24" s="252" customFormat="1" hidden="1">
      <c r="A109" s="243">
        <v>13495</v>
      </c>
      <c r="B109" s="243" t="s">
        <v>1187</v>
      </c>
      <c r="C109" s="244" t="s">
        <v>1188</v>
      </c>
      <c r="D109" s="244" t="s">
        <v>1189</v>
      </c>
      <c r="E109" s="245">
        <v>12800</v>
      </c>
      <c r="F109" s="244" t="s">
        <v>304</v>
      </c>
      <c r="G109" s="244" t="s">
        <v>304</v>
      </c>
      <c r="H109" s="264">
        <f>26540000-H442</f>
        <v>500000</v>
      </c>
      <c r="I109" s="264">
        <f>26540000-I442</f>
        <v>500000</v>
      </c>
      <c r="J109" s="264">
        <f>26540000-J442</f>
        <v>500000</v>
      </c>
      <c r="K109" s="264">
        <f>26540000-K442</f>
        <v>500000</v>
      </c>
      <c r="L109" s="275">
        <f>26540000-L442</f>
        <v>500000</v>
      </c>
      <c r="M109" s="275">
        <f>+-M442+26548937.09</f>
        <v>508937.08999999985</v>
      </c>
      <c r="N109" s="264">
        <f>+-N442+26551679.29</f>
        <v>511679.28999999911</v>
      </c>
      <c r="O109" s="276">
        <f>+-O442+26545839.64</f>
        <v>505839.6400000006</v>
      </c>
      <c r="P109" s="276">
        <f>+-P442+26551679.29</f>
        <v>511679.28999999911</v>
      </c>
      <c r="Q109" s="276">
        <f>+-Q442+26540000</f>
        <v>500000</v>
      </c>
      <c r="R109" s="276">
        <f>+-R442+26540000</f>
        <v>500000</v>
      </c>
      <c r="S109" s="276">
        <f>+-S442+26540000</f>
        <v>500000</v>
      </c>
      <c r="T109" s="249"/>
      <c r="U109" s="250" t="s">
        <v>1071</v>
      </c>
      <c r="V109" s="250"/>
      <c r="W109" s="250"/>
      <c r="X109" s="251"/>
    </row>
    <row r="110" spans="1:24" s="252" customFormat="1" hidden="1">
      <c r="A110" s="243">
        <v>13495</v>
      </c>
      <c r="B110" s="243" t="s">
        <v>1187</v>
      </c>
      <c r="C110" s="244" t="s">
        <v>1190</v>
      </c>
      <c r="D110" s="244" t="s">
        <v>1191</v>
      </c>
      <c r="E110" s="245">
        <v>12800</v>
      </c>
      <c r="F110" s="244" t="s">
        <v>304</v>
      </c>
      <c r="G110" s="244" t="s">
        <v>304</v>
      </c>
      <c r="H110" s="264">
        <v>0</v>
      </c>
      <c r="I110" s="264">
        <v>0</v>
      </c>
      <c r="J110" s="264">
        <v>0</v>
      </c>
      <c r="K110" s="264">
        <v>0</v>
      </c>
      <c r="L110" s="275">
        <v>0</v>
      </c>
      <c r="M110" s="275">
        <v>0</v>
      </c>
      <c r="N110" s="264">
        <v>0</v>
      </c>
      <c r="O110" s="276">
        <v>0</v>
      </c>
      <c r="P110" s="276">
        <v>0</v>
      </c>
      <c r="Q110" s="276">
        <v>0</v>
      </c>
      <c r="R110" s="276">
        <v>0</v>
      </c>
      <c r="S110" s="276">
        <v>0</v>
      </c>
      <c r="T110" s="249"/>
      <c r="U110" s="250" t="s">
        <v>1071</v>
      </c>
      <c r="V110" s="250"/>
      <c r="W110" s="250"/>
      <c r="X110" s="251"/>
    </row>
    <row r="111" spans="1:24" s="252" customFormat="1" hidden="1">
      <c r="A111" s="243">
        <v>13495</v>
      </c>
      <c r="B111" s="243" t="s">
        <v>1187</v>
      </c>
      <c r="C111" s="244" t="s">
        <v>1192</v>
      </c>
      <c r="D111" s="244" t="s">
        <v>1193</v>
      </c>
      <c r="E111" s="245">
        <v>12800</v>
      </c>
      <c r="F111" s="244" t="s">
        <v>304</v>
      </c>
      <c r="G111" s="244" t="s">
        <v>304</v>
      </c>
      <c r="H111" s="253">
        <v>0</v>
      </c>
      <c r="I111" s="254">
        <v>0</v>
      </c>
      <c r="J111" s="254">
        <v>0</v>
      </c>
      <c r="K111" s="255">
        <v>0</v>
      </c>
      <c r="L111" s="255">
        <v>0</v>
      </c>
      <c r="M111" s="255">
        <v>0</v>
      </c>
      <c r="N111" s="254">
        <v>0</v>
      </c>
      <c r="O111" s="256">
        <v>0</v>
      </c>
      <c r="P111" s="256">
        <v>0</v>
      </c>
      <c r="Q111" s="256">
        <v>-18504.53</v>
      </c>
      <c r="R111" s="256">
        <v>0</v>
      </c>
      <c r="S111" s="256">
        <v>0</v>
      </c>
      <c r="T111" s="249"/>
      <c r="U111" s="251"/>
      <c r="V111" s="250"/>
      <c r="W111" s="250"/>
      <c r="X111" s="251"/>
    </row>
    <row r="112" spans="1:24" s="252" customFormat="1" hidden="1">
      <c r="A112" s="243">
        <v>13420</v>
      </c>
      <c r="B112" s="243" t="s">
        <v>1194</v>
      </c>
      <c r="C112" s="244" t="s">
        <v>1195</v>
      </c>
      <c r="D112" s="244" t="s">
        <v>1196</v>
      </c>
      <c r="E112" s="245">
        <v>14609</v>
      </c>
      <c r="F112" s="244" t="s">
        <v>433</v>
      </c>
      <c r="G112" s="244" t="s">
        <v>57</v>
      </c>
      <c r="H112" s="246">
        <f>-10042967.35+10042967.35+108333.33*1</f>
        <v>108333.33</v>
      </c>
      <c r="I112" s="246">
        <f>9769199.38-9769199.38+108333.33*2</f>
        <v>216666.66</v>
      </c>
      <c r="J112" s="246">
        <f>9495431.41-9495431.41+108333.33*3</f>
        <v>324999.99</v>
      </c>
      <c r="K112" s="247">
        <f>9244940.34-9244940.34+108333.33*4+23276.9</f>
        <v>456610.22000000003</v>
      </c>
      <c r="L112" s="247">
        <f>-8959533.92+8959533.92+108333.33*5+11638.45</f>
        <v>553305.1</v>
      </c>
      <c r="M112" s="247">
        <f>-8674127.5+8674127.5+108333.33*6</f>
        <v>649999.98</v>
      </c>
      <c r="N112" s="246">
        <f>8400359.53-8400359.53+108333.33*7</f>
        <v>758333.31</v>
      </c>
      <c r="O112" s="248">
        <f>-8018258.23+8018258.23+108333.33*7</f>
        <v>758333.31</v>
      </c>
      <c r="P112" s="248">
        <f>7641996.57-7641996.57+108333.33*7+5839.64</f>
        <v>764172.95000000007</v>
      </c>
      <c r="Q112" s="248">
        <f>7309201.28-7309201.28+108333.33*7+43466.37+5839.64+5839.64</f>
        <v>813478.96000000008</v>
      </c>
      <c r="R112" s="248">
        <f>7279148.33-7279148.33+108333.33*7+43466.37+5839.62+52000+93495+43240+38640+72480+58033</f>
        <v>1165527.3</v>
      </c>
      <c r="S112" s="248">
        <f>7919460.61-7919460.61+43466.37+52000+93495+43240+38640+72480+58033+1607927.87+178658.65</f>
        <v>2187940.89</v>
      </c>
      <c r="T112" s="249"/>
      <c r="U112" s="250" t="s">
        <v>945</v>
      </c>
      <c r="V112" s="250"/>
      <c r="W112" s="250"/>
      <c r="X112" s="251"/>
    </row>
    <row r="113" spans="1:24" s="252" customFormat="1" hidden="1">
      <c r="A113" s="243">
        <v>15500</v>
      </c>
      <c r="B113" s="243" t="s">
        <v>1197</v>
      </c>
      <c r="C113" s="244" t="s">
        <v>1198</v>
      </c>
      <c r="D113" s="244" t="s">
        <v>1199</v>
      </c>
      <c r="E113" s="245">
        <v>10200</v>
      </c>
      <c r="F113" s="244" t="s">
        <v>259</v>
      </c>
      <c r="G113" s="244" t="s">
        <v>249</v>
      </c>
      <c r="H113" s="253">
        <v>0</v>
      </c>
      <c r="I113" s="254"/>
      <c r="J113" s="254"/>
      <c r="K113" s="255"/>
      <c r="L113" s="255">
        <v>0</v>
      </c>
      <c r="M113" s="255"/>
      <c r="N113" s="254"/>
      <c r="O113" s="256"/>
      <c r="P113" s="256">
        <v>0</v>
      </c>
      <c r="Q113" s="256"/>
      <c r="R113" s="256"/>
      <c r="S113" s="256"/>
      <c r="T113" s="249"/>
      <c r="U113" s="251"/>
      <c r="V113" s="250"/>
      <c r="W113" s="250"/>
      <c r="X113" s="251"/>
    </row>
    <row r="114" spans="1:24" s="252" customFormat="1" hidden="1">
      <c r="A114" s="243">
        <v>15500</v>
      </c>
      <c r="B114" s="243" t="s">
        <v>1197</v>
      </c>
      <c r="C114" s="244" t="s">
        <v>1200</v>
      </c>
      <c r="D114" s="244" t="s">
        <v>1201</v>
      </c>
      <c r="E114" s="245"/>
      <c r="F114" s="244"/>
      <c r="G114" s="244"/>
      <c r="H114" s="253">
        <v>0</v>
      </c>
      <c r="I114" s="254"/>
      <c r="J114" s="254"/>
      <c r="K114" s="255"/>
      <c r="L114" s="255">
        <v>0</v>
      </c>
      <c r="M114" s="255"/>
      <c r="N114" s="254"/>
      <c r="O114" s="256"/>
      <c r="P114" s="256">
        <v>0</v>
      </c>
      <c r="Q114" s="256"/>
      <c r="R114" s="256"/>
      <c r="S114" s="256"/>
      <c r="T114" s="249"/>
      <c r="U114" s="251"/>
      <c r="V114" s="250"/>
      <c r="W114" s="250"/>
      <c r="X114" s="251"/>
    </row>
    <row r="115" spans="1:24" s="252" customFormat="1" hidden="1">
      <c r="A115" s="243">
        <v>15500</v>
      </c>
      <c r="B115" s="243" t="s">
        <v>1197</v>
      </c>
      <c r="C115" s="244" t="s">
        <v>1202</v>
      </c>
      <c r="D115" s="244" t="s">
        <v>1203</v>
      </c>
      <c r="E115" s="245"/>
      <c r="F115" s="244"/>
      <c r="G115" s="244"/>
      <c r="H115" s="253">
        <v>0</v>
      </c>
      <c r="I115" s="254"/>
      <c r="J115" s="254"/>
      <c r="K115" s="255"/>
      <c r="L115" s="255">
        <v>0</v>
      </c>
      <c r="M115" s="255"/>
      <c r="N115" s="254"/>
      <c r="O115" s="256"/>
      <c r="P115" s="256">
        <v>0</v>
      </c>
      <c r="Q115" s="256"/>
      <c r="R115" s="256"/>
      <c r="S115" s="256"/>
      <c r="T115" s="249"/>
      <c r="U115" s="251"/>
      <c r="V115" s="250"/>
      <c r="W115" s="250"/>
      <c r="X115" s="251"/>
    </row>
    <row r="116" spans="1:24" s="252" customFormat="1" hidden="1">
      <c r="A116" s="243">
        <v>15500</v>
      </c>
      <c r="B116" s="243" t="s">
        <v>1197</v>
      </c>
      <c r="C116" s="244" t="s">
        <v>1204</v>
      </c>
      <c r="D116" s="244" t="s">
        <v>1205</v>
      </c>
      <c r="E116" s="245"/>
      <c r="F116" s="244"/>
      <c r="G116" s="244"/>
      <c r="H116" s="253">
        <v>0</v>
      </c>
      <c r="I116" s="254"/>
      <c r="J116" s="254"/>
      <c r="K116" s="255"/>
      <c r="L116" s="255">
        <v>0</v>
      </c>
      <c r="M116" s="255"/>
      <c r="N116" s="254"/>
      <c r="O116" s="256"/>
      <c r="P116" s="256">
        <v>0</v>
      </c>
      <c r="Q116" s="256"/>
      <c r="R116" s="256"/>
      <c r="S116" s="256"/>
      <c r="T116" s="249"/>
      <c r="U116" s="251"/>
      <c r="V116" s="250"/>
      <c r="W116" s="250"/>
      <c r="X116" s="251"/>
    </row>
    <row r="117" spans="1:24" s="252" customFormat="1" hidden="1">
      <c r="A117" s="243">
        <v>15500</v>
      </c>
      <c r="B117" s="243" t="s">
        <v>1197</v>
      </c>
      <c r="C117" s="244" t="s">
        <v>1206</v>
      </c>
      <c r="D117" s="244" t="s">
        <v>1207</v>
      </c>
      <c r="E117" s="245"/>
      <c r="F117" s="244"/>
      <c r="G117" s="244"/>
      <c r="H117" s="253">
        <v>0</v>
      </c>
      <c r="I117" s="254"/>
      <c r="J117" s="254"/>
      <c r="K117" s="255"/>
      <c r="L117" s="255">
        <v>0</v>
      </c>
      <c r="M117" s="255"/>
      <c r="N117" s="254"/>
      <c r="O117" s="256"/>
      <c r="P117" s="256">
        <v>0</v>
      </c>
      <c r="Q117" s="256"/>
      <c r="R117" s="256"/>
      <c r="S117" s="256"/>
      <c r="T117" s="249"/>
      <c r="U117" s="251"/>
      <c r="V117" s="250"/>
      <c r="W117" s="250"/>
      <c r="X117" s="251"/>
    </row>
    <row r="118" spans="1:24" s="252" customFormat="1" hidden="1">
      <c r="A118" s="243">
        <v>15500</v>
      </c>
      <c r="B118" s="243" t="s">
        <v>1197</v>
      </c>
      <c r="C118" s="244" t="s">
        <v>1208</v>
      </c>
      <c r="D118" s="244" t="s">
        <v>1209</v>
      </c>
      <c r="E118" s="245">
        <v>10299</v>
      </c>
      <c r="F118" s="244" t="s">
        <v>278</v>
      </c>
      <c r="G118" s="244" t="s">
        <v>249</v>
      </c>
      <c r="H118" s="253">
        <v>0</v>
      </c>
      <c r="I118" s="254"/>
      <c r="J118" s="254"/>
      <c r="K118" s="255"/>
      <c r="L118" s="255">
        <v>0</v>
      </c>
      <c r="M118" s="255"/>
      <c r="N118" s="254"/>
      <c r="O118" s="256"/>
      <c r="P118" s="256">
        <v>0</v>
      </c>
      <c r="Q118" s="256"/>
      <c r="R118" s="256"/>
      <c r="S118" s="256"/>
      <c r="T118" s="249"/>
      <c r="U118" s="251"/>
      <c r="V118" s="250"/>
      <c r="W118" s="250"/>
      <c r="X118" s="251"/>
    </row>
    <row r="119" spans="1:24" s="252" customFormat="1" hidden="1">
      <c r="A119" s="243">
        <v>15500</v>
      </c>
      <c r="B119" s="243" t="s">
        <v>1197</v>
      </c>
      <c r="C119" s="244" t="s">
        <v>1210</v>
      </c>
      <c r="D119" s="244" t="s">
        <v>1211</v>
      </c>
      <c r="E119" s="245"/>
      <c r="F119" s="244"/>
      <c r="G119" s="244"/>
      <c r="H119" s="253">
        <v>0</v>
      </c>
      <c r="I119" s="254"/>
      <c r="J119" s="254"/>
      <c r="K119" s="255"/>
      <c r="L119" s="255">
        <v>0</v>
      </c>
      <c r="M119" s="255"/>
      <c r="N119" s="254"/>
      <c r="O119" s="256"/>
      <c r="P119" s="256">
        <v>0</v>
      </c>
      <c r="Q119" s="256"/>
      <c r="R119" s="256"/>
      <c r="S119" s="256"/>
      <c r="T119" s="249"/>
      <c r="U119" s="251"/>
      <c r="V119" s="250"/>
      <c r="W119" s="250"/>
      <c r="X119" s="251"/>
    </row>
    <row r="120" spans="1:24" s="252" customFormat="1" hidden="1">
      <c r="A120" s="243">
        <v>15500</v>
      </c>
      <c r="B120" s="243" t="s">
        <v>1197</v>
      </c>
      <c r="C120" s="244" t="s">
        <v>1212</v>
      </c>
      <c r="D120" s="244" t="s">
        <v>1213</v>
      </c>
      <c r="E120" s="245"/>
      <c r="F120" s="244"/>
      <c r="G120" s="244"/>
      <c r="H120" s="253">
        <v>0</v>
      </c>
      <c r="I120" s="254"/>
      <c r="J120" s="254"/>
      <c r="K120" s="255"/>
      <c r="L120" s="255">
        <v>0</v>
      </c>
      <c r="M120" s="255"/>
      <c r="N120" s="254"/>
      <c r="O120" s="256"/>
      <c r="P120" s="256">
        <v>0</v>
      </c>
      <c r="Q120" s="256"/>
      <c r="R120" s="256"/>
      <c r="S120" s="256"/>
      <c r="T120" s="249"/>
      <c r="U120" s="251"/>
      <c r="V120" s="250"/>
      <c r="W120" s="250"/>
      <c r="X120" s="251"/>
    </row>
    <row r="121" spans="1:24" s="252" customFormat="1" hidden="1">
      <c r="A121" s="243">
        <v>15500</v>
      </c>
      <c r="B121" s="243" t="s">
        <v>1197</v>
      </c>
      <c r="C121" s="244" t="s">
        <v>1214</v>
      </c>
      <c r="D121" s="244" t="s">
        <v>1215</v>
      </c>
      <c r="E121" s="245">
        <v>10202</v>
      </c>
      <c r="F121" s="244" t="s">
        <v>262</v>
      </c>
      <c r="G121" s="244" t="s">
        <v>249</v>
      </c>
      <c r="H121" s="253">
        <v>266055.71000000002</v>
      </c>
      <c r="I121" s="254">
        <v>1861432.08</v>
      </c>
      <c r="J121" s="254">
        <v>416772.27</v>
      </c>
      <c r="K121" s="255">
        <v>1983004.84</v>
      </c>
      <c r="L121" s="255">
        <v>1971149.87</v>
      </c>
      <c r="M121" s="255">
        <v>326646.65000000002</v>
      </c>
      <c r="N121" s="254">
        <v>695858.93</v>
      </c>
      <c r="O121" s="256">
        <v>743383.3</v>
      </c>
      <c r="P121" s="256">
        <v>181528.37</v>
      </c>
      <c r="Q121" s="256">
        <v>1038594.72</v>
      </c>
      <c r="R121" s="256">
        <v>502911.93</v>
      </c>
      <c r="S121" s="256">
        <v>129215.57</v>
      </c>
      <c r="T121" s="249"/>
      <c r="U121" s="251"/>
      <c r="V121" s="250"/>
      <c r="W121" s="250"/>
      <c r="X121" s="251"/>
    </row>
    <row r="122" spans="1:24" s="252" customFormat="1" hidden="1">
      <c r="A122" s="243">
        <v>15500</v>
      </c>
      <c r="B122" s="243" t="s">
        <v>1197</v>
      </c>
      <c r="C122" s="244" t="s">
        <v>1216</v>
      </c>
      <c r="D122" s="244" t="s">
        <v>1217</v>
      </c>
      <c r="E122" s="245">
        <v>10204</v>
      </c>
      <c r="F122" s="244" t="s">
        <v>264</v>
      </c>
      <c r="G122" s="244" t="s">
        <v>249</v>
      </c>
      <c r="H122" s="253">
        <v>11374088.51</v>
      </c>
      <c r="I122" s="254">
        <v>7942766.7999999998</v>
      </c>
      <c r="J122" s="254">
        <v>3831821.01</v>
      </c>
      <c r="K122" s="255">
        <v>1339587.45</v>
      </c>
      <c r="L122" s="255">
        <v>4278601.8899999997</v>
      </c>
      <c r="M122" s="255">
        <v>3599572.16</v>
      </c>
      <c r="N122" s="254">
        <v>5664883.6600000001</v>
      </c>
      <c r="O122" s="256">
        <v>4307472.84</v>
      </c>
      <c r="P122" s="256">
        <v>5965452.5099999998</v>
      </c>
      <c r="Q122" s="256">
        <v>6981396.5999999996</v>
      </c>
      <c r="R122" s="256">
        <v>1919054.76</v>
      </c>
      <c r="S122" s="256">
        <v>9320610.9900000002</v>
      </c>
      <c r="T122" s="249"/>
      <c r="U122" s="251"/>
      <c r="V122" s="250"/>
      <c r="W122" s="250"/>
      <c r="X122" s="251"/>
    </row>
    <row r="123" spans="1:24" s="252" customFormat="1" hidden="1">
      <c r="A123" s="243">
        <v>15500</v>
      </c>
      <c r="B123" s="243" t="s">
        <v>1197</v>
      </c>
      <c r="C123" s="244" t="s">
        <v>1218</v>
      </c>
      <c r="D123" s="244" t="s">
        <v>1219</v>
      </c>
      <c r="E123" s="245"/>
      <c r="F123" s="244"/>
      <c r="G123" s="244"/>
      <c r="H123" s="253">
        <v>0</v>
      </c>
      <c r="I123" s="254"/>
      <c r="J123" s="254"/>
      <c r="K123" s="255"/>
      <c r="L123" s="255">
        <v>0</v>
      </c>
      <c r="M123" s="255"/>
      <c r="N123" s="254"/>
      <c r="O123" s="256"/>
      <c r="P123" s="256">
        <v>0</v>
      </c>
      <c r="Q123" s="256"/>
      <c r="R123" s="256"/>
      <c r="S123" s="256"/>
      <c r="T123" s="249"/>
      <c r="U123" s="251"/>
      <c r="V123" s="250"/>
      <c r="W123" s="250"/>
      <c r="X123" s="251"/>
    </row>
    <row r="124" spans="1:24" s="252" customFormat="1" hidden="1">
      <c r="A124" s="243">
        <v>15500</v>
      </c>
      <c r="B124" s="243" t="s">
        <v>1197</v>
      </c>
      <c r="C124" s="244" t="s">
        <v>1220</v>
      </c>
      <c r="D124" s="244" t="s">
        <v>1221</v>
      </c>
      <c r="E124" s="245"/>
      <c r="F124" s="244"/>
      <c r="G124" s="244"/>
      <c r="H124" s="253">
        <v>0</v>
      </c>
      <c r="I124" s="254">
        <v>0</v>
      </c>
      <c r="J124" s="254">
        <v>0</v>
      </c>
      <c r="K124" s="255">
        <v>0</v>
      </c>
      <c r="L124" s="255">
        <v>0</v>
      </c>
      <c r="M124" s="255">
        <v>0</v>
      </c>
      <c r="N124" s="254">
        <v>0</v>
      </c>
      <c r="O124" s="256">
        <v>0</v>
      </c>
      <c r="P124" s="256">
        <v>0</v>
      </c>
      <c r="Q124" s="256">
        <v>0</v>
      </c>
      <c r="R124" s="256">
        <v>0</v>
      </c>
      <c r="S124" s="256">
        <v>0</v>
      </c>
      <c r="T124" s="249"/>
      <c r="U124" s="251"/>
      <c r="V124" s="250"/>
      <c r="W124" s="250"/>
      <c r="X124" s="251"/>
    </row>
    <row r="125" spans="1:24" s="252" customFormat="1" hidden="1">
      <c r="A125" s="243">
        <v>15500</v>
      </c>
      <c r="B125" s="243" t="s">
        <v>1197</v>
      </c>
      <c r="C125" s="244" t="s">
        <v>1222</v>
      </c>
      <c r="D125" s="244" t="s">
        <v>1223</v>
      </c>
      <c r="E125" s="245">
        <v>12000</v>
      </c>
      <c r="F125" s="244" t="s">
        <v>291</v>
      </c>
      <c r="G125" s="244" t="s">
        <v>291</v>
      </c>
      <c r="H125" s="253">
        <v>0</v>
      </c>
      <c r="I125" s="254">
        <v>0</v>
      </c>
      <c r="J125" s="254">
        <v>0</v>
      </c>
      <c r="K125" s="255">
        <v>45953.71</v>
      </c>
      <c r="L125" s="255">
        <v>89294.66</v>
      </c>
      <c r="M125" s="255">
        <v>91907.42</v>
      </c>
      <c r="N125" s="254">
        <v>0</v>
      </c>
      <c r="O125" s="256">
        <v>0</v>
      </c>
      <c r="P125" s="256">
        <v>1029936.82</v>
      </c>
      <c r="Q125" s="256">
        <v>727681.4</v>
      </c>
      <c r="R125" s="256">
        <v>0</v>
      </c>
      <c r="S125" s="256">
        <v>0</v>
      </c>
      <c r="T125" s="249"/>
      <c r="U125" s="251"/>
      <c r="V125" s="250"/>
      <c r="W125" s="250"/>
      <c r="X125" s="251"/>
    </row>
    <row r="126" spans="1:24" s="252" customFormat="1" hidden="1">
      <c r="A126" s="277">
        <v>13420</v>
      </c>
      <c r="B126" s="243" t="s">
        <v>1194</v>
      </c>
      <c r="C126" s="244" t="s">
        <v>1224</v>
      </c>
      <c r="D126" s="244" t="s">
        <v>1225</v>
      </c>
      <c r="E126" s="245">
        <v>12400</v>
      </c>
      <c r="F126" s="244" t="s">
        <v>301</v>
      </c>
      <c r="G126" s="244" t="s">
        <v>301</v>
      </c>
      <c r="H126" s="253">
        <v>550085.12</v>
      </c>
      <c r="I126" s="254">
        <v>387218.72</v>
      </c>
      <c r="J126" s="254">
        <v>368171.86</v>
      </c>
      <c r="K126" s="255">
        <v>258459.76</v>
      </c>
      <c r="L126" s="255">
        <v>320219.06</v>
      </c>
      <c r="M126" s="255">
        <v>264116.63</v>
      </c>
      <c r="N126" s="254">
        <v>106467.03</v>
      </c>
      <c r="O126" s="256">
        <v>106048.44</v>
      </c>
      <c r="P126" s="256">
        <v>173637.56</v>
      </c>
      <c r="Q126" s="256">
        <v>194265.83</v>
      </c>
      <c r="R126" s="256">
        <v>250525.98</v>
      </c>
      <c r="S126" s="256">
        <v>306165.27</v>
      </c>
      <c r="T126" s="249"/>
      <c r="U126" s="251"/>
      <c r="V126" s="250"/>
      <c r="W126" s="250"/>
      <c r="X126" s="251"/>
    </row>
    <row r="127" spans="1:24" s="252" customFormat="1" hidden="1">
      <c r="A127" s="277">
        <v>13420</v>
      </c>
      <c r="B127" s="243" t="s">
        <v>1194</v>
      </c>
      <c r="C127" s="244" t="s">
        <v>1226</v>
      </c>
      <c r="D127" s="244" t="s">
        <v>1227</v>
      </c>
      <c r="E127" s="278">
        <v>12400</v>
      </c>
      <c r="F127" s="244" t="s">
        <v>301</v>
      </c>
      <c r="G127" s="244" t="s">
        <v>302</v>
      </c>
      <c r="H127" s="253">
        <v>0</v>
      </c>
      <c r="I127" s="254">
        <v>0</v>
      </c>
      <c r="J127" s="254">
        <v>0</v>
      </c>
      <c r="K127" s="255">
        <v>0</v>
      </c>
      <c r="L127" s="255">
        <v>0</v>
      </c>
      <c r="M127" s="255">
        <v>0</v>
      </c>
      <c r="N127" s="254">
        <v>0</v>
      </c>
      <c r="O127" s="256">
        <v>0</v>
      </c>
      <c r="P127" s="256">
        <v>0</v>
      </c>
      <c r="Q127" s="256">
        <v>0</v>
      </c>
      <c r="R127" s="256">
        <v>0</v>
      </c>
      <c r="S127" s="256">
        <v>0</v>
      </c>
      <c r="T127" s="249"/>
      <c r="U127" s="251"/>
      <c r="V127" s="250"/>
      <c r="W127" s="250"/>
      <c r="X127" s="251"/>
    </row>
    <row r="128" spans="1:24" s="252" customFormat="1" hidden="1">
      <c r="A128" s="277">
        <v>13420</v>
      </c>
      <c r="B128" s="243" t="s">
        <v>1194</v>
      </c>
      <c r="C128" s="244" t="s">
        <v>1228</v>
      </c>
      <c r="D128" s="244" t="s">
        <v>1229</v>
      </c>
      <c r="E128" s="245"/>
      <c r="F128" s="244"/>
      <c r="G128" s="244"/>
      <c r="H128" s="253">
        <v>0</v>
      </c>
      <c r="I128" s="254">
        <v>0</v>
      </c>
      <c r="J128" s="254">
        <v>0</v>
      </c>
      <c r="K128" s="255">
        <v>0</v>
      </c>
      <c r="L128" s="255">
        <v>0</v>
      </c>
      <c r="M128" s="255">
        <v>0</v>
      </c>
      <c r="N128" s="254">
        <v>0</v>
      </c>
      <c r="O128" s="256">
        <v>0</v>
      </c>
      <c r="P128" s="256">
        <v>0</v>
      </c>
      <c r="Q128" s="256">
        <v>0</v>
      </c>
      <c r="R128" s="256">
        <v>0</v>
      </c>
      <c r="S128" s="256">
        <v>0</v>
      </c>
      <c r="T128" s="249"/>
      <c r="U128" s="251"/>
      <c r="V128" s="250"/>
      <c r="W128" s="250"/>
      <c r="X128" s="251"/>
    </row>
    <row r="129" spans="1:24" s="252" customFormat="1" hidden="1">
      <c r="A129" s="277">
        <v>20000</v>
      </c>
      <c r="B129" s="243" t="s">
        <v>1230</v>
      </c>
      <c r="C129" s="244" t="s">
        <v>1231</v>
      </c>
      <c r="D129" s="244" t="s">
        <v>1232</v>
      </c>
      <c r="E129" s="245">
        <v>40000</v>
      </c>
      <c r="F129" s="244" t="s">
        <v>663</v>
      </c>
      <c r="G129" s="244" t="s">
        <v>663</v>
      </c>
      <c r="H129" s="253">
        <v>-50000000</v>
      </c>
      <c r="I129" s="254">
        <v>-50000000</v>
      </c>
      <c r="J129" s="254">
        <v>-50000000</v>
      </c>
      <c r="K129" s="255">
        <v>-50000000</v>
      </c>
      <c r="L129" s="255">
        <v>-50000000</v>
      </c>
      <c r="M129" s="255">
        <v>-50000000</v>
      </c>
      <c r="N129" s="254">
        <v>-50000000</v>
      </c>
      <c r="O129" s="256">
        <v>-50000000</v>
      </c>
      <c r="P129" s="256">
        <v>-50000000</v>
      </c>
      <c r="Q129" s="256">
        <v>-50000000</v>
      </c>
      <c r="R129" s="256">
        <v>-50000000</v>
      </c>
      <c r="S129" s="256">
        <v>-50000000</v>
      </c>
      <c r="T129" s="249"/>
      <c r="U129" s="251"/>
      <c r="V129" s="250"/>
      <c r="W129" s="250"/>
      <c r="X129" s="251"/>
    </row>
    <row r="130" spans="1:24" s="252" customFormat="1" hidden="1">
      <c r="A130" s="277">
        <v>20250</v>
      </c>
      <c r="B130" s="243" t="s">
        <v>1233</v>
      </c>
      <c r="C130" s="244" t="s">
        <v>1234</v>
      </c>
      <c r="D130" s="244" t="s">
        <v>1235</v>
      </c>
      <c r="E130" s="245">
        <v>42000</v>
      </c>
      <c r="F130" s="244" t="s">
        <v>86</v>
      </c>
      <c r="G130" s="244" t="s">
        <v>664</v>
      </c>
      <c r="H130" s="253">
        <v>0</v>
      </c>
      <c r="I130" s="254">
        <v>0</v>
      </c>
      <c r="J130" s="254">
        <v>0</v>
      </c>
      <c r="K130" s="255">
        <v>0</v>
      </c>
      <c r="L130" s="255">
        <v>0</v>
      </c>
      <c r="M130" s="255">
        <v>0</v>
      </c>
      <c r="N130" s="254">
        <v>0</v>
      </c>
      <c r="O130" s="256">
        <v>0</v>
      </c>
      <c r="P130" s="256">
        <v>0</v>
      </c>
      <c r="Q130" s="256">
        <v>0</v>
      </c>
      <c r="R130" s="256">
        <v>0</v>
      </c>
      <c r="S130" s="256">
        <v>0</v>
      </c>
      <c r="T130" s="249"/>
      <c r="U130" s="251"/>
      <c r="V130" s="250"/>
      <c r="W130" s="250"/>
      <c r="X130" s="251"/>
    </row>
    <row r="131" spans="1:24" s="252" customFormat="1" hidden="1">
      <c r="A131" s="277">
        <v>20300</v>
      </c>
      <c r="B131" s="243" t="s">
        <v>1236</v>
      </c>
      <c r="C131" s="244" t="s">
        <v>1237</v>
      </c>
      <c r="D131" s="244" t="s">
        <v>1238</v>
      </c>
      <c r="E131" s="245">
        <v>44000</v>
      </c>
      <c r="F131" s="244" t="s">
        <v>88</v>
      </c>
      <c r="G131" s="244" t="s">
        <v>664</v>
      </c>
      <c r="H131" s="264">
        <v>58018671.240000002</v>
      </c>
      <c r="I131" s="264">
        <v>58018671.240000002</v>
      </c>
      <c r="J131" s="264">
        <v>58018671.240000002</v>
      </c>
      <c r="K131" s="264">
        <v>58018671.240000002</v>
      </c>
      <c r="L131" s="264">
        <v>58018671.240000002</v>
      </c>
      <c r="M131" s="264">
        <v>58018671.240000002</v>
      </c>
      <c r="N131" s="264">
        <v>58018671.240000002</v>
      </c>
      <c r="O131" s="264">
        <v>58018671.240000002</v>
      </c>
      <c r="P131" s="264">
        <v>58018671.240000002</v>
      </c>
      <c r="Q131" s="264">
        <v>58018671.240000002</v>
      </c>
      <c r="R131" s="276">
        <v>58018671.240000002</v>
      </c>
      <c r="S131" s="276">
        <v>58018671.240000002</v>
      </c>
      <c r="T131" s="249"/>
      <c r="U131" s="250" t="s">
        <v>1071</v>
      </c>
      <c r="V131" s="250"/>
      <c r="W131" s="250"/>
      <c r="X131" s="251"/>
    </row>
    <row r="132" spans="1:24" s="252" customFormat="1" hidden="1">
      <c r="A132" s="277">
        <v>20300</v>
      </c>
      <c r="B132" s="243" t="s">
        <v>1236</v>
      </c>
      <c r="C132" s="244" t="s">
        <v>1239</v>
      </c>
      <c r="D132" s="244" t="s">
        <v>1240</v>
      </c>
      <c r="E132" s="245">
        <v>82000</v>
      </c>
      <c r="F132" s="244" t="s">
        <v>933</v>
      </c>
      <c r="G132" s="244">
        <v>0</v>
      </c>
      <c r="H132" s="253">
        <v>0</v>
      </c>
      <c r="I132" s="254">
        <v>0</v>
      </c>
      <c r="J132" s="254">
        <v>0</v>
      </c>
      <c r="K132" s="255">
        <v>0</v>
      </c>
      <c r="L132" s="255">
        <v>0</v>
      </c>
      <c r="M132" s="255">
        <v>0</v>
      </c>
      <c r="N132" s="254">
        <v>0</v>
      </c>
      <c r="O132" s="256">
        <v>0</v>
      </c>
      <c r="P132" s="256">
        <v>0</v>
      </c>
      <c r="Q132" s="256">
        <v>0</v>
      </c>
      <c r="R132" s="256">
        <v>0</v>
      </c>
      <c r="S132" s="256">
        <v>0</v>
      </c>
      <c r="T132" s="249"/>
      <c r="U132" s="251"/>
      <c r="V132" s="250"/>
      <c r="W132" s="250"/>
      <c r="X132" s="251"/>
    </row>
    <row r="133" spans="1:24" s="252" customFormat="1" hidden="1">
      <c r="A133" s="277">
        <v>21000</v>
      </c>
      <c r="B133" s="243" t="s">
        <v>1068</v>
      </c>
      <c r="C133" s="244" t="s">
        <v>1241</v>
      </c>
      <c r="D133" s="244" t="s">
        <v>1242</v>
      </c>
      <c r="E133" s="245">
        <v>29900</v>
      </c>
      <c r="F133" s="244" t="s">
        <v>54</v>
      </c>
      <c r="G133" s="244" t="s">
        <v>54</v>
      </c>
      <c r="H133" s="253">
        <v>0</v>
      </c>
      <c r="I133" s="254">
        <v>0</v>
      </c>
      <c r="J133" s="254">
        <v>0</v>
      </c>
      <c r="K133" s="255">
        <v>0</v>
      </c>
      <c r="L133" s="255">
        <v>0</v>
      </c>
      <c r="M133" s="255">
        <v>0</v>
      </c>
      <c r="N133" s="254">
        <v>0</v>
      </c>
      <c r="O133" s="256">
        <v>0</v>
      </c>
      <c r="P133" s="256">
        <v>0</v>
      </c>
      <c r="Q133" s="256">
        <v>0</v>
      </c>
      <c r="R133" s="256">
        <v>0</v>
      </c>
      <c r="S133" s="256">
        <v>0</v>
      </c>
      <c r="T133" s="249"/>
      <c r="U133" s="251"/>
      <c r="V133" s="250"/>
      <c r="W133" s="250"/>
      <c r="X133" s="251"/>
    </row>
    <row r="134" spans="1:24" s="252" customFormat="1" hidden="1">
      <c r="A134" s="277">
        <v>21160</v>
      </c>
      <c r="B134" s="243" t="s">
        <v>1243</v>
      </c>
      <c r="C134" s="244" t="s">
        <v>1244</v>
      </c>
      <c r="D134" s="244" t="s">
        <v>1245</v>
      </c>
      <c r="E134" s="245">
        <v>28205</v>
      </c>
      <c r="F134" s="244" t="s">
        <v>610</v>
      </c>
      <c r="G134" s="27" t="s">
        <v>30</v>
      </c>
      <c r="H134" s="253">
        <v>-269487.77</v>
      </c>
      <c r="I134" s="254">
        <v>-285171.36</v>
      </c>
      <c r="J134" s="254">
        <v>-311580.7</v>
      </c>
      <c r="K134" s="255">
        <f>-727742.37+400000</f>
        <v>-327742.37</v>
      </c>
      <c r="L134" s="255">
        <v>-351744.97</v>
      </c>
      <c r="M134" s="255">
        <v>-375611.63</v>
      </c>
      <c r="N134" s="254">
        <v>-391831.03</v>
      </c>
      <c r="O134" s="256">
        <v>-408638.22</v>
      </c>
      <c r="P134" s="256">
        <v>-480461.94</v>
      </c>
      <c r="Q134" s="256">
        <v>-561086.31000000006</v>
      </c>
      <c r="R134" s="256">
        <v>-683071.58</v>
      </c>
      <c r="S134" s="256">
        <v>-823507.02</v>
      </c>
      <c r="T134" s="249"/>
      <c r="U134" s="251"/>
      <c r="V134" s="250"/>
      <c r="W134" s="250"/>
      <c r="X134" s="251"/>
    </row>
    <row r="135" spans="1:24" s="252" customFormat="1" hidden="1">
      <c r="A135" s="277">
        <v>21160</v>
      </c>
      <c r="B135" s="243" t="s">
        <v>1243</v>
      </c>
      <c r="C135" s="244" t="s">
        <v>1246</v>
      </c>
      <c r="D135" s="244" t="s">
        <v>1247</v>
      </c>
      <c r="E135" s="245">
        <v>28205</v>
      </c>
      <c r="F135" s="244" t="s">
        <v>610</v>
      </c>
      <c r="G135" s="27" t="s">
        <v>30</v>
      </c>
      <c r="H135" s="253">
        <v>187636.13</v>
      </c>
      <c r="I135" s="254">
        <v>217252.46</v>
      </c>
      <c r="J135" s="254">
        <v>220202.46</v>
      </c>
      <c r="K135" s="255">
        <v>244407.06</v>
      </c>
      <c r="L135" s="255">
        <v>279513.84000000003</v>
      </c>
      <c r="M135" s="255">
        <v>263218.14</v>
      </c>
      <c r="N135" s="254">
        <v>263218.14</v>
      </c>
      <c r="O135" s="256">
        <v>263218.14</v>
      </c>
      <c r="P135" s="256">
        <v>263218.14</v>
      </c>
      <c r="Q135" s="256">
        <v>284753.78999999998</v>
      </c>
      <c r="R135" s="256">
        <v>284753.78999999998</v>
      </c>
      <c r="S135" s="256">
        <v>340057.9</v>
      </c>
      <c r="T135" s="249"/>
      <c r="U135" s="251"/>
      <c r="V135" s="250"/>
      <c r="W135" s="250"/>
      <c r="X135" s="251"/>
    </row>
    <row r="136" spans="1:24" s="252" customFormat="1" hidden="1">
      <c r="A136" s="277">
        <v>21160</v>
      </c>
      <c r="B136" s="243" t="s">
        <v>1243</v>
      </c>
      <c r="C136" s="244" t="s">
        <v>1248</v>
      </c>
      <c r="D136" s="244" t="s">
        <v>1249</v>
      </c>
      <c r="E136" s="245">
        <v>28205</v>
      </c>
      <c r="F136" s="244" t="s">
        <v>610</v>
      </c>
      <c r="G136" s="27" t="s">
        <v>30</v>
      </c>
      <c r="H136" s="253">
        <v>0</v>
      </c>
      <c r="I136" s="254">
        <v>0</v>
      </c>
      <c r="J136" s="254">
        <v>0</v>
      </c>
      <c r="K136" s="255">
        <v>0</v>
      </c>
      <c r="L136" s="255">
        <v>0</v>
      </c>
      <c r="M136" s="255">
        <v>39478.19</v>
      </c>
      <c r="N136" s="254">
        <v>39478.19</v>
      </c>
      <c r="O136" s="256">
        <v>39478.19</v>
      </c>
      <c r="P136" s="256">
        <v>39478.19</v>
      </c>
      <c r="Q136" s="256">
        <v>39478.19</v>
      </c>
      <c r="R136" s="256">
        <v>39478.19</v>
      </c>
      <c r="S136" s="256">
        <v>39478.19</v>
      </c>
      <c r="T136" s="249"/>
      <c r="U136" s="251"/>
      <c r="V136" s="250"/>
      <c r="W136" s="250"/>
      <c r="X136" s="251"/>
    </row>
    <row r="137" spans="1:24" s="252" customFormat="1" hidden="1">
      <c r="A137" s="277">
        <v>21200</v>
      </c>
      <c r="B137" s="243" t="s">
        <v>1250</v>
      </c>
      <c r="C137" s="244" t="s">
        <v>1251</v>
      </c>
      <c r="D137" s="244" t="s">
        <v>1252</v>
      </c>
      <c r="E137" s="245">
        <v>20000</v>
      </c>
      <c r="F137" s="244" t="s">
        <v>518</v>
      </c>
      <c r="G137" s="244" t="s">
        <v>519</v>
      </c>
      <c r="H137" s="279">
        <v>-21279783.039999999</v>
      </c>
      <c r="I137" s="279">
        <v>-22854056.5</v>
      </c>
      <c r="J137" s="279">
        <v>-21783885.030000001</v>
      </c>
      <c r="K137" s="280">
        <v>-11261938</v>
      </c>
      <c r="L137" s="281">
        <v>-16666992.17</v>
      </c>
      <c r="M137" s="281">
        <v>-20142395.809999999</v>
      </c>
      <c r="N137" s="281">
        <f>-31281927.62-N451</f>
        <v>-23716685.16</v>
      </c>
      <c r="O137" s="281">
        <v>-21661575.66</v>
      </c>
      <c r="P137" s="281">
        <f>-32433108.17-P451</f>
        <v>-24684972.580000002</v>
      </c>
      <c r="Q137" s="281">
        <v>-27112698.140000001</v>
      </c>
      <c r="R137" s="281">
        <f>-27112698.14+5342817.8-2087015.16</f>
        <v>-23856895.5</v>
      </c>
      <c r="S137" s="281">
        <v>-23462093.460000001</v>
      </c>
      <c r="T137" s="249"/>
      <c r="U137" s="250" t="s">
        <v>1253</v>
      </c>
      <c r="V137" s="250"/>
      <c r="W137" s="250"/>
      <c r="X137" s="251"/>
    </row>
    <row r="138" spans="1:24" s="252" customFormat="1" hidden="1">
      <c r="A138" s="277">
        <v>21500</v>
      </c>
      <c r="B138" s="243" t="s">
        <v>1254</v>
      </c>
      <c r="C138" s="244" t="s">
        <v>1255</v>
      </c>
      <c r="D138" s="244" t="s">
        <v>1256</v>
      </c>
      <c r="E138" s="245">
        <v>21000</v>
      </c>
      <c r="F138" s="244" t="s">
        <v>522</v>
      </c>
      <c r="G138" s="244" t="s">
        <v>522</v>
      </c>
      <c r="H138" s="253">
        <v>0</v>
      </c>
      <c r="I138" s="254">
        <v>0</v>
      </c>
      <c r="J138" s="254">
        <v>0</v>
      </c>
      <c r="K138" s="255">
        <v>0</v>
      </c>
      <c r="L138" s="255">
        <v>0</v>
      </c>
      <c r="M138" s="255">
        <v>0</v>
      </c>
      <c r="N138" s="254">
        <v>0</v>
      </c>
      <c r="O138" s="256">
        <v>0</v>
      </c>
      <c r="P138" s="256">
        <v>0</v>
      </c>
      <c r="Q138" s="256">
        <v>0</v>
      </c>
      <c r="R138" s="256">
        <v>0</v>
      </c>
      <c r="S138" s="256">
        <v>0</v>
      </c>
      <c r="T138" s="249"/>
      <c r="U138" s="251"/>
      <c r="V138" s="250"/>
      <c r="W138" s="250"/>
      <c r="X138" s="251"/>
    </row>
    <row r="139" spans="1:24" s="252" customFormat="1" hidden="1">
      <c r="A139" s="277">
        <v>22000</v>
      </c>
      <c r="B139" s="243" t="s">
        <v>1257</v>
      </c>
      <c r="C139" s="244" t="s">
        <v>1258</v>
      </c>
      <c r="D139" s="244" t="s">
        <v>1259</v>
      </c>
      <c r="E139" s="245">
        <v>19100</v>
      </c>
      <c r="F139" s="244" t="s">
        <v>89</v>
      </c>
      <c r="G139" s="244" t="s">
        <v>89</v>
      </c>
      <c r="H139" s="282">
        <v>0</v>
      </c>
      <c r="I139" s="264">
        <v>0</v>
      </c>
      <c r="J139" s="264">
        <v>0</v>
      </c>
      <c r="K139" s="264">
        <v>0</v>
      </c>
      <c r="L139" s="275">
        <v>0</v>
      </c>
      <c r="M139" s="275">
        <v>0</v>
      </c>
      <c r="N139" s="264">
        <v>0</v>
      </c>
      <c r="O139" s="276">
        <v>0</v>
      </c>
      <c r="P139" s="276">
        <v>0</v>
      </c>
      <c r="Q139" s="276">
        <v>0</v>
      </c>
      <c r="R139" s="276">
        <v>0</v>
      </c>
      <c r="S139" s="276">
        <v>0</v>
      </c>
      <c r="T139" s="249"/>
      <c r="U139" s="250" t="s">
        <v>1071</v>
      </c>
      <c r="V139" s="250"/>
      <c r="W139" s="250"/>
      <c r="X139" s="251"/>
    </row>
    <row r="140" spans="1:24" s="252" customFormat="1" hidden="1">
      <c r="A140" s="277">
        <v>22400</v>
      </c>
      <c r="B140" s="243" t="s">
        <v>1260</v>
      </c>
      <c r="C140" s="244" t="s">
        <v>1261</v>
      </c>
      <c r="D140" s="244" t="s">
        <v>1262</v>
      </c>
      <c r="E140" s="245">
        <v>27206</v>
      </c>
      <c r="F140" s="244" t="s">
        <v>574</v>
      </c>
      <c r="G140" s="244" t="s">
        <v>566</v>
      </c>
      <c r="H140" s="253">
        <v>219371.79</v>
      </c>
      <c r="I140" s="254">
        <v>499797.09</v>
      </c>
      <c r="J140" s="254">
        <v>562528.66</v>
      </c>
      <c r="K140" s="255">
        <v>562528.66</v>
      </c>
      <c r="L140" s="255">
        <v>562528.66</v>
      </c>
      <c r="M140" s="255">
        <v>562528.66</v>
      </c>
      <c r="N140" s="254">
        <v>562528.66</v>
      </c>
      <c r="O140" s="256">
        <v>562528.66</v>
      </c>
      <c r="P140" s="256">
        <v>562528.66</v>
      </c>
      <c r="Q140" s="256">
        <v>562528.66</v>
      </c>
      <c r="R140" s="256">
        <v>562528.66</v>
      </c>
      <c r="S140" s="256">
        <v>562528.66</v>
      </c>
      <c r="T140" s="249"/>
      <c r="U140" s="251"/>
      <c r="V140" s="250"/>
      <c r="W140" s="250"/>
      <c r="X140" s="251"/>
    </row>
    <row r="141" spans="1:24" s="252" customFormat="1" hidden="1">
      <c r="A141" s="277">
        <v>22400</v>
      </c>
      <c r="B141" s="243" t="s">
        <v>1260</v>
      </c>
      <c r="C141" s="244" t="s">
        <v>1263</v>
      </c>
      <c r="D141" s="244" t="s">
        <v>1264</v>
      </c>
      <c r="E141" s="245">
        <v>27210</v>
      </c>
      <c r="F141" s="244" t="s">
        <v>1265</v>
      </c>
      <c r="G141" s="244" t="s">
        <v>566</v>
      </c>
      <c r="H141" s="253">
        <v>0</v>
      </c>
      <c r="I141" s="254">
        <v>0</v>
      </c>
      <c r="J141" s="254">
        <v>0</v>
      </c>
      <c r="K141" s="255">
        <v>0</v>
      </c>
      <c r="L141" s="255">
        <v>0</v>
      </c>
      <c r="M141" s="255">
        <v>0</v>
      </c>
      <c r="N141" s="254">
        <v>0</v>
      </c>
      <c r="O141" s="256">
        <v>0</v>
      </c>
      <c r="P141" s="256">
        <v>0</v>
      </c>
      <c r="Q141" s="256">
        <v>0</v>
      </c>
      <c r="R141" s="256">
        <v>0</v>
      </c>
      <c r="S141" s="256">
        <v>0</v>
      </c>
      <c r="T141" s="249"/>
      <c r="U141" s="251"/>
      <c r="V141" s="250"/>
      <c r="W141" s="250"/>
      <c r="X141" s="251"/>
    </row>
    <row r="142" spans="1:24" s="252" customFormat="1" hidden="1">
      <c r="A142" s="277">
        <v>22400</v>
      </c>
      <c r="B142" s="243" t="s">
        <v>1260</v>
      </c>
      <c r="C142" s="244" t="s">
        <v>1266</v>
      </c>
      <c r="D142" s="244" t="s">
        <v>1267</v>
      </c>
      <c r="E142" s="245">
        <v>27204</v>
      </c>
      <c r="F142" s="244" t="s">
        <v>572</v>
      </c>
      <c r="G142" s="244" t="s">
        <v>566</v>
      </c>
      <c r="H142" s="253">
        <v>-4332257.45</v>
      </c>
      <c r="I142" s="254">
        <v>-4332357.5599999996</v>
      </c>
      <c r="J142" s="254">
        <v>-4333641.2300000004</v>
      </c>
      <c r="K142" s="255">
        <v>-4333641.2300000004</v>
      </c>
      <c r="L142" s="255">
        <v>-4334519.2</v>
      </c>
      <c r="M142" s="255">
        <v>-4334519.2</v>
      </c>
      <c r="N142" s="254">
        <v>-4334519.2</v>
      </c>
      <c r="O142" s="256">
        <v>-4334519.2</v>
      </c>
      <c r="P142" s="256">
        <v>-4334519.2</v>
      </c>
      <c r="Q142" s="256">
        <v>-4334519.2</v>
      </c>
      <c r="R142" s="256">
        <v>-4334519.2</v>
      </c>
      <c r="S142" s="256">
        <v>-4529087.92</v>
      </c>
      <c r="T142" s="249"/>
      <c r="U142" s="251"/>
      <c r="V142" s="250"/>
      <c r="W142" s="250"/>
      <c r="X142" s="251"/>
    </row>
    <row r="143" spans="1:24" s="252" customFormat="1" hidden="1">
      <c r="A143" s="277">
        <v>22400</v>
      </c>
      <c r="B143" s="243" t="s">
        <v>1260</v>
      </c>
      <c r="C143" s="244" t="s">
        <v>1268</v>
      </c>
      <c r="D143" s="244" t="s">
        <v>1269</v>
      </c>
      <c r="E143" s="245">
        <v>27202</v>
      </c>
      <c r="F143" s="244" t="s">
        <v>571</v>
      </c>
      <c r="G143" s="244" t="s">
        <v>566</v>
      </c>
      <c r="H143" s="253">
        <v>28811224.84</v>
      </c>
      <c r="I143" s="254">
        <v>29321839.710000001</v>
      </c>
      <c r="J143" s="254">
        <v>31303592.84</v>
      </c>
      <c r="K143" s="255">
        <v>32282675.379999999</v>
      </c>
      <c r="L143" s="255">
        <v>33240100.77</v>
      </c>
      <c r="M143" s="255">
        <v>33694866.560000002</v>
      </c>
      <c r="N143" s="254">
        <v>34657912.060000002</v>
      </c>
      <c r="O143" s="256">
        <v>35077338.32</v>
      </c>
      <c r="P143" s="256">
        <v>35571919.560000002</v>
      </c>
      <c r="Q143" s="256">
        <v>36149511.270000003</v>
      </c>
      <c r="R143" s="256">
        <v>36913009.710000001</v>
      </c>
      <c r="S143" s="256">
        <v>37869206.399999999</v>
      </c>
      <c r="T143" s="249"/>
      <c r="U143" s="251"/>
      <c r="V143" s="250"/>
      <c r="W143" s="250"/>
      <c r="X143" s="251"/>
    </row>
    <row r="144" spans="1:24" s="252" customFormat="1" hidden="1">
      <c r="A144" s="277">
        <v>22400</v>
      </c>
      <c r="B144" s="243" t="s">
        <v>1260</v>
      </c>
      <c r="C144" s="244" t="s">
        <v>1270</v>
      </c>
      <c r="D144" s="244" t="s">
        <v>1271</v>
      </c>
      <c r="E144" s="245">
        <v>27200</v>
      </c>
      <c r="F144" s="244" t="s">
        <v>569</v>
      </c>
      <c r="G144" s="244" t="s">
        <v>566</v>
      </c>
      <c r="H144" s="253">
        <v>-24978764.48</v>
      </c>
      <c r="I144" s="254">
        <v>-25552010.809999999</v>
      </c>
      <c r="J144" s="254">
        <v>-26487755.640000001</v>
      </c>
      <c r="K144" s="255">
        <v>-27119930.920000002</v>
      </c>
      <c r="L144" s="255">
        <v>-27322055.699999999</v>
      </c>
      <c r="M144" s="255">
        <v>-28169069.850000001</v>
      </c>
      <c r="N144" s="254">
        <v>-28735435.41</v>
      </c>
      <c r="O144" s="256">
        <v>-29339421.329999998</v>
      </c>
      <c r="P144" s="256">
        <v>-29999008.649999999</v>
      </c>
      <c r="Q144" s="256">
        <v>-30907928.239999998</v>
      </c>
      <c r="R144" s="256">
        <v>-31043943.579999998</v>
      </c>
      <c r="S144" s="256">
        <v>-32282002.359999999</v>
      </c>
      <c r="T144" s="249"/>
      <c r="U144" s="251"/>
      <c r="V144" s="250"/>
      <c r="W144" s="250"/>
      <c r="X144" s="251"/>
    </row>
    <row r="145" spans="1:24" s="252" customFormat="1" hidden="1">
      <c r="A145" s="277">
        <v>22400</v>
      </c>
      <c r="B145" s="243" t="s">
        <v>1260</v>
      </c>
      <c r="C145" s="244" t="s">
        <v>1272</v>
      </c>
      <c r="D145" s="244" t="s">
        <v>1273</v>
      </c>
      <c r="E145" s="245">
        <v>27218</v>
      </c>
      <c r="F145" s="244" t="s">
        <v>1274</v>
      </c>
      <c r="G145" s="244" t="s">
        <v>566</v>
      </c>
      <c r="H145" s="253">
        <v>0</v>
      </c>
      <c r="I145" s="254">
        <v>0</v>
      </c>
      <c r="J145" s="254">
        <v>0</v>
      </c>
      <c r="K145" s="255">
        <v>0</v>
      </c>
      <c r="L145" s="255">
        <v>0</v>
      </c>
      <c r="M145" s="255">
        <v>0</v>
      </c>
      <c r="N145" s="254">
        <v>0</v>
      </c>
      <c r="O145" s="256">
        <v>0</v>
      </c>
      <c r="P145" s="256">
        <v>0</v>
      </c>
      <c r="Q145" s="256">
        <v>0</v>
      </c>
      <c r="R145" s="256">
        <v>0</v>
      </c>
      <c r="S145" s="256">
        <v>0</v>
      </c>
      <c r="T145" s="249"/>
      <c r="U145" s="251"/>
      <c r="V145" s="250"/>
      <c r="W145" s="250"/>
      <c r="X145" s="251"/>
    </row>
    <row r="146" spans="1:24" s="252" customFormat="1" hidden="1">
      <c r="A146" s="277">
        <v>22400</v>
      </c>
      <c r="B146" s="243" t="s">
        <v>1260</v>
      </c>
      <c r="C146" s="244" t="s">
        <v>1275</v>
      </c>
      <c r="D146" s="244" t="s">
        <v>1276</v>
      </c>
      <c r="E146" s="245">
        <v>27000</v>
      </c>
      <c r="F146" s="244" t="s">
        <v>565</v>
      </c>
      <c r="G146" s="244" t="s">
        <v>566</v>
      </c>
      <c r="H146" s="253">
        <v>0</v>
      </c>
      <c r="I146" s="254">
        <v>0</v>
      </c>
      <c r="J146" s="254">
        <v>0</v>
      </c>
      <c r="K146" s="255">
        <v>0</v>
      </c>
      <c r="L146" s="255">
        <v>0</v>
      </c>
      <c r="M146" s="255">
        <v>0</v>
      </c>
      <c r="N146" s="254">
        <v>0</v>
      </c>
      <c r="O146" s="256">
        <v>0</v>
      </c>
      <c r="P146" s="256">
        <v>0</v>
      </c>
      <c r="Q146" s="256">
        <v>0</v>
      </c>
      <c r="R146" s="256">
        <v>0</v>
      </c>
      <c r="S146" s="256">
        <v>0</v>
      </c>
      <c r="T146" s="249"/>
      <c r="U146" s="251"/>
      <c r="V146" s="250"/>
      <c r="W146" s="250"/>
      <c r="X146" s="251"/>
    </row>
    <row r="147" spans="1:24" s="252" customFormat="1" hidden="1">
      <c r="A147" s="277">
        <v>22400</v>
      </c>
      <c r="B147" s="243" t="s">
        <v>1260</v>
      </c>
      <c r="C147" s="244" t="s">
        <v>1277</v>
      </c>
      <c r="D147" s="244" t="s">
        <v>1278</v>
      </c>
      <c r="E147" s="245">
        <v>27000</v>
      </c>
      <c r="F147" s="244" t="s">
        <v>565</v>
      </c>
      <c r="G147" s="244" t="s">
        <v>566</v>
      </c>
      <c r="H147" s="253">
        <v>-4425.53</v>
      </c>
      <c r="I147" s="254">
        <v>-3995.57</v>
      </c>
      <c r="J147" s="254">
        <v>-5767.01</v>
      </c>
      <c r="K147" s="255">
        <v>-7169.95</v>
      </c>
      <c r="L147" s="255">
        <v>-9404.35</v>
      </c>
      <c r="M147" s="255">
        <v>-10861.39</v>
      </c>
      <c r="N147" s="254">
        <v>-11532.18</v>
      </c>
      <c r="O147" s="256">
        <v>-11375.01</v>
      </c>
      <c r="P147" s="256">
        <v>-15244.72</v>
      </c>
      <c r="Q147" s="256">
        <v>-13676.32</v>
      </c>
      <c r="R147" s="256">
        <v>-13842.9</v>
      </c>
      <c r="S147" s="256">
        <v>-27201.1</v>
      </c>
      <c r="T147" s="249"/>
      <c r="U147" s="251"/>
      <c r="V147" s="250"/>
      <c r="W147" s="250"/>
      <c r="X147" s="251"/>
    </row>
    <row r="148" spans="1:24" s="252" customFormat="1" hidden="1">
      <c r="A148" s="277">
        <v>22400</v>
      </c>
      <c r="B148" s="243" t="s">
        <v>1260</v>
      </c>
      <c r="C148" s="244" t="s">
        <v>1279</v>
      </c>
      <c r="D148" s="244" t="s">
        <v>1280</v>
      </c>
      <c r="E148" s="245">
        <v>27301</v>
      </c>
      <c r="F148" s="244" t="s">
        <v>589</v>
      </c>
      <c r="G148" s="244" t="s">
        <v>566</v>
      </c>
      <c r="H148" s="253">
        <v>0</v>
      </c>
      <c r="I148" s="254">
        <v>0</v>
      </c>
      <c r="J148" s="254">
        <v>0</v>
      </c>
      <c r="K148" s="255">
        <v>0</v>
      </c>
      <c r="L148" s="255">
        <v>0</v>
      </c>
      <c r="M148" s="255">
        <v>0</v>
      </c>
      <c r="N148" s="254">
        <v>0</v>
      </c>
      <c r="O148" s="256">
        <v>0</v>
      </c>
      <c r="P148" s="256">
        <v>0</v>
      </c>
      <c r="Q148" s="256">
        <v>0</v>
      </c>
      <c r="R148" s="256">
        <v>0</v>
      </c>
      <c r="S148" s="256">
        <v>0</v>
      </c>
      <c r="T148" s="249"/>
      <c r="U148" s="251"/>
      <c r="V148" s="250"/>
      <c r="W148" s="250"/>
      <c r="X148" s="251"/>
    </row>
    <row r="149" spans="1:24" s="252" customFormat="1" hidden="1">
      <c r="A149" s="277">
        <v>22400</v>
      </c>
      <c r="B149" s="243" t="s">
        <v>1260</v>
      </c>
      <c r="C149" s="244" t="s">
        <v>1281</v>
      </c>
      <c r="D149" s="244" t="s">
        <v>1282</v>
      </c>
      <c r="E149" s="245">
        <v>27312</v>
      </c>
      <c r="F149" s="244" t="s">
        <v>599</v>
      </c>
      <c r="G149" s="244" t="s">
        <v>566</v>
      </c>
      <c r="H149" s="253">
        <v>-3568.25</v>
      </c>
      <c r="I149" s="254">
        <v>-2672.35</v>
      </c>
      <c r="J149" s="254">
        <v>-4319.7299999999996</v>
      </c>
      <c r="K149" s="255">
        <v>-2917.73</v>
      </c>
      <c r="L149" s="255">
        <v>-3932.88</v>
      </c>
      <c r="M149" s="255">
        <v>-3938.25</v>
      </c>
      <c r="N149" s="254">
        <v>-2751.96</v>
      </c>
      <c r="O149" s="256">
        <v>-1393.81</v>
      </c>
      <c r="P149" s="256">
        <v>-1522.12</v>
      </c>
      <c r="Q149" s="256">
        <v>-1625.76</v>
      </c>
      <c r="R149" s="256">
        <v>-383.85</v>
      </c>
      <c r="S149" s="256">
        <v>-2462</v>
      </c>
      <c r="T149" s="249"/>
      <c r="U149" s="251"/>
      <c r="V149" s="250"/>
      <c r="W149" s="250"/>
      <c r="X149" s="251"/>
    </row>
    <row r="150" spans="1:24" s="252" customFormat="1" hidden="1">
      <c r="A150" s="277">
        <v>22400</v>
      </c>
      <c r="B150" s="243" t="s">
        <v>1260</v>
      </c>
      <c r="C150" s="244" t="s">
        <v>1283</v>
      </c>
      <c r="D150" s="244" t="s">
        <v>1284</v>
      </c>
      <c r="E150" s="245">
        <v>27302</v>
      </c>
      <c r="F150" s="244" t="s">
        <v>590</v>
      </c>
      <c r="G150" s="244" t="s">
        <v>566</v>
      </c>
      <c r="H150" s="253">
        <v>0</v>
      </c>
      <c r="I150" s="254">
        <v>0</v>
      </c>
      <c r="J150" s="254">
        <v>0</v>
      </c>
      <c r="K150" s="255">
        <v>0</v>
      </c>
      <c r="L150" s="255">
        <v>0</v>
      </c>
      <c r="M150" s="255">
        <v>0</v>
      </c>
      <c r="N150" s="254">
        <v>0</v>
      </c>
      <c r="O150" s="256">
        <v>0</v>
      </c>
      <c r="P150" s="256">
        <v>0</v>
      </c>
      <c r="Q150" s="256">
        <v>0</v>
      </c>
      <c r="R150" s="256">
        <v>0</v>
      </c>
      <c r="S150" s="256">
        <v>0</v>
      </c>
      <c r="T150" s="249"/>
      <c r="U150" s="251"/>
      <c r="V150" s="250"/>
      <c r="W150" s="250"/>
      <c r="X150" s="251"/>
    </row>
    <row r="151" spans="1:24" s="252" customFormat="1" hidden="1">
      <c r="A151" s="277">
        <v>22400</v>
      </c>
      <c r="B151" s="243" t="s">
        <v>1260</v>
      </c>
      <c r="C151" s="244" t="s">
        <v>1285</v>
      </c>
      <c r="D151" s="244" t="s">
        <v>1286</v>
      </c>
      <c r="E151" s="245">
        <v>27209</v>
      </c>
      <c r="F151" s="244" t="s">
        <v>1287</v>
      </c>
      <c r="G151" s="244" t="s">
        <v>566</v>
      </c>
      <c r="H151" s="253">
        <v>0</v>
      </c>
      <c r="I151" s="254">
        <v>0</v>
      </c>
      <c r="J151" s="254">
        <v>0</v>
      </c>
      <c r="K151" s="255">
        <v>0</v>
      </c>
      <c r="L151" s="255">
        <v>0</v>
      </c>
      <c r="M151" s="255">
        <v>0</v>
      </c>
      <c r="N151" s="254">
        <v>0</v>
      </c>
      <c r="O151" s="256">
        <v>0</v>
      </c>
      <c r="P151" s="256">
        <v>0</v>
      </c>
      <c r="Q151" s="256">
        <v>0</v>
      </c>
      <c r="R151" s="256">
        <v>0</v>
      </c>
      <c r="S151" s="256">
        <v>0</v>
      </c>
      <c r="T151" s="249"/>
      <c r="U151" s="251"/>
      <c r="V151" s="250"/>
      <c r="W151" s="250"/>
      <c r="X151" s="251"/>
    </row>
    <row r="152" spans="1:24" s="252" customFormat="1" hidden="1">
      <c r="A152" s="277">
        <v>22400</v>
      </c>
      <c r="B152" s="243" t="s">
        <v>1260</v>
      </c>
      <c r="C152" s="244" t="s">
        <v>1288</v>
      </c>
      <c r="D152" s="244" t="s">
        <v>1289</v>
      </c>
      <c r="E152" s="245">
        <v>27309</v>
      </c>
      <c r="F152" s="244" t="s">
        <v>596</v>
      </c>
      <c r="G152" s="244" t="s">
        <v>566</v>
      </c>
      <c r="H152" s="253">
        <v>0</v>
      </c>
      <c r="I152" s="254">
        <v>0</v>
      </c>
      <c r="J152" s="254">
        <v>0</v>
      </c>
      <c r="K152" s="255">
        <v>0</v>
      </c>
      <c r="L152" s="255">
        <v>0</v>
      </c>
      <c r="M152" s="255">
        <v>0</v>
      </c>
      <c r="N152" s="254">
        <v>0</v>
      </c>
      <c r="O152" s="256">
        <v>0</v>
      </c>
      <c r="P152" s="256">
        <v>0</v>
      </c>
      <c r="Q152" s="256">
        <v>0</v>
      </c>
      <c r="R152" s="256">
        <v>0</v>
      </c>
      <c r="S152" s="256">
        <v>0</v>
      </c>
      <c r="T152" s="249"/>
      <c r="U152" s="251"/>
      <c r="V152" s="250"/>
      <c r="W152" s="250"/>
      <c r="X152" s="251"/>
    </row>
    <row r="153" spans="1:24" s="252" customFormat="1" hidden="1">
      <c r="A153" s="277">
        <v>22400</v>
      </c>
      <c r="B153" s="243" t="s">
        <v>1260</v>
      </c>
      <c r="C153" s="244" t="s">
        <v>1290</v>
      </c>
      <c r="D153" s="244" t="s">
        <v>1291</v>
      </c>
      <c r="E153" s="245">
        <v>27308</v>
      </c>
      <c r="F153" s="244" t="s">
        <v>595</v>
      </c>
      <c r="G153" s="244" t="s">
        <v>566</v>
      </c>
      <c r="H153" s="253">
        <v>0</v>
      </c>
      <c r="I153" s="254">
        <v>0</v>
      </c>
      <c r="J153" s="254">
        <v>0</v>
      </c>
      <c r="K153" s="255">
        <v>0</v>
      </c>
      <c r="L153" s="255">
        <v>0</v>
      </c>
      <c r="M153" s="255">
        <v>0</v>
      </c>
      <c r="N153" s="254">
        <v>0</v>
      </c>
      <c r="O153" s="256">
        <v>0</v>
      </c>
      <c r="P153" s="256">
        <v>0</v>
      </c>
      <c r="Q153" s="256">
        <v>0</v>
      </c>
      <c r="R153" s="256">
        <v>0</v>
      </c>
      <c r="S153" s="256">
        <v>0</v>
      </c>
      <c r="T153" s="249"/>
      <c r="U153" s="251"/>
      <c r="V153" s="250"/>
      <c r="W153" s="250"/>
      <c r="X153" s="251"/>
    </row>
    <row r="154" spans="1:24" s="252" customFormat="1" hidden="1">
      <c r="A154" s="277">
        <v>22400</v>
      </c>
      <c r="B154" s="243" t="s">
        <v>1260</v>
      </c>
      <c r="C154" s="244" t="s">
        <v>1292</v>
      </c>
      <c r="D154" s="244" t="s">
        <v>1293</v>
      </c>
      <c r="E154" s="245">
        <v>27311</v>
      </c>
      <c r="F154" s="244" t="s">
        <v>598</v>
      </c>
      <c r="G154" s="244" t="s">
        <v>566</v>
      </c>
      <c r="H154" s="253">
        <v>0</v>
      </c>
      <c r="I154" s="254">
        <v>0</v>
      </c>
      <c r="J154" s="254">
        <v>-9573.25</v>
      </c>
      <c r="K154" s="255">
        <v>0</v>
      </c>
      <c r="L154" s="255">
        <v>0</v>
      </c>
      <c r="M154" s="255">
        <v>-9696.92</v>
      </c>
      <c r="N154" s="254">
        <v>0</v>
      </c>
      <c r="O154" s="256">
        <v>0</v>
      </c>
      <c r="P154" s="256">
        <v>-8254.67</v>
      </c>
      <c r="Q154" s="256">
        <v>0</v>
      </c>
      <c r="R154" s="256">
        <v>0</v>
      </c>
      <c r="S154" s="256">
        <v>-47600.75</v>
      </c>
      <c r="T154" s="249"/>
      <c r="U154" s="251"/>
      <c r="V154" s="250"/>
      <c r="W154" s="250"/>
      <c r="X154" s="251"/>
    </row>
    <row r="155" spans="1:24" s="252" customFormat="1" hidden="1">
      <c r="A155" s="277">
        <v>22400</v>
      </c>
      <c r="B155" s="243" t="s">
        <v>1260</v>
      </c>
      <c r="C155" s="244" t="s">
        <v>1294</v>
      </c>
      <c r="D155" s="244" t="s">
        <v>1295</v>
      </c>
      <c r="E155" s="245">
        <v>27300</v>
      </c>
      <c r="F155" s="244" t="s">
        <v>588</v>
      </c>
      <c r="G155" s="244" t="s">
        <v>566</v>
      </c>
      <c r="H155" s="253">
        <v>0</v>
      </c>
      <c r="I155" s="254">
        <v>0</v>
      </c>
      <c r="J155" s="254">
        <v>0</v>
      </c>
      <c r="K155" s="255">
        <v>0</v>
      </c>
      <c r="L155" s="255">
        <v>0</v>
      </c>
      <c r="M155" s="255">
        <v>0</v>
      </c>
      <c r="N155" s="254">
        <v>0</v>
      </c>
      <c r="O155" s="256">
        <v>0</v>
      </c>
      <c r="P155" s="256">
        <v>0</v>
      </c>
      <c r="Q155" s="256">
        <v>0</v>
      </c>
      <c r="R155" s="256">
        <v>0</v>
      </c>
      <c r="S155" s="256">
        <v>0</v>
      </c>
      <c r="T155" s="249"/>
      <c r="U155" s="251"/>
      <c r="V155" s="250"/>
      <c r="W155" s="250"/>
      <c r="X155" s="251"/>
    </row>
    <row r="156" spans="1:24" s="252" customFormat="1" hidden="1">
      <c r="A156" s="277">
        <v>22050</v>
      </c>
      <c r="B156" s="243" t="s">
        <v>1296</v>
      </c>
      <c r="C156" s="244" t="s">
        <v>1297</v>
      </c>
      <c r="D156" s="244" t="s">
        <v>1298</v>
      </c>
      <c r="E156" s="278">
        <v>22002</v>
      </c>
      <c r="F156" s="244" t="s">
        <v>526</v>
      </c>
      <c r="G156" s="244" t="s">
        <v>302</v>
      </c>
      <c r="H156" s="253">
        <v>-15510292.65</v>
      </c>
      <c r="I156" s="254">
        <v>-15821086.050000001</v>
      </c>
      <c r="J156" s="254">
        <v>-13217128.800000001</v>
      </c>
      <c r="K156" s="255">
        <v>-17222088.940000001</v>
      </c>
      <c r="L156" s="255">
        <v>-17284076.84</v>
      </c>
      <c r="M156" s="255">
        <v>-18020204.48</v>
      </c>
      <c r="N156" s="254">
        <v>-16220602.74</v>
      </c>
      <c r="O156" s="256">
        <v>-14156430.51</v>
      </c>
      <c r="P156" s="256">
        <v>-12315568.09</v>
      </c>
      <c r="Q156" s="256">
        <v>-12237958.6</v>
      </c>
      <c r="R156" s="256">
        <v>-12555684.16</v>
      </c>
      <c r="S156" s="256">
        <v>-12161450.939999999</v>
      </c>
      <c r="T156" s="249"/>
      <c r="U156" s="251"/>
      <c r="V156" s="250"/>
      <c r="W156" s="250"/>
      <c r="X156" s="251"/>
    </row>
    <row r="157" spans="1:24" s="252" customFormat="1" hidden="1">
      <c r="A157" s="277">
        <v>22050</v>
      </c>
      <c r="B157" s="243" t="s">
        <v>1296</v>
      </c>
      <c r="C157" s="244" t="s">
        <v>1299</v>
      </c>
      <c r="D157" s="244" t="s">
        <v>1300</v>
      </c>
      <c r="E157" s="278">
        <v>22001</v>
      </c>
      <c r="F157" s="244" t="s">
        <v>525</v>
      </c>
      <c r="G157" s="244" t="s">
        <v>302</v>
      </c>
      <c r="H157" s="253">
        <v>0</v>
      </c>
      <c r="I157" s="254">
        <v>0</v>
      </c>
      <c r="J157" s="254">
        <v>0</v>
      </c>
      <c r="K157" s="255">
        <v>0</v>
      </c>
      <c r="L157" s="255">
        <v>0</v>
      </c>
      <c r="M157" s="255">
        <v>0</v>
      </c>
      <c r="N157" s="254">
        <v>0</v>
      </c>
      <c r="O157" s="256">
        <v>0</v>
      </c>
      <c r="P157" s="256">
        <v>0</v>
      </c>
      <c r="Q157" s="256">
        <v>0</v>
      </c>
      <c r="R157" s="256">
        <v>0</v>
      </c>
      <c r="S157" s="256">
        <v>0</v>
      </c>
      <c r="T157" s="249"/>
      <c r="U157" s="251"/>
      <c r="V157" s="250"/>
      <c r="W157" s="250"/>
      <c r="X157" s="251"/>
    </row>
    <row r="158" spans="1:24" s="252" customFormat="1" hidden="1">
      <c r="A158" s="277">
        <v>22050</v>
      </c>
      <c r="B158" s="243" t="s">
        <v>1296</v>
      </c>
      <c r="C158" s="244" t="s">
        <v>1301</v>
      </c>
      <c r="D158" s="244" t="s">
        <v>1302</v>
      </c>
      <c r="E158" s="245"/>
      <c r="F158" s="244"/>
      <c r="G158" s="244"/>
      <c r="H158" s="253">
        <v>0</v>
      </c>
      <c r="I158" s="254">
        <v>0</v>
      </c>
      <c r="J158" s="254">
        <v>0</v>
      </c>
      <c r="K158" s="255">
        <v>0</v>
      </c>
      <c r="L158" s="255">
        <v>0</v>
      </c>
      <c r="M158" s="255">
        <v>0</v>
      </c>
      <c r="N158" s="254">
        <v>0</v>
      </c>
      <c r="O158" s="256">
        <v>0</v>
      </c>
      <c r="P158" s="256">
        <v>0</v>
      </c>
      <c r="Q158" s="256">
        <v>0</v>
      </c>
      <c r="R158" s="256">
        <v>0</v>
      </c>
      <c r="S158" s="256">
        <v>0</v>
      </c>
      <c r="T158" s="249"/>
      <c r="U158" s="251"/>
      <c r="V158" s="250"/>
      <c r="W158" s="250"/>
      <c r="X158" s="251"/>
    </row>
    <row r="159" spans="1:24" s="252" customFormat="1" hidden="1">
      <c r="A159" s="277">
        <v>22050</v>
      </c>
      <c r="B159" s="243" t="s">
        <v>1296</v>
      </c>
      <c r="C159" s="244" t="s">
        <v>1303</v>
      </c>
      <c r="D159" s="244" t="s">
        <v>1304</v>
      </c>
      <c r="E159" s="278">
        <v>22001</v>
      </c>
      <c r="F159" s="244" t="s">
        <v>525</v>
      </c>
      <c r="G159" s="244" t="s">
        <v>302</v>
      </c>
      <c r="H159" s="253">
        <v>-10444122.51</v>
      </c>
      <c r="I159" s="254">
        <v>-9373055.9100000001</v>
      </c>
      <c r="J159" s="254">
        <v>-7432610.0800000001</v>
      </c>
      <c r="K159" s="255">
        <v>-6133678.29</v>
      </c>
      <c r="L159" s="255">
        <v>-5021654.0199999996</v>
      </c>
      <c r="M159" s="255">
        <v>-5859151.2000000002</v>
      </c>
      <c r="N159" s="254">
        <v>-2835211.58</v>
      </c>
      <c r="O159" s="256">
        <v>-3532793.88</v>
      </c>
      <c r="P159" s="256">
        <v>-5971444.75</v>
      </c>
      <c r="Q159" s="256">
        <v>-5411303.3899999997</v>
      </c>
      <c r="R159" s="256">
        <v>-6571130.2699999996</v>
      </c>
      <c r="S159" s="256">
        <v>-7642708.1299999999</v>
      </c>
      <c r="T159" s="249"/>
      <c r="U159" s="251"/>
      <c r="V159" s="250"/>
      <c r="W159" s="250"/>
      <c r="X159" s="251"/>
    </row>
    <row r="160" spans="1:24" s="252" customFormat="1" hidden="1">
      <c r="A160" s="283">
        <v>22500</v>
      </c>
      <c r="B160" s="284" t="s">
        <v>1305</v>
      </c>
      <c r="C160" s="285" t="s">
        <v>1306</v>
      </c>
      <c r="D160" s="285" t="s">
        <v>1307</v>
      </c>
      <c r="E160" s="286">
        <v>22002</v>
      </c>
      <c r="F160" s="285" t="s">
        <v>526</v>
      </c>
      <c r="G160" s="285" t="s">
        <v>302</v>
      </c>
      <c r="H160" s="287">
        <f>-79866636.99-H453</f>
        <v>-11196205.269999996</v>
      </c>
      <c r="I160" s="287">
        <f>-79743843.67-I453</f>
        <v>-11073411.950000003</v>
      </c>
      <c r="J160" s="287">
        <f>-79757914.89-J453</f>
        <v>-11087483.170000002</v>
      </c>
      <c r="K160" s="288">
        <f>-80778870.14-K453</f>
        <v>-12108438.420000002</v>
      </c>
      <c r="L160" s="288">
        <f>-84143748.11-L453</f>
        <v>-12549389.049999997</v>
      </c>
      <c r="M160" s="288">
        <f>-80815797.86-M453</f>
        <v>-9221438.799999997</v>
      </c>
      <c r="N160" s="287">
        <f>-81726535.37-N453</f>
        <v>-10132176.310000002</v>
      </c>
      <c r="O160" s="289">
        <f>-81726535.37-O453</f>
        <v>-10132176.310000002</v>
      </c>
      <c r="P160" s="289">
        <f>-80869127.54-P453</f>
        <v>-9274768.4800000042</v>
      </c>
      <c r="Q160" s="289">
        <f>-81494082.32-Q453</f>
        <v>-9899723.2599999905</v>
      </c>
      <c r="R160" s="289">
        <f>-85692204.15-R453</f>
        <v>-10031690.220000014</v>
      </c>
      <c r="S160" s="289">
        <f>-85713639.61-S453</f>
        <v>-10053125.680000007</v>
      </c>
      <c r="T160" s="249"/>
      <c r="U160" s="250" t="s">
        <v>1308</v>
      </c>
      <c r="V160" s="250"/>
      <c r="W160" s="250"/>
      <c r="X160" s="251"/>
    </row>
    <row r="161" spans="1:24" s="252" customFormat="1" hidden="1">
      <c r="A161" s="277">
        <v>22100</v>
      </c>
      <c r="B161" s="243" t="s">
        <v>1309</v>
      </c>
      <c r="C161" s="244" t="s">
        <v>1310</v>
      </c>
      <c r="D161" s="244" t="s">
        <v>1311</v>
      </c>
      <c r="E161" s="278">
        <v>24000</v>
      </c>
      <c r="F161" s="244" t="s">
        <v>535</v>
      </c>
      <c r="G161" s="244" t="s">
        <v>533</v>
      </c>
      <c r="H161" s="253">
        <v>0</v>
      </c>
      <c r="I161" s="254">
        <v>0</v>
      </c>
      <c r="J161" s="254">
        <v>0</v>
      </c>
      <c r="K161" s="255">
        <v>0</v>
      </c>
      <c r="L161" s="255">
        <v>0</v>
      </c>
      <c r="M161" s="255">
        <v>0</v>
      </c>
      <c r="N161" s="254">
        <v>0</v>
      </c>
      <c r="O161" s="256">
        <v>0</v>
      </c>
      <c r="P161" s="256">
        <v>0</v>
      </c>
      <c r="Q161" s="256">
        <v>0</v>
      </c>
      <c r="R161" s="256">
        <v>0</v>
      </c>
      <c r="S161" s="256">
        <v>0</v>
      </c>
      <c r="T161" s="249"/>
      <c r="U161" s="251"/>
      <c r="V161" s="250"/>
      <c r="W161" s="250"/>
      <c r="X161" s="251"/>
    </row>
    <row r="162" spans="1:24" s="252" customFormat="1" hidden="1">
      <c r="A162" s="277">
        <v>22150</v>
      </c>
      <c r="B162" s="243" t="s">
        <v>1312</v>
      </c>
      <c r="C162" s="244" t="s">
        <v>1313</v>
      </c>
      <c r="D162" s="244" t="s">
        <v>1311</v>
      </c>
      <c r="E162" s="278">
        <v>24000</v>
      </c>
      <c r="F162" s="244" t="s">
        <v>535</v>
      </c>
      <c r="G162" s="244" t="s">
        <v>533</v>
      </c>
      <c r="H162" s="253">
        <v>-96117.83</v>
      </c>
      <c r="I162" s="254">
        <v>-143868.79999999999</v>
      </c>
      <c r="J162" s="254">
        <v>-12979113.74</v>
      </c>
      <c r="K162" s="255">
        <v>-14102062.32</v>
      </c>
      <c r="L162" s="255">
        <v>-6164917.1799999997</v>
      </c>
      <c r="M162" s="255">
        <v>-1408597.31</v>
      </c>
      <c r="N162" s="254">
        <v>-1374318.06</v>
      </c>
      <c r="O162" s="256">
        <v>-1111870.97</v>
      </c>
      <c r="P162" s="256">
        <v>-1554450.24</v>
      </c>
      <c r="Q162" s="256">
        <v>-1313659.67</v>
      </c>
      <c r="R162" s="256">
        <v>-1214755.67</v>
      </c>
      <c r="S162" s="256">
        <v>-1357655.47</v>
      </c>
      <c r="T162" s="249"/>
      <c r="U162" s="251"/>
      <c r="V162" s="250"/>
      <c r="W162" s="250"/>
      <c r="X162" s="251"/>
    </row>
    <row r="163" spans="1:24" s="252" customFormat="1" hidden="1">
      <c r="A163" s="277">
        <v>22501</v>
      </c>
      <c r="B163" s="243" t="s">
        <v>1314</v>
      </c>
      <c r="C163" s="244" t="s">
        <v>1315</v>
      </c>
      <c r="D163" s="244" t="s">
        <v>1316</v>
      </c>
      <c r="E163" s="278">
        <v>22001</v>
      </c>
      <c r="F163" s="244" t="s">
        <v>525</v>
      </c>
      <c r="G163" s="244" t="s">
        <v>302</v>
      </c>
      <c r="H163" s="253">
        <v>-266217.84000000003</v>
      </c>
      <c r="I163" s="254">
        <v>-554717.36</v>
      </c>
      <c r="J163" s="254">
        <v>-853255.83</v>
      </c>
      <c r="K163" s="255">
        <v>-589481.06000000006</v>
      </c>
      <c r="L163" s="255">
        <v>-826108.11</v>
      </c>
      <c r="M163" s="255">
        <v>-1065327.79</v>
      </c>
      <c r="N163" s="254">
        <v>-932350.65</v>
      </c>
      <c r="O163" s="256">
        <v>-1160726.25</v>
      </c>
      <c r="P163" s="256">
        <v>-1385206.37</v>
      </c>
      <c r="Q163" s="256">
        <v>-1335680.93</v>
      </c>
      <c r="R163" s="256">
        <v>-1570736.62</v>
      </c>
      <c r="S163" s="256">
        <v>-1336435.17</v>
      </c>
      <c r="T163" s="249"/>
      <c r="U163" s="250"/>
      <c r="V163" s="250"/>
      <c r="W163" s="250"/>
      <c r="X163" s="251"/>
    </row>
    <row r="164" spans="1:24" s="252" customFormat="1" hidden="1">
      <c r="A164" s="277">
        <v>22501</v>
      </c>
      <c r="B164" s="243" t="s">
        <v>1314</v>
      </c>
      <c r="C164" s="244" t="s">
        <v>1317</v>
      </c>
      <c r="D164" s="244" t="s">
        <v>1318</v>
      </c>
      <c r="E164" s="278">
        <v>22001</v>
      </c>
      <c r="F164" s="244" t="s">
        <v>525</v>
      </c>
      <c r="G164" s="244" t="s">
        <v>302</v>
      </c>
      <c r="H164" s="253">
        <v>0</v>
      </c>
      <c r="I164" s="254"/>
      <c r="J164" s="254"/>
      <c r="K164" s="255"/>
      <c r="L164" s="255">
        <v>0</v>
      </c>
      <c r="M164" s="255"/>
      <c r="N164" s="254"/>
      <c r="O164" s="256"/>
      <c r="P164" s="256">
        <v>0</v>
      </c>
      <c r="Q164" s="256"/>
      <c r="R164" s="256"/>
      <c r="S164" s="256"/>
      <c r="T164" s="249"/>
      <c r="U164" s="251"/>
      <c r="V164" s="250"/>
      <c r="W164" s="250"/>
      <c r="X164" s="251"/>
    </row>
    <row r="165" spans="1:24" s="252" customFormat="1" hidden="1">
      <c r="A165" s="277">
        <v>22501</v>
      </c>
      <c r="B165" s="243" t="s">
        <v>1314</v>
      </c>
      <c r="C165" s="244" t="s">
        <v>1319</v>
      </c>
      <c r="D165" s="244" t="s">
        <v>1320</v>
      </c>
      <c r="E165" s="278">
        <v>22001</v>
      </c>
      <c r="F165" s="244" t="s">
        <v>525</v>
      </c>
      <c r="G165" s="244" t="s">
        <v>302</v>
      </c>
      <c r="H165" s="253">
        <v>0</v>
      </c>
      <c r="I165" s="254"/>
      <c r="J165" s="254"/>
      <c r="K165" s="255"/>
      <c r="L165" s="255">
        <v>0</v>
      </c>
      <c r="M165" s="255"/>
      <c r="N165" s="254"/>
      <c r="O165" s="256"/>
      <c r="P165" s="256">
        <v>0</v>
      </c>
      <c r="Q165" s="256"/>
      <c r="R165" s="256"/>
      <c r="S165" s="256"/>
      <c r="T165" s="249"/>
      <c r="U165" s="251"/>
      <c r="V165" s="250"/>
      <c r="W165" s="250"/>
      <c r="X165" s="251"/>
    </row>
    <row r="166" spans="1:24" s="252" customFormat="1" hidden="1">
      <c r="A166" s="277">
        <v>22501</v>
      </c>
      <c r="B166" s="243" t="s">
        <v>1314</v>
      </c>
      <c r="C166" s="244" t="s">
        <v>1321</v>
      </c>
      <c r="D166" s="244" t="s">
        <v>1322</v>
      </c>
      <c r="E166" s="278">
        <v>22001</v>
      </c>
      <c r="F166" s="244" t="s">
        <v>525</v>
      </c>
      <c r="G166" s="244" t="s">
        <v>302</v>
      </c>
      <c r="H166" s="253">
        <v>0</v>
      </c>
      <c r="I166" s="254"/>
      <c r="J166" s="254"/>
      <c r="K166" s="255"/>
      <c r="L166" s="255">
        <v>0</v>
      </c>
      <c r="M166" s="255"/>
      <c r="N166" s="254"/>
      <c r="O166" s="256"/>
      <c r="P166" s="256">
        <v>0</v>
      </c>
      <c r="Q166" s="256"/>
      <c r="R166" s="256"/>
      <c r="S166" s="256"/>
      <c r="T166" s="249"/>
      <c r="U166" s="251"/>
      <c r="V166" s="250"/>
      <c r="W166" s="250"/>
      <c r="X166" s="251"/>
    </row>
    <row r="167" spans="1:24" s="252" customFormat="1" hidden="1">
      <c r="A167" s="277">
        <v>22501</v>
      </c>
      <c r="B167" s="243" t="s">
        <v>1314</v>
      </c>
      <c r="C167" s="244" t="s">
        <v>1323</v>
      </c>
      <c r="D167" s="244" t="s">
        <v>1324</v>
      </c>
      <c r="E167" s="278">
        <v>22001</v>
      </c>
      <c r="F167" s="244" t="s">
        <v>525</v>
      </c>
      <c r="G167" s="244" t="s">
        <v>302</v>
      </c>
      <c r="H167" s="253">
        <v>0</v>
      </c>
      <c r="I167" s="254"/>
      <c r="J167" s="254"/>
      <c r="K167" s="255"/>
      <c r="L167" s="255">
        <v>0</v>
      </c>
      <c r="M167" s="255"/>
      <c r="N167" s="254"/>
      <c r="O167" s="256"/>
      <c r="P167" s="256">
        <v>0</v>
      </c>
      <c r="Q167" s="256"/>
      <c r="R167" s="256"/>
      <c r="S167" s="256"/>
      <c r="T167" s="249"/>
      <c r="U167" s="251"/>
      <c r="V167" s="250"/>
      <c r="W167" s="250"/>
      <c r="X167" s="251"/>
    </row>
    <row r="168" spans="1:24" s="252" customFormat="1" hidden="1">
      <c r="A168" s="277">
        <v>22501</v>
      </c>
      <c r="B168" s="243" t="s">
        <v>1314</v>
      </c>
      <c r="C168" s="244" t="s">
        <v>1325</v>
      </c>
      <c r="D168" s="244" t="s">
        <v>1326</v>
      </c>
      <c r="E168" s="278">
        <v>22001</v>
      </c>
      <c r="F168" s="244" t="s">
        <v>525</v>
      </c>
      <c r="G168" s="244" t="s">
        <v>302</v>
      </c>
      <c r="H168" s="253">
        <v>0</v>
      </c>
      <c r="I168" s="254">
        <v>0</v>
      </c>
      <c r="J168" s="254">
        <v>0</v>
      </c>
      <c r="K168" s="255">
        <v>0</v>
      </c>
      <c r="L168" s="255">
        <v>0</v>
      </c>
      <c r="M168" s="255">
        <v>0</v>
      </c>
      <c r="N168" s="254">
        <v>0</v>
      </c>
      <c r="O168" s="256">
        <v>0</v>
      </c>
      <c r="P168" s="256">
        <v>0</v>
      </c>
      <c r="Q168" s="256">
        <v>0</v>
      </c>
      <c r="R168" s="256">
        <v>0</v>
      </c>
      <c r="S168" s="256">
        <v>0</v>
      </c>
      <c r="T168" s="249"/>
      <c r="U168" s="250"/>
      <c r="V168" s="250"/>
      <c r="W168" s="250"/>
      <c r="X168" s="251"/>
    </row>
    <row r="169" spans="1:24" s="252" customFormat="1" hidden="1">
      <c r="A169" s="277">
        <v>22501</v>
      </c>
      <c r="B169" s="243" t="s">
        <v>1314</v>
      </c>
      <c r="C169" s="244" t="s">
        <v>1327</v>
      </c>
      <c r="D169" s="244" t="s">
        <v>1328</v>
      </c>
      <c r="E169" s="278">
        <v>22001</v>
      </c>
      <c r="F169" s="244" t="s">
        <v>525</v>
      </c>
      <c r="G169" s="244" t="s">
        <v>302</v>
      </c>
      <c r="H169" s="253">
        <v>0</v>
      </c>
      <c r="I169" s="254">
        <v>0</v>
      </c>
      <c r="J169" s="254">
        <v>0</v>
      </c>
      <c r="K169" s="255">
        <v>0</v>
      </c>
      <c r="L169" s="255">
        <v>0</v>
      </c>
      <c r="M169" s="255">
        <v>0</v>
      </c>
      <c r="N169" s="254">
        <v>0</v>
      </c>
      <c r="O169" s="256">
        <v>0</v>
      </c>
      <c r="P169" s="256">
        <v>0</v>
      </c>
      <c r="Q169" s="256">
        <v>0</v>
      </c>
      <c r="R169" s="256">
        <v>0</v>
      </c>
      <c r="S169" s="256">
        <v>0</v>
      </c>
      <c r="T169" s="249"/>
      <c r="U169" s="251"/>
      <c r="V169" s="250"/>
      <c r="W169" s="250"/>
      <c r="X169" s="251"/>
    </row>
    <row r="170" spans="1:24" s="252" customFormat="1" hidden="1">
      <c r="A170" s="277">
        <v>22501</v>
      </c>
      <c r="B170" s="243" t="s">
        <v>1314</v>
      </c>
      <c r="C170" s="244" t="s">
        <v>1329</v>
      </c>
      <c r="D170" s="244" t="s">
        <v>1330</v>
      </c>
      <c r="E170" s="278">
        <v>22001</v>
      </c>
      <c r="F170" s="244" t="s">
        <v>525</v>
      </c>
      <c r="G170" s="244" t="s">
        <v>302</v>
      </c>
      <c r="H170" s="253">
        <v>0</v>
      </c>
      <c r="I170" s="254">
        <v>0</v>
      </c>
      <c r="J170" s="254">
        <v>0</v>
      </c>
      <c r="K170" s="255">
        <v>0</v>
      </c>
      <c r="L170" s="255">
        <v>0</v>
      </c>
      <c r="M170" s="255">
        <v>0</v>
      </c>
      <c r="N170" s="254">
        <v>0</v>
      </c>
      <c r="O170" s="256">
        <v>0</v>
      </c>
      <c r="P170" s="256">
        <v>0</v>
      </c>
      <c r="Q170" s="256">
        <v>0</v>
      </c>
      <c r="R170" s="256">
        <v>0</v>
      </c>
      <c r="S170" s="256">
        <v>0</v>
      </c>
      <c r="T170" s="249"/>
      <c r="U170" s="251"/>
      <c r="V170" s="250"/>
      <c r="W170" s="250"/>
      <c r="X170" s="251"/>
    </row>
    <row r="171" spans="1:24" s="252" customFormat="1" hidden="1">
      <c r="A171" s="283">
        <v>22501</v>
      </c>
      <c r="B171" s="284" t="s">
        <v>1314</v>
      </c>
      <c r="C171" s="285" t="s">
        <v>1331</v>
      </c>
      <c r="D171" s="285" t="s">
        <v>1182</v>
      </c>
      <c r="E171" s="286">
        <v>22001</v>
      </c>
      <c r="F171" s="285" t="s">
        <v>525</v>
      </c>
      <c r="G171" s="285" t="s">
        <v>302</v>
      </c>
      <c r="H171" s="287">
        <f t="shared" ref="H171:Q171" si="1">-315724.77-H456</f>
        <v>0</v>
      </c>
      <c r="I171" s="287">
        <f t="shared" si="1"/>
        <v>0</v>
      </c>
      <c r="J171" s="287">
        <f t="shared" si="1"/>
        <v>0</v>
      </c>
      <c r="K171" s="288">
        <f t="shared" si="1"/>
        <v>0</v>
      </c>
      <c r="L171" s="288">
        <f t="shared" si="1"/>
        <v>0</v>
      </c>
      <c r="M171" s="288">
        <f t="shared" si="1"/>
        <v>0</v>
      </c>
      <c r="N171" s="287">
        <f t="shared" si="1"/>
        <v>0</v>
      </c>
      <c r="O171" s="289">
        <f t="shared" si="1"/>
        <v>0</v>
      </c>
      <c r="P171" s="289">
        <f t="shared" si="1"/>
        <v>0</v>
      </c>
      <c r="Q171" s="289">
        <f t="shared" si="1"/>
        <v>0</v>
      </c>
      <c r="R171" s="289">
        <f>-315724.77-R456</f>
        <v>0</v>
      </c>
      <c r="S171" s="289">
        <f>-315724.77-S456</f>
        <v>0</v>
      </c>
      <c r="T171" s="249"/>
      <c r="U171" s="250" t="s">
        <v>1308</v>
      </c>
      <c r="V171" s="250"/>
      <c r="W171" s="250"/>
      <c r="X171" s="251"/>
    </row>
    <row r="172" spans="1:24" s="252" customFormat="1" hidden="1">
      <c r="A172" s="283">
        <v>22501</v>
      </c>
      <c r="B172" s="284" t="s">
        <v>1314</v>
      </c>
      <c r="C172" s="285" t="s">
        <v>1332</v>
      </c>
      <c r="D172" s="285" t="s">
        <v>1333</v>
      </c>
      <c r="E172" s="286">
        <v>22001</v>
      </c>
      <c r="F172" s="285" t="s">
        <v>525</v>
      </c>
      <c r="G172" s="285" t="s">
        <v>302</v>
      </c>
      <c r="H172" s="287">
        <f>-2966835.65-H454</f>
        <v>-42908.310000000056</v>
      </c>
      <c r="I172" s="287">
        <f>-3083486.5-I454</f>
        <v>-159559.16000000015</v>
      </c>
      <c r="J172" s="287">
        <f>-3185797.83-J454</f>
        <v>-261870.49000000022</v>
      </c>
      <c r="K172" s="288">
        <f>-3202112.38-K454</f>
        <v>-278185.04000000004</v>
      </c>
      <c r="L172" s="288">
        <f>-9672.09-L454</f>
        <v>-9672.09</v>
      </c>
      <c r="M172" s="288">
        <f>-44776.18-M454</f>
        <v>-44776.18</v>
      </c>
      <c r="N172" s="287">
        <f>-75886.78-N454</f>
        <v>-75886.78</v>
      </c>
      <c r="O172" s="289">
        <f>-86368.39-O454</f>
        <v>-86368.39</v>
      </c>
      <c r="P172" s="289">
        <f>-102189.45-P454</f>
        <v>-102189.45</v>
      </c>
      <c r="Q172" s="289">
        <f>-124497.12-Q454</f>
        <v>-124497.12</v>
      </c>
      <c r="R172" s="289">
        <f>-211548.82-R454</f>
        <v>-211548.82</v>
      </c>
      <c r="S172" s="289">
        <f>1324160.99-S454</f>
        <v>1324160.99</v>
      </c>
      <c r="T172" s="249"/>
      <c r="U172" s="250" t="s">
        <v>1308</v>
      </c>
      <c r="V172" s="250"/>
      <c r="W172" s="250"/>
      <c r="X172" s="251"/>
    </row>
    <row r="173" spans="1:24" s="252" customFormat="1" hidden="1">
      <c r="A173" s="277">
        <v>22600</v>
      </c>
      <c r="B173" s="243" t="s">
        <v>1334</v>
      </c>
      <c r="C173" s="244" t="s">
        <v>1335</v>
      </c>
      <c r="D173" s="244" t="s">
        <v>1336</v>
      </c>
      <c r="E173" s="245">
        <v>28100</v>
      </c>
      <c r="F173" s="244" t="s">
        <v>604</v>
      </c>
      <c r="G173" s="27" t="s">
        <v>30</v>
      </c>
      <c r="H173" s="253">
        <v>0</v>
      </c>
      <c r="I173" s="254">
        <v>0</v>
      </c>
      <c r="J173" s="254">
        <v>0</v>
      </c>
      <c r="K173" s="255">
        <v>0</v>
      </c>
      <c r="L173" s="255">
        <v>0</v>
      </c>
      <c r="M173" s="255">
        <v>0</v>
      </c>
      <c r="N173" s="254">
        <v>0</v>
      </c>
      <c r="O173" s="256">
        <v>0</v>
      </c>
      <c r="P173" s="256">
        <v>1926.48</v>
      </c>
      <c r="Q173" s="256">
        <v>0</v>
      </c>
      <c r="R173" s="256">
        <v>0</v>
      </c>
      <c r="S173" s="256">
        <v>0</v>
      </c>
      <c r="T173" s="249"/>
      <c r="U173" s="251"/>
      <c r="V173" s="250"/>
      <c r="W173" s="250"/>
      <c r="X173" s="251"/>
    </row>
    <row r="174" spans="1:24" s="252" customFormat="1" hidden="1">
      <c r="A174" s="277">
        <v>22600</v>
      </c>
      <c r="B174" s="243" t="s">
        <v>1334</v>
      </c>
      <c r="C174" s="244" t="s">
        <v>1337</v>
      </c>
      <c r="D174" s="244" t="s">
        <v>1338</v>
      </c>
      <c r="E174" s="245">
        <v>22100</v>
      </c>
      <c r="F174" s="244" t="s">
        <v>530</v>
      </c>
      <c r="G174" s="244" t="s">
        <v>293</v>
      </c>
      <c r="H174" s="253">
        <v>0</v>
      </c>
      <c r="I174" s="254">
        <v>0</v>
      </c>
      <c r="J174" s="254">
        <v>0</v>
      </c>
      <c r="K174" s="255">
        <v>0</v>
      </c>
      <c r="L174" s="255">
        <v>0</v>
      </c>
      <c r="M174" s="255">
        <v>0</v>
      </c>
      <c r="N174" s="254">
        <v>0</v>
      </c>
      <c r="O174" s="256">
        <v>0</v>
      </c>
      <c r="P174" s="256">
        <v>0</v>
      </c>
      <c r="Q174" s="256">
        <v>0</v>
      </c>
      <c r="R174" s="256">
        <v>0</v>
      </c>
      <c r="S174" s="256">
        <v>0</v>
      </c>
      <c r="T174" s="249"/>
      <c r="U174" s="251"/>
      <c r="V174" s="250"/>
      <c r="W174" s="250"/>
      <c r="X174" s="251"/>
    </row>
    <row r="175" spans="1:24" s="252" customFormat="1" hidden="1">
      <c r="A175" s="277">
        <v>22600</v>
      </c>
      <c r="B175" s="243" t="s">
        <v>1334</v>
      </c>
      <c r="C175" s="244" t="s">
        <v>1339</v>
      </c>
      <c r="D175" s="244" t="s">
        <v>1340</v>
      </c>
      <c r="E175" s="245">
        <v>28100</v>
      </c>
      <c r="F175" s="244" t="s">
        <v>604</v>
      </c>
      <c r="G175" s="27" t="s">
        <v>30</v>
      </c>
      <c r="H175" s="253">
        <v>0</v>
      </c>
      <c r="I175" s="254">
        <v>0</v>
      </c>
      <c r="J175" s="254">
        <v>0</v>
      </c>
      <c r="K175" s="255">
        <v>0</v>
      </c>
      <c r="L175" s="255">
        <v>0</v>
      </c>
      <c r="M175" s="255">
        <v>0</v>
      </c>
      <c r="N175" s="254">
        <v>0</v>
      </c>
      <c r="O175" s="256">
        <v>0</v>
      </c>
      <c r="P175" s="256">
        <v>0</v>
      </c>
      <c r="Q175" s="256">
        <v>0</v>
      </c>
      <c r="R175" s="256">
        <v>0</v>
      </c>
      <c r="S175" s="256">
        <v>0</v>
      </c>
      <c r="T175" s="249"/>
      <c r="U175" s="251"/>
      <c r="V175" s="250"/>
      <c r="W175" s="250"/>
      <c r="X175" s="251"/>
    </row>
    <row r="176" spans="1:24" s="252" customFormat="1" hidden="1">
      <c r="A176" s="277">
        <v>22600</v>
      </c>
      <c r="B176" s="243" t="s">
        <v>1334</v>
      </c>
      <c r="C176" s="244" t="s">
        <v>1341</v>
      </c>
      <c r="D176" s="244" t="s">
        <v>1342</v>
      </c>
      <c r="E176" s="278">
        <v>22002</v>
      </c>
      <c r="F176" s="244" t="s">
        <v>526</v>
      </c>
      <c r="G176" s="244" t="s">
        <v>302</v>
      </c>
      <c r="H176" s="253">
        <v>0</v>
      </c>
      <c r="I176" s="254">
        <v>0</v>
      </c>
      <c r="J176" s="254">
        <v>0</v>
      </c>
      <c r="K176" s="255">
        <v>0</v>
      </c>
      <c r="L176" s="255">
        <v>0</v>
      </c>
      <c r="M176" s="255">
        <v>0</v>
      </c>
      <c r="N176" s="254">
        <v>0</v>
      </c>
      <c r="O176" s="256">
        <v>0</v>
      </c>
      <c r="P176" s="256">
        <v>0</v>
      </c>
      <c r="Q176" s="256">
        <v>0</v>
      </c>
      <c r="R176" s="256">
        <v>0</v>
      </c>
      <c r="S176" s="256">
        <v>0</v>
      </c>
      <c r="T176" s="249"/>
      <c r="U176" s="251"/>
      <c r="V176" s="250"/>
      <c r="W176" s="250"/>
      <c r="X176" s="251"/>
    </row>
    <row r="177" spans="1:25" s="252" customFormat="1" hidden="1">
      <c r="A177" s="277">
        <v>22600</v>
      </c>
      <c r="B177" s="243" t="s">
        <v>1334</v>
      </c>
      <c r="C177" s="244" t="s">
        <v>1343</v>
      </c>
      <c r="D177" s="244" t="s">
        <v>1302</v>
      </c>
      <c r="E177" s="278">
        <v>22002</v>
      </c>
      <c r="F177" s="244" t="s">
        <v>526</v>
      </c>
      <c r="G177" s="244" t="s">
        <v>302</v>
      </c>
      <c r="H177" s="253">
        <v>0</v>
      </c>
      <c r="I177" s="254">
        <v>0</v>
      </c>
      <c r="J177" s="254">
        <v>0</v>
      </c>
      <c r="K177" s="255">
        <v>0</v>
      </c>
      <c r="L177" s="255">
        <v>0</v>
      </c>
      <c r="M177" s="255">
        <v>0</v>
      </c>
      <c r="N177" s="254">
        <v>0</v>
      </c>
      <c r="O177" s="256">
        <v>0</v>
      </c>
      <c r="P177" s="256">
        <v>0</v>
      </c>
      <c r="Q177" s="256">
        <v>0</v>
      </c>
      <c r="R177" s="256">
        <v>0</v>
      </c>
      <c r="S177" s="256">
        <v>0</v>
      </c>
      <c r="T177" s="249"/>
      <c r="U177" s="251"/>
      <c r="V177" s="250"/>
      <c r="W177" s="250"/>
      <c r="X177" s="251"/>
    </row>
    <row r="178" spans="1:25" s="252" customFormat="1" hidden="1">
      <c r="A178" s="277">
        <v>22600</v>
      </c>
      <c r="B178" s="243" t="s">
        <v>1334</v>
      </c>
      <c r="C178" s="244" t="s">
        <v>1344</v>
      </c>
      <c r="D178" s="244" t="s">
        <v>1345</v>
      </c>
      <c r="E178" s="245">
        <v>25100</v>
      </c>
      <c r="F178" s="244" t="s">
        <v>539</v>
      </c>
      <c r="G178" s="244" t="s">
        <v>538</v>
      </c>
      <c r="H178" s="253">
        <v>0</v>
      </c>
      <c r="I178" s="254">
        <v>0</v>
      </c>
      <c r="J178" s="254">
        <v>-48572.14</v>
      </c>
      <c r="K178" s="255">
        <v>36608.89</v>
      </c>
      <c r="L178" s="255">
        <v>-31333.48</v>
      </c>
      <c r="M178" s="255">
        <v>24770.41</v>
      </c>
      <c r="N178" s="254">
        <v>37941.9</v>
      </c>
      <c r="O178" s="256">
        <v>-45463.96</v>
      </c>
      <c r="P178" s="256">
        <v>12779.25</v>
      </c>
      <c r="Q178" s="256">
        <v>-14531</v>
      </c>
      <c r="R178" s="256">
        <v>-12425.59</v>
      </c>
      <c r="S178" s="256">
        <v>-15593.68</v>
      </c>
      <c r="T178" s="249"/>
      <c r="U178" s="251"/>
      <c r="V178" s="250"/>
      <c r="W178" s="250"/>
      <c r="X178" s="251"/>
    </row>
    <row r="179" spans="1:25" s="252" customFormat="1" hidden="1">
      <c r="A179" s="277">
        <v>22600</v>
      </c>
      <c r="B179" s="243" t="s">
        <v>1334</v>
      </c>
      <c r="C179" s="244" t="s">
        <v>1346</v>
      </c>
      <c r="D179" s="244" t="s">
        <v>1347</v>
      </c>
      <c r="E179" s="245">
        <v>25000</v>
      </c>
      <c r="F179" s="244" t="s">
        <v>537</v>
      </c>
      <c r="G179" s="244" t="s">
        <v>538</v>
      </c>
      <c r="H179" s="254">
        <v>0</v>
      </c>
      <c r="I179" s="254">
        <v>0</v>
      </c>
      <c r="J179" s="254">
        <v>0</v>
      </c>
      <c r="K179" s="255">
        <v>0</v>
      </c>
      <c r="L179" s="255">
        <v>0</v>
      </c>
      <c r="M179" s="255">
        <v>0</v>
      </c>
      <c r="N179" s="254">
        <v>0</v>
      </c>
      <c r="O179" s="256">
        <v>0</v>
      </c>
      <c r="P179" s="256">
        <v>0</v>
      </c>
      <c r="Q179" s="256">
        <v>0</v>
      </c>
      <c r="R179" s="256">
        <v>0</v>
      </c>
      <c r="S179" s="256">
        <v>0</v>
      </c>
      <c r="T179" s="290"/>
      <c r="U179" s="251"/>
      <c r="V179" s="250"/>
      <c r="W179" s="250"/>
      <c r="X179" s="251"/>
    </row>
    <row r="180" spans="1:25" s="252" customFormat="1" hidden="1">
      <c r="A180" s="277">
        <v>22350</v>
      </c>
      <c r="B180" s="243" t="s">
        <v>1348</v>
      </c>
      <c r="C180" s="244" t="s">
        <v>1349</v>
      </c>
      <c r="D180" s="244" t="s">
        <v>1350</v>
      </c>
      <c r="E180" s="245">
        <v>28207</v>
      </c>
      <c r="F180" s="244" t="s">
        <v>612</v>
      </c>
      <c r="G180" s="27" t="s">
        <v>30</v>
      </c>
      <c r="H180" s="254">
        <v>-1184202</v>
      </c>
      <c r="I180" s="254">
        <v>-1222301.8999999999</v>
      </c>
      <c r="J180" s="254">
        <v>-1266291.3400000001</v>
      </c>
      <c r="K180" s="255">
        <f>-599743.12-400000</f>
        <v>-999743.12</v>
      </c>
      <c r="L180" s="255">
        <v>-1485004.74</v>
      </c>
      <c r="M180" s="255">
        <v>-1550378.18</v>
      </c>
      <c r="N180" s="254">
        <v>-1245116.3700000001</v>
      </c>
      <c r="O180" s="256">
        <v>-1977001.55</v>
      </c>
      <c r="P180" s="256">
        <v>-1977058.62</v>
      </c>
      <c r="Q180" s="256">
        <v>-1904361.97</v>
      </c>
      <c r="R180" s="256">
        <v>-2132650.77</v>
      </c>
      <c r="S180" s="256">
        <v>-1973086.42</v>
      </c>
      <c r="T180" s="290"/>
      <c r="U180" s="251"/>
      <c r="V180" s="250"/>
      <c r="W180" s="250"/>
      <c r="X180" s="251"/>
    </row>
    <row r="181" spans="1:25" s="252" customFormat="1" hidden="1">
      <c r="A181" s="277">
        <v>22350</v>
      </c>
      <c r="B181" s="243" t="s">
        <v>1348</v>
      </c>
      <c r="C181" s="244" t="s">
        <v>1351</v>
      </c>
      <c r="D181" s="244" t="s">
        <v>1352</v>
      </c>
      <c r="E181" s="245">
        <v>25000</v>
      </c>
      <c r="F181" s="244" t="s">
        <v>537</v>
      </c>
      <c r="G181" s="244" t="s">
        <v>538</v>
      </c>
      <c r="H181" s="254">
        <v>-977898.09</v>
      </c>
      <c r="I181" s="254">
        <v>-1096308.58</v>
      </c>
      <c r="J181" s="254">
        <v>-1191936.95</v>
      </c>
      <c r="K181" s="255">
        <v>-1313097.44</v>
      </c>
      <c r="L181" s="255">
        <v>-1398679.48</v>
      </c>
      <c r="M181" s="255">
        <v>-1492370.48</v>
      </c>
      <c r="N181" s="254">
        <v>-1536422.36</v>
      </c>
      <c r="O181" s="256">
        <v>-1579370.57</v>
      </c>
      <c r="P181" s="256">
        <v>-1619966.78</v>
      </c>
      <c r="Q181" s="256">
        <v>-1638553.84</v>
      </c>
      <c r="R181" s="256">
        <v>-1813555.01</v>
      </c>
      <c r="S181" s="256">
        <v>-1481201.09</v>
      </c>
      <c r="T181" s="290"/>
      <c r="U181" s="251"/>
      <c r="V181" s="250"/>
      <c r="W181" s="250"/>
      <c r="X181" s="251"/>
    </row>
    <row r="182" spans="1:25" s="252" customFormat="1" hidden="1">
      <c r="A182" s="291">
        <v>22600</v>
      </c>
      <c r="B182" s="243" t="s">
        <v>1334</v>
      </c>
      <c r="C182" s="244" t="s">
        <v>1353</v>
      </c>
      <c r="D182" s="244" t="s">
        <v>1354</v>
      </c>
      <c r="E182" s="245">
        <v>28100</v>
      </c>
      <c r="F182" s="244" t="s">
        <v>604</v>
      </c>
      <c r="G182" s="27" t="s">
        <v>30</v>
      </c>
      <c r="H182" s="254">
        <v>-13165989.289999999</v>
      </c>
      <c r="I182" s="254">
        <v>-14547603.859999999</v>
      </c>
      <c r="J182" s="254">
        <v>-7110113.6600000001</v>
      </c>
      <c r="K182" s="255">
        <v>-5223574.16</v>
      </c>
      <c r="L182" s="255">
        <v>-4679287.7</v>
      </c>
      <c r="M182" s="255">
        <v>-4669787.7</v>
      </c>
      <c r="N182" s="254">
        <v>-4280447.2300000004</v>
      </c>
      <c r="O182" s="256">
        <v>-4280447.2300000004</v>
      </c>
      <c r="P182" s="256">
        <v>-3948447.23</v>
      </c>
      <c r="Q182" s="256">
        <v>-6452095.1699999999</v>
      </c>
      <c r="R182" s="256">
        <v>-6452095.1699999999</v>
      </c>
      <c r="S182" s="256">
        <v>-6452095.1500000004</v>
      </c>
      <c r="T182" s="290"/>
      <c r="U182" s="251"/>
      <c r="V182" s="250"/>
      <c r="W182" s="250"/>
      <c r="X182" s="251"/>
    </row>
    <row r="183" spans="1:25" s="252" customFormat="1" hidden="1">
      <c r="A183" s="277">
        <v>22350</v>
      </c>
      <c r="B183" s="243" t="s">
        <v>1348</v>
      </c>
      <c r="C183" s="244" t="s">
        <v>1355</v>
      </c>
      <c r="D183" s="244" t="s">
        <v>1356</v>
      </c>
      <c r="E183" s="245">
        <v>28207</v>
      </c>
      <c r="F183" s="244" t="s">
        <v>612</v>
      </c>
      <c r="G183" s="27" t="s">
        <v>30</v>
      </c>
      <c r="H183" s="264">
        <v>-15000000</v>
      </c>
      <c r="I183" s="264">
        <v>-15000000</v>
      </c>
      <c r="J183" s="264">
        <v>-15000000</v>
      </c>
      <c r="K183" s="264">
        <v>-15000000</v>
      </c>
      <c r="L183" s="275">
        <v>-10000000</v>
      </c>
      <c r="M183" s="275">
        <v>-10000000</v>
      </c>
      <c r="N183" s="264">
        <v>-10000000</v>
      </c>
      <c r="O183" s="276">
        <v>-10000000</v>
      </c>
      <c r="P183" s="276">
        <v>-10000000</v>
      </c>
      <c r="Q183" s="276">
        <v>-10000000</v>
      </c>
      <c r="R183" s="276">
        <v>-5000000</v>
      </c>
      <c r="S183" s="276">
        <v>-5000000</v>
      </c>
      <c r="T183" s="290"/>
      <c r="U183" s="250" t="s">
        <v>1071</v>
      </c>
      <c r="V183" s="250"/>
      <c r="W183" s="250"/>
      <c r="X183" s="251"/>
    </row>
    <row r="184" spans="1:25" s="252" customFormat="1" hidden="1">
      <c r="A184" s="292">
        <v>30000</v>
      </c>
      <c r="B184" s="293" t="s">
        <v>1357</v>
      </c>
      <c r="C184" s="294" t="s">
        <v>1358</v>
      </c>
      <c r="D184" s="294" t="s">
        <v>1359</v>
      </c>
      <c r="E184" s="245">
        <v>60004</v>
      </c>
      <c r="F184" s="244" t="s">
        <v>1360</v>
      </c>
      <c r="G184" s="244" t="s">
        <v>754</v>
      </c>
      <c r="H184" s="254">
        <v>778120.8</v>
      </c>
      <c r="I184" s="254">
        <v>703395.89999999991</v>
      </c>
      <c r="J184" s="254">
        <v>748141</v>
      </c>
      <c r="K184" s="255">
        <v>179588.4</v>
      </c>
      <c r="L184" s="255">
        <v>5219443.5999999996</v>
      </c>
      <c r="M184" s="255">
        <v>283921.70999999996</v>
      </c>
      <c r="N184" s="254">
        <v>880849.14</v>
      </c>
      <c r="O184" s="256">
        <v>469090.6</v>
      </c>
      <c r="P184" s="256">
        <v>20838845.140000001</v>
      </c>
      <c r="Q184" s="256">
        <v>4010385.34</v>
      </c>
      <c r="R184" s="256">
        <v>3995219.16</v>
      </c>
      <c r="S184" s="256">
        <v>5802482.7700000005</v>
      </c>
      <c r="T184" s="290">
        <f>SUM(H184:S184)</f>
        <v>43909483.559999995</v>
      </c>
      <c r="U184" s="251"/>
      <c r="V184" s="250"/>
      <c r="W184" s="250"/>
      <c r="X184" s="251"/>
      <c r="Y184" s="251"/>
    </row>
    <row r="185" spans="1:25" s="252" customFormat="1" hidden="1">
      <c r="A185" s="292">
        <v>30000</v>
      </c>
      <c r="B185" s="293" t="s">
        <v>1357</v>
      </c>
      <c r="C185" s="294" t="s">
        <v>1361</v>
      </c>
      <c r="D185" s="294" t="s">
        <v>1362</v>
      </c>
      <c r="E185" s="245">
        <v>60004</v>
      </c>
      <c r="F185" s="244" t="s">
        <v>1360</v>
      </c>
      <c r="G185" s="244" t="s">
        <v>754</v>
      </c>
      <c r="H185" s="254">
        <v>0</v>
      </c>
      <c r="I185" s="254"/>
      <c r="J185" s="254"/>
      <c r="K185" s="255"/>
      <c r="L185" s="255">
        <v>0</v>
      </c>
      <c r="M185" s="255"/>
      <c r="N185" s="254"/>
      <c r="O185" s="256"/>
      <c r="P185" s="256">
        <v>0</v>
      </c>
      <c r="Q185" s="256"/>
      <c r="R185" s="256"/>
      <c r="S185" s="256"/>
      <c r="T185" s="290">
        <f t="shared" ref="T185:T248" si="2">SUM(H185:S185)</f>
        <v>0</v>
      </c>
      <c r="U185" s="251"/>
      <c r="V185" s="250"/>
      <c r="W185" s="250"/>
      <c r="X185" s="251"/>
      <c r="Y185" s="295"/>
    </row>
    <row r="186" spans="1:25" s="252" customFormat="1" hidden="1">
      <c r="A186" s="292">
        <v>30000</v>
      </c>
      <c r="B186" s="293" t="s">
        <v>1357</v>
      </c>
      <c r="C186" s="294" t="s">
        <v>1363</v>
      </c>
      <c r="D186" s="294" t="s">
        <v>1364</v>
      </c>
      <c r="E186" s="245">
        <v>60004</v>
      </c>
      <c r="F186" s="244" t="s">
        <v>1360</v>
      </c>
      <c r="G186" s="244" t="s">
        <v>754</v>
      </c>
      <c r="H186" s="254">
        <v>0</v>
      </c>
      <c r="I186" s="254">
        <v>0</v>
      </c>
      <c r="J186" s="254">
        <v>0</v>
      </c>
      <c r="K186" s="255">
        <v>0</v>
      </c>
      <c r="L186" s="255">
        <v>0</v>
      </c>
      <c r="M186" s="255">
        <v>0</v>
      </c>
      <c r="N186" s="254">
        <v>0</v>
      </c>
      <c r="O186" s="256">
        <v>0</v>
      </c>
      <c r="P186" s="256">
        <v>0</v>
      </c>
      <c r="Q186" s="256">
        <v>0</v>
      </c>
      <c r="R186" s="256">
        <v>-1070.72</v>
      </c>
      <c r="S186" s="256">
        <v>0</v>
      </c>
      <c r="T186" s="290">
        <f t="shared" si="2"/>
        <v>-1070.72</v>
      </c>
      <c r="U186" s="251"/>
      <c r="V186" s="250"/>
      <c r="W186" s="250"/>
      <c r="X186" s="251"/>
      <c r="Y186" s="251"/>
    </row>
    <row r="187" spans="1:25" s="252" customFormat="1" hidden="1">
      <c r="A187" s="292">
        <v>32100</v>
      </c>
      <c r="B187" s="293" t="s">
        <v>1365</v>
      </c>
      <c r="C187" s="294" t="s">
        <v>1366</v>
      </c>
      <c r="D187" s="294" t="s">
        <v>1367</v>
      </c>
      <c r="E187" s="245">
        <v>60004</v>
      </c>
      <c r="F187" s="244" t="s">
        <v>1360</v>
      </c>
      <c r="G187" s="244" t="s">
        <v>754</v>
      </c>
      <c r="H187" s="254">
        <v>0</v>
      </c>
      <c r="I187" s="254"/>
      <c r="J187" s="254"/>
      <c r="K187" s="255"/>
      <c r="L187" s="255">
        <v>0</v>
      </c>
      <c r="M187" s="255"/>
      <c r="N187" s="254"/>
      <c r="O187" s="256"/>
      <c r="P187" s="256">
        <v>0</v>
      </c>
      <c r="Q187" s="256"/>
      <c r="R187" s="256"/>
      <c r="S187" s="256"/>
      <c r="T187" s="290">
        <f t="shared" si="2"/>
        <v>0</v>
      </c>
      <c r="U187" s="251"/>
      <c r="V187" s="250"/>
      <c r="W187" s="250"/>
      <c r="X187" s="251"/>
    </row>
    <row r="188" spans="1:25" s="252" customFormat="1" hidden="1">
      <c r="A188" s="292">
        <v>30000</v>
      </c>
      <c r="B188" s="293" t="s">
        <v>1357</v>
      </c>
      <c r="C188" s="294" t="s">
        <v>1368</v>
      </c>
      <c r="D188" s="294" t="s">
        <v>1369</v>
      </c>
      <c r="E188" s="245">
        <v>60004</v>
      </c>
      <c r="F188" s="244" t="s">
        <v>1360</v>
      </c>
      <c r="G188" s="244" t="s">
        <v>754</v>
      </c>
      <c r="H188" s="254">
        <v>0</v>
      </c>
      <c r="I188" s="254">
        <v>0</v>
      </c>
      <c r="J188" s="254">
        <v>0</v>
      </c>
      <c r="K188" s="255">
        <v>0</v>
      </c>
      <c r="L188" s="255">
        <v>0</v>
      </c>
      <c r="M188" s="255">
        <v>0</v>
      </c>
      <c r="N188" s="254">
        <v>0</v>
      </c>
      <c r="O188" s="256">
        <v>0</v>
      </c>
      <c r="P188" s="256">
        <v>0</v>
      </c>
      <c r="Q188" s="256">
        <v>0</v>
      </c>
      <c r="R188" s="256">
        <v>0</v>
      </c>
      <c r="S188" s="256">
        <v>0</v>
      </c>
      <c r="T188" s="290">
        <f t="shared" si="2"/>
        <v>0</v>
      </c>
      <c r="U188" s="251"/>
      <c r="V188" s="250"/>
      <c r="W188" s="250"/>
      <c r="X188" s="251"/>
    </row>
    <row r="189" spans="1:25" s="252" customFormat="1" hidden="1">
      <c r="A189" s="292">
        <v>30200</v>
      </c>
      <c r="B189" s="293" t="s">
        <v>1370</v>
      </c>
      <c r="C189" s="294" t="s">
        <v>1371</v>
      </c>
      <c r="D189" s="294" t="s">
        <v>1372</v>
      </c>
      <c r="E189" s="245">
        <v>60004</v>
      </c>
      <c r="F189" s="244" t="s">
        <v>1360</v>
      </c>
      <c r="G189" s="244" t="s">
        <v>754</v>
      </c>
      <c r="H189" s="254">
        <v>0</v>
      </c>
      <c r="I189" s="254">
        <v>0</v>
      </c>
      <c r="J189" s="254">
        <v>0</v>
      </c>
      <c r="K189" s="255">
        <v>0</v>
      </c>
      <c r="L189" s="255">
        <v>0</v>
      </c>
      <c r="M189" s="255">
        <v>0</v>
      </c>
      <c r="N189" s="254">
        <v>0</v>
      </c>
      <c r="O189" s="256">
        <v>0</v>
      </c>
      <c r="P189" s="256">
        <v>13612.8</v>
      </c>
      <c r="Q189" s="256">
        <v>29448.880000000001</v>
      </c>
      <c r="R189" s="256">
        <v>66637.63</v>
      </c>
      <c r="S189" s="256">
        <v>2641.32</v>
      </c>
      <c r="T189" s="290">
        <f t="shared" si="2"/>
        <v>112340.63</v>
      </c>
      <c r="U189" s="251"/>
      <c r="V189" s="250"/>
      <c r="W189" s="250"/>
      <c r="X189" s="251"/>
    </row>
    <row r="190" spans="1:25" s="252" customFormat="1" hidden="1">
      <c r="A190" s="292">
        <v>30200</v>
      </c>
      <c r="B190" s="293" t="s">
        <v>1370</v>
      </c>
      <c r="C190" s="294" t="s">
        <v>1373</v>
      </c>
      <c r="D190" s="294" t="s">
        <v>1374</v>
      </c>
      <c r="E190" s="245">
        <v>60004</v>
      </c>
      <c r="F190" s="244" t="s">
        <v>1360</v>
      </c>
      <c r="G190" s="244" t="s">
        <v>754</v>
      </c>
      <c r="H190" s="254">
        <v>0</v>
      </c>
      <c r="I190" s="254">
        <v>0</v>
      </c>
      <c r="J190" s="254">
        <v>0</v>
      </c>
      <c r="K190" s="255">
        <v>0</v>
      </c>
      <c r="L190" s="255">
        <v>0</v>
      </c>
      <c r="M190" s="255">
        <v>20551.599999999999</v>
      </c>
      <c r="N190" s="254">
        <v>23056</v>
      </c>
      <c r="O190" s="256">
        <v>157485</v>
      </c>
      <c r="P190" s="256">
        <v>649603.89</v>
      </c>
      <c r="Q190" s="256">
        <v>31865.77</v>
      </c>
      <c r="R190" s="256">
        <v>33832.9</v>
      </c>
      <c r="S190" s="256">
        <v>3897.53</v>
      </c>
      <c r="T190" s="290">
        <f t="shared" si="2"/>
        <v>920292.69000000006</v>
      </c>
      <c r="U190" s="251"/>
      <c r="V190" s="250"/>
      <c r="W190" s="250"/>
      <c r="X190" s="251"/>
    </row>
    <row r="191" spans="1:25" s="252" customFormat="1" hidden="1">
      <c r="A191" s="292">
        <v>30200</v>
      </c>
      <c r="B191" s="293" t="s">
        <v>1370</v>
      </c>
      <c r="C191" s="294" t="s">
        <v>1375</v>
      </c>
      <c r="D191" s="294" t="s">
        <v>1376</v>
      </c>
      <c r="E191" s="245">
        <v>60109</v>
      </c>
      <c r="F191" s="244" t="s">
        <v>762</v>
      </c>
      <c r="G191" s="244" t="s">
        <v>754</v>
      </c>
      <c r="H191" s="254"/>
      <c r="I191" s="254"/>
      <c r="J191" s="254"/>
      <c r="K191" s="255"/>
      <c r="L191" s="255"/>
      <c r="M191" s="255"/>
      <c r="N191" s="254">
        <v>810</v>
      </c>
      <c r="O191" s="256">
        <v>0</v>
      </c>
      <c r="P191" s="256">
        <v>0</v>
      </c>
      <c r="Q191" s="256">
        <v>0</v>
      </c>
      <c r="R191" s="256">
        <v>13.36</v>
      </c>
      <c r="S191" s="256">
        <v>0</v>
      </c>
      <c r="T191" s="290">
        <f t="shared" si="2"/>
        <v>823.36</v>
      </c>
      <c r="U191" s="251"/>
      <c r="V191" s="250"/>
      <c r="W191" s="250"/>
      <c r="X191" s="251"/>
    </row>
    <row r="192" spans="1:25" s="252" customFormat="1" hidden="1">
      <c r="A192" s="292">
        <v>30500</v>
      </c>
      <c r="B192" s="293" t="s">
        <v>1377</v>
      </c>
      <c r="C192" s="294" t="s">
        <v>1378</v>
      </c>
      <c r="D192" s="294" t="s">
        <v>1379</v>
      </c>
      <c r="E192" s="245">
        <v>60109</v>
      </c>
      <c r="F192" s="244" t="s">
        <v>762</v>
      </c>
      <c r="G192" s="244" t="s">
        <v>754</v>
      </c>
      <c r="H192" s="254">
        <v>0</v>
      </c>
      <c r="I192" s="254">
        <v>0</v>
      </c>
      <c r="J192" s="254">
        <v>0</v>
      </c>
      <c r="K192" s="255">
        <v>0</v>
      </c>
      <c r="L192" s="255">
        <v>0</v>
      </c>
      <c r="M192" s="255">
        <v>0</v>
      </c>
      <c r="N192" s="254">
        <v>0</v>
      </c>
      <c r="O192" s="256">
        <v>0</v>
      </c>
      <c r="P192" s="256">
        <v>0</v>
      </c>
      <c r="Q192" s="256">
        <v>0</v>
      </c>
      <c r="R192" s="256">
        <v>0</v>
      </c>
      <c r="S192" s="256">
        <v>0</v>
      </c>
      <c r="T192" s="290">
        <f t="shared" si="2"/>
        <v>0</v>
      </c>
      <c r="U192" s="251"/>
      <c r="V192" s="250"/>
      <c r="W192" s="250"/>
      <c r="X192" s="251"/>
    </row>
    <row r="193" spans="1:24" s="252" customFormat="1" hidden="1">
      <c r="A193" s="292">
        <v>30500</v>
      </c>
      <c r="B193" s="293" t="s">
        <v>1377</v>
      </c>
      <c r="C193" s="294" t="s">
        <v>1380</v>
      </c>
      <c r="D193" s="294" t="s">
        <v>1381</v>
      </c>
      <c r="E193" s="245">
        <v>60109</v>
      </c>
      <c r="F193" s="244" t="s">
        <v>762</v>
      </c>
      <c r="G193" s="244" t="s">
        <v>754</v>
      </c>
      <c r="H193" s="254">
        <v>0</v>
      </c>
      <c r="I193" s="254">
        <v>0</v>
      </c>
      <c r="J193" s="254">
        <v>0</v>
      </c>
      <c r="K193" s="255">
        <v>0</v>
      </c>
      <c r="L193" s="255">
        <v>0</v>
      </c>
      <c r="M193" s="255">
        <v>0</v>
      </c>
      <c r="N193" s="254">
        <v>0</v>
      </c>
      <c r="O193" s="256">
        <v>0</v>
      </c>
      <c r="P193" s="256">
        <v>0</v>
      </c>
      <c r="Q193" s="256">
        <v>0</v>
      </c>
      <c r="R193" s="256">
        <v>0</v>
      </c>
      <c r="S193" s="256">
        <v>0</v>
      </c>
      <c r="T193" s="290">
        <f t="shared" si="2"/>
        <v>0</v>
      </c>
      <c r="U193" s="251"/>
      <c r="V193" s="250"/>
      <c r="W193" s="250"/>
      <c r="X193" s="251"/>
    </row>
    <row r="194" spans="1:24" s="252" customFormat="1" hidden="1">
      <c r="A194" s="292">
        <v>30500</v>
      </c>
      <c r="B194" s="293" t="s">
        <v>1377</v>
      </c>
      <c r="C194" s="294" t="s">
        <v>1382</v>
      </c>
      <c r="D194" s="294" t="s">
        <v>1383</v>
      </c>
      <c r="E194" s="245">
        <v>60004</v>
      </c>
      <c r="F194" s="244" t="s">
        <v>1360</v>
      </c>
      <c r="G194" s="244" t="s">
        <v>754</v>
      </c>
      <c r="H194" s="254">
        <v>0</v>
      </c>
      <c r="I194" s="254"/>
      <c r="J194" s="254"/>
      <c r="K194" s="255"/>
      <c r="L194" s="255">
        <v>0</v>
      </c>
      <c r="M194" s="255"/>
      <c r="N194" s="254"/>
      <c r="O194" s="256"/>
      <c r="P194" s="256">
        <v>0</v>
      </c>
      <c r="Q194" s="256"/>
      <c r="R194" s="256"/>
      <c r="S194" s="256"/>
      <c r="T194" s="290">
        <f t="shared" si="2"/>
        <v>0</v>
      </c>
      <c r="U194" s="251"/>
      <c r="V194" s="250"/>
      <c r="W194" s="250"/>
      <c r="X194" s="251"/>
    </row>
    <row r="195" spans="1:24" s="252" customFormat="1" hidden="1">
      <c r="A195" s="292">
        <v>30500</v>
      </c>
      <c r="B195" s="293" t="s">
        <v>1377</v>
      </c>
      <c r="C195" s="294" t="s">
        <v>1384</v>
      </c>
      <c r="D195" s="294" t="s">
        <v>1385</v>
      </c>
      <c r="E195" s="245">
        <v>60109</v>
      </c>
      <c r="F195" s="244" t="s">
        <v>762</v>
      </c>
      <c r="G195" s="244" t="s">
        <v>754</v>
      </c>
      <c r="H195" s="254">
        <v>0</v>
      </c>
      <c r="I195" s="254"/>
      <c r="J195" s="254"/>
      <c r="K195" s="255"/>
      <c r="L195" s="255">
        <v>0</v>
      </c>
      <c r="M195" s="255"/>
      <c r="N195" s="254"/>
      <c r="O195" s="256"/>
      <c r="P195" s="256">
        <v>0</v>
      </c>
      <c r="Q195" s="256"/>
      <c r="R195" s="256"/>
      <c r="S195" s="256"/>
      <c r="T195" s="290">
        <f t="shared" si="2"/>
        <v>0</v>
      </c>
      <c r="U195" s="251"/>
      <c r="V195" s="250"/>
      <c r="W195" s="250"/>
      <c r="X195" s="251"/>
    </row>
    <row r="196" spans="1:24" s="252" customFormat="1" hidden="1">
      <c r="A196" s="292">
        <v>30500</v>
      </c>
      <c r="B196" s="293" t="s">
        <v>1377</v>
      </c>
      <c r="C196" s="294" t="s">
        <v>1386</v>
      </c>
      <c r="D196" s="294" t="s">
        <v>1387</v>
      </c>
      <c r="E196" s="245">
        <v>60109</v>
      </c>
      <c r="F196" s="244" t="s">
        <v>762</v>
      </c>
      <c r="G196" s="244" t="s">
        <v>754</v>
      </c>
      <c r="H196" s="254">
        <v>127043.46</v>
      </c>
      <c r="I196" s="254">
        <v>36800</v>
      </c>
      <c r="J196" s="254">
        <v>-40417.980000000003</v>
      </c>
      <c r="K196" s="255">
        <v>0</v>
      </c>
      <c r="L196" s="255">
        <v>0</v>
      </c>
      <c r="M196" s="255">
        <v>-932.85</v>
      </c>
      <c r="N196" s="254">
        <v>0</v>
      </c>
      <c r="O196" s="256">
        <v>0</v>
      </c>
      <c r="P196" s="256">
        <v>0</v>
      </c>
      <c r="Q196" s="256">
        <v>0</v>
      </c>
      <c r="R196" s="256">
        <v>0</v>
      </c>
      <c r="S196" s="256">
        <v>-2799.16</v>
      </c>
      <c r="T196" s="290">
        <f t="shared" si="2"/>
        <v>119693.47</v>
      </c>
      <c r="U196" s="251"/>
      <c r="V196" s="250"/>
      <c r="W196" s="250"/>
      <c r="X196" s="251"/>
    </row>
    <row r="197" spans="1:24" s="252" customFormat="1" hidden="1">
      <c r="A197" s="292">
        <v>30500</v>
      </c>
      <c r="B197" s="293" t="s">
        <v>1377</v>
      </c>
      <c r="C197" s="294" t="s">
        <v>1388</v>
      </c>
      <c r="D197" s="294" t="s">
        <v>1174</v>
      </c>
      <c r="E197" s="245">
        <v>60109</v>
      </c>
      <c r="F197" s="244" t="s">
        <v>762</v>
      </c>
      <c r="G197" s="244" t="s">
        <v>754</v>
      </c>
      <c r="H197" s="254">
        <v>0</v>
      </c>
      <c r="I197" s="254">
        <v>0</v>
      </c>
      <c r="J197" s="254">
        <v>0</v>
      </c>
      <c r="K197" s="255">
        <v>0</v>
      </c>
      <c r="L197" s="255">
        <v>0</v>
      </c>
      <c r="M197" s="255">
        <v>0</v>
      </c>
      <c r="N197" s="254">
        <v>0</v>
      </c>
      <c r="O197" s="256">
        <v>0</v>
      </c>
      <c r="P197" s="256">
        <v>0</v>
      </c>
      <c r="Q197" s="256">
        <v>0</v>
      </c>
      <c r="R197" s="256">
        <v>0</v>
      </c>
      <c r="S197" s="256">
        <v>0</v>
      </c>
      <c r="T197" s="290">
        <f t="shared" si="2"/>
        <v>0</v>
      </c>
      <c r="U197" s="251"/>
      <c r="V197" s="250"/>
      <c r="W197" s="250"/>
      <c r="X197" s="251"/>
    </row>
    <row r="198" spans="1:24" s="252" customFormat="1" hidden="1">
      <c r="A198" s="292">
        <v>30500</v>
      </c>
      <c r="B198" s="293" t="s">
        <v>1377</v>
      </c>
      <c r="C198" s="294" t="s">
        <v>1389</v>
      </c>
      <c r="D198" s="294" t="s">
        <v>1330</v>
      </c>
      <c r="E198" s="245">
        <v>60109</v>
      </c>
      <c r="F198" s="244" t="s">
        <v>762</v>
      </c>
      <c r="G198" s="244" t="s">
        <v>754</v>
      </c>
      <c r="H198" s="254">
        <v>1404056.16</v>
      </c>
      <c r="I198" s="254">
        <v>1537849.76</v>
      </c>
      <c r="J198" s="254">
        <v>2490604.2600000002</v>
      </c>
      <c r="K198" s="255">
        <v>1362014.21</v>
      </c>
      <c r="L198" s="255">
        <v>1727174.42</v>
      </c>
      <c r="M198" s="255">
        <v>2404585.9299999997</v>
      </c>
      <c r="N198" s="254">
        <v>1563754.98</v>
      </c>
      <c r="O198" s="256">
        <v>1913408.12</v>
      </c>
      <c r="P198" s="256">
        <v>1849669.92</v>
      </c>
      <c r="Q198" s="256">
        <v>1224600.73</v>
      </c>
      <c r="R198" s="256">
        <v>2038025.76</v>
      </c>
      <c r="S198" s="256">
        <v>2085477.18</v>
      </c>
      <c r="T198" s="290">
        <f t="shared" si="2"/>
        <v>21601221.43</v>
      </c>
      <c r="U198" s="251"/>
      <c r="V198" s="250"/>
      <c r="W198" s="250"/>
      <c r="X198" s="251"/>
    </row>
    <row r="199" spans="1:24" s="252" customFormat="1" ht="19.5" hidden="1" customHeight="1">
      <c r="A199" s="292">
        <v>30500</v>
      </c>
      <c r="B199" s="293" t="s">
        <v>1377</v>
      </c>
      <c r="C199" s="294" t="s">
        <v>1390</v>
      </c>
      <c r="D199" s="294" t="s">
        <v>1391</v>
      </c>
      <c r="E199" s="245">
        <v>60109</v>
      </c>
      <c r="F199" s="244" t="s">
        <v>762</v>
      </c>
      <c r="G199" s="244" t="s">
        <v>754</v>
      </c>
      <c r="H199" s="254">
        <v>3495683.3899999997</v>
      </c>
      <c r="I199" s="254">
        <v>2062036.0699999998</v>
      </c>
      <c r="J199" s="254">
        <v>3958704.83</v>
      </c>
      <c r="K199" s="255">
        <v>2897454.65</v>
      </c>
      <c r="L199" s="255">
        <v>-502213.79000000004</v>
      </c>
      <c r="M199" s="255">
        <v>3780906.12</v>
      </c>
      <c r="N199" s="254">
        <v>2008126.11</v>
      </c>
      <c r="O199" s="256">
        <v>2091293.4000000001</v>
      </c>
      <c r="P199" s="256">
        <v>-18281404.98</v>
      </c>
      <c r="Q199" s="256">
        <v>79233.98</v>
      </c>
      <c r="R199" s="256">
        <v>87280.35</v>
      </c>
      <c r="S199" s="256">
        <v>62649.259999999995</v>
      </c>
      <c r="T199" s="290">
        <f t="shared" si="2"/>
        <v>1739749.3899999971</v>
      </c>
      <c r="U199" s="251"/>
      <c r="V199" s="250"/>
      <c r="W199" s="250"/>
      <c r="X199" s="251"/>
    </row>
    <row r="200" spans="1:24" s="252" customFormat="1" hidden="1">
      <c r="A200" s="292">
        <v>30050</v>
      </c>
      <c r="B200" s="293" t="s">
        <v>1392</v>
      </c>
      <c r="C200" s="294" t="s">
        <v>1393</v>
      </c>
      <c r="D200" s="294" t="s">
        <v>1394</v>
      </c>
      <c r="E200" s="245">
        <v>60109</v>
      </c>
      <c r="F200" s="244" t="s">
        <v>762</v>
      </c>
      <c r="G200" s="244" t="s">
        <v>754</v>
      </c>
      <c r="H200" s="254">
        <v>27891.350000000093</v>
      </c>
      <c r="I200" s="254">
        <v>28951.73</v>
      </c>
      <c r="J200" s="254">
        <v>1128.48</v>
      </c>
      <c r="K200" s="255">
        <v>22348.28</v>
      </c>
      <c r="L200" s="255">
        <v>80401.789999999994</v>
      </c>
      <c r="M200" s="255">
        <v>-2408.64</v>
      </c>
      <c r="N200" s="254">
        <v>0</v>
      </c>
      <c r="O200" s="256">
        <v>0</v>
      </c>
      <c r="P200" s="256">
        <v>0</v>
      </c>
      <c r="Q200" s="256">
        <v>26817.919999999998</v>
      </c>
      <c r="R200" s="256">
        <v>56902.43</v>
      </c>
      <c r="S200" s="256">
        <v>117054.39999999999</v>
      </c>
      <c r="T200" s="290">
        <f t="shared" si="2"/>
        <v>359087.74</v>
      </c>
      <c r="U200" s="251"/>
      <c r="V200" s="250"/>
      <c r="W200" s="250"/>
      <c r="X200" s="251"/>
    </row>
    <row r="201" spans="1:24" s="252" customFormat="1" hidden="1">
      <c r="A201" s="292">
        <v>30050</v>
      </c>
      <c r="B201" s="293" t="s">
        <v>1392</v>
      </c>
      <c r="C201" s="294" t="s">
        <v>1395</v>
      </c>
      <c r="D201" s="294" t="s">
        <v>1396</v>
      </c>
      <c r="E201" s="245">
        <v>60004</v>
      </c>
      <c r="F201" s="244" t="s">
        <v>1360</v>
      </c>
      <c r="G201" s="244" t="s">
        <v>754</v>
      </c>
      <c r="H201" s="254">
        <v>0</v>
      </c>
      <c r="I201" s="254">
        <v>0</v>
      </c>
      <c r="J201" s="254">
        <v>0</v>
      </c>
      <c r="K201" s="255">
        <v>0</v>
      </c>
      <c r="L201" s="255">
        <v>0</v>
      </c>
      <c r="M201" s="255">
        <v>0</v>
      </c>
      <c r="N201" s="254">
        <v>0</v>
      </c>
      <c r="O201" s="256">
        <v>0</v>
      </c>
      <c r="P201" s="256">
        <v>0</v>
      </c>
      <c r="Q201" s="256">
        <v>0</v>
      </c>
      <c r="R201" s="256">
        <v>0</v>
      </c>
      <c r="S201" s="256">
        <v>0</v>
      </c>
      <c r="T201" s="290">
        <f t="shared" si="2"/>
        <v>0</v>
      </c>
      <c r="U201" s="251"/>
      <c r="V201" s="250"/>
      <c r="W201" s="250"/>
      <c r="X201" s="251"/>
    </row>
    <row r="202" spans="1:24" s="252" customFormat="1" hidden="1">
      <c r="A202" s="292">
        <v>30050</v>
      </c>
      <c r="B202" s="293" t="s">
        <v>1392</v>
      </c>
      <c r="C202" s="294" t="s">
        <v>1397</v>
      </c>
      <c r="D202" s="294" t="s">
        <v>1398</v>
      </c>
      <c r="E202" s="245">
        <v>60004</v>
      </c>
      <c r="F202" s="244" t="s">
        <v>1360</v>
      </c>
      <c r="G202" s="244" t="s">
        <v>754</v>
      </c>
      <c r="H202" s="254">
        <v>-208333.33</v>
      </c>
      <c r="I202" s="254">
        <v>-208333.33</v>
      </c>
      <c r="J202" s="254">
        <v>-208333.33</v>
      </c>
      <c r="K202" s="255">
        <v>-208333.33</v>
      </c>
      <c r="L202" s="255">
        <v>-208333.33</v>
      </c>
      <c r="M202" s="255">
        <v>-208333.33</v>
      </c>
      <c r="N202" s="254">
        <v>-208333.33</v>
      </c>
      <c r="O202" s="256">
        <v>-208333.33</v>
      </c>
      <c r="P202" s="256">
        <v>-208333.34</v>
      </c>
      <c r="Q202" s="256">
        <v>-208333.33</v>
      </c>
      <c r="R202" s="256">
        <v>-208333.34</v>
      </c>
      <c r="S202" s="256">
        <v>-208333.33</v>
      </c>
      <c r="T202" s="290">
        <f t="shared" si="2"/>
        <v>-2499999.9800000004</v>
      </c>
      <c r="U202" s="251"/>
      <c r="V202" s="250"/>
      <c r="W202" s="250"/>
      <c r="X202" s="251"/>
    </row>
    <row r="203" spans="1:24" s="252" customFormat="1" hidden="1">
      <c r="A203" s="292">
        <v>30050</v>
      </c>
      <c r="B203" s="293" t="s">
        <v>1392</v>
      </c>
      <c r="C203" s="294" t="s">
        <v>1399</v>
      </c>
      <c r="D203" s="294" t="s">
        <v>1398</v>
      </c>
      <c r="E203" s="245">
        <v>60004</v>
      </c>
      <c r="F203" s="244" t="s">
        <v>1360</v>
      </c>
      <c r="G203" s="244" t="s">
        <v>754</v>
      </c>
      <c r="H203" s="254">
        <v>0</v>
      </c>
      <c r="I203" s="254">
        <v>0</v>
      </c>
      <c r="J203" s="254">
        <v>0</v>
      </c>
      <c r="K203" s="255">
        <v>0</v>
      </c>
      <c r="L203" s="255">
        <v>0</v>
      </c>
      <c r="M203" s="255">
        <v>0</v>
      </c>
      <c r="N203" s="254">
        <v>0</v>
      </c>
      <c r="O203" s="256">
        <v>0</v>
      </c>
      <c r="P203" s="256">
        <v>0</v>
      </c>
      <c r="Q203" s="256">
        <v>0</v>
      </c>
      <c r="R203" s="256">
        <v>0</v>
      </c>
      <c r="S203" s="256">
        <v>0</v>
      </c>
      <c r="T203" s="290">
        <f t="shared" si="2"/>
        <v>0</v>
      </c>
      <c r="U203" s="251"/>
      <c r="V203" s="250"/>
      <c r="W203" s="250"/>
      <c r="X203" s="251"/>
    </row>
    <row r="204" spans="1:24" s="252" customFormat="1" hidden="1">
      <c r="A204" s="292">
        <v>31000</v>
      </c>
      <c r="B204" s="293" t="s">
        <v>1400</v>
      </c>
      <c r="C204" s="294" t="s">
        <v>1401</v>
      </c>
      <c r="D204" s="294" t="s">
        <v>1402</v>
      </c>
      <c r="E204" s="245">
        <v>50000</v>
      </c>
      <c r="F204" s="244" t="s">
        <v>669</v>
      </c>
      <c r="G204" s="244" t="s">
        <v>670</v>
      </c>
      <c r="H204" s="254">
        <v>-3529233.5300000003</v>
      </c>
      <c r="I204" s="254">
        <v>-2664688.8099999996</v>
      </c>
      <c r="J204" s="254">
        <v>-4236604.43</v>
      </c>
      <c r="K204" s="255">
        <v>-2963391.6199999996</v>
      </c>
      <c r="L204" s="255">
        <v>-4438267.68</v>
      </c>
      <c r="M204" s="255">
        <v>-4248603.67</v>
      </c>
      <c r="N204" s="254">
        <v>-2930127.41</v>
      </c>
      <c r="O204" s="256">
        <v>-2558704.38</v>
      </c>
      <c r="P204" s="256">
        <v>-3175971.69</v>
      </c>
      <c r="Q204" s="256">
        <v>-3474533.1</v>
      </c>
      <c r="R204" s="256">
        <v>-4063751.5799999996</v>
      </c>
      <c r="S204" s="256">
        <v>-5768544.3799999999</v>
      </c>
      <c r="T204" s="290">
        <f t="shared" si="2"/>
        <v>-44052422.280000001</v>
      </c>
      <c r="U204" s="250"/>
      <c r="V204" s="250"/>
      <c r="W204" s="250"/>
      <c r="X204" s="251"/>
    </row>
    <row r="205" spans="1:24" s="252" customFormat="1" hidden="1">
      <c r="A205" s="292">
        <v>31000</v>
      </c>
      <c r="B205" s="293" t="s">
        <v>1400</v>
      </c>
      <c r="C205" s="294" t="s">
        <v>1403</v>
      </c>
      <c r="D205" s="294" t="s">
        <v>1404</v>
      </c>
      <c r="E205" s="245">
        <v>50000</v>
      </c>
      <c r="F205" s="244" t="s">
        <v>669</v>
      </c>
      <c r="G205" s="244" t="s">
        <v>670</v>
      </c>
      <c r="H205" s="254"/>
      <c r="I205" s="254"/>
      <c r="J205" s="254"/>
      <c r="K205" s="255">
        <v>-16796.45</v>
      </c>
      <c r="L205" s="255">
        <v>-20313.97</v>
      </c>
      <c r="M205" s="255">
        <v>-17366.169999999998</v>
      </c>
      <c r="N205" s="254">
        <v>-24307.52</v>
      </c>
      <c r="O205" s="256">
        <v>-22987.88</v>
      </c>
      <c r="P205" s="256">
        <v>0</v>
      </c>
      <c r="Q205" s="256">
        <v>-48544.09</v>
      </c>
      <c r="R205" s="256">
        <v>-18843.740000000002</v>
      </c>
      <c r="S205" s="256">
        <v>-43257.760000000002</v>
      </c>
      <c r="T205" s="290">
        <f t="shared" si="2"/>
        <v>-212417.58000000002</v>
      </c>
      <c r="U205" s="250"/>
      <c r="V205" s="250"/>
      <c r="W205" s="250"/>
      <c r="X205" s="251"/>
    </row>
    <row r="206" spans="1:24" s="252" customFormat="1" hidden="1">
      <c r="A206" s="292">
        <v>31000</v>
      </c>
      <c r="B206" s="293" t="s">
        <v>1400</v>
      </c>
      <c r="C206" s="294" t="s">
        <v>1405</v>
      </c>
      <c r="D206" s="294" t="s">
        <v>1406</v>
      </c>
      <c r="E206" s="245">
        <v>50000</v>
      </c>
      <c r="F206" s="244" t="s">
        <v>669</v>
      </c>
      <c r="G206" s="244" t="s">
        <v>670</v>
      </c>
      <c r="H206" s="254">
        <v>-112030.42000000001</v>
      </c>
      <c r="I206" s="254">
        <v>-265311.44</v>
      </c>
      <c r="J206" s="254">
        <v>775.96</v>
      </c>
      <c r="K206" s="255">
        <v>-83140.090000000026</v>
      </c>
      <c r="L206" s="255">
        <v>-0.17</v>
      </c>
      <c r="M206" s="255">
        <v>-0.22</v>
      </c>
      <c r="N206" s="254">
        <v>-0.02</v>
      </c>
      <c r="O206" s="256">
        <v>-0.08</v>
      </c>
      <c r="P206" s="256">
        <v>221.8</v>
      </c>
      <c r="Q206" s="256">
        <v>2284.9</v>
      </c>
      <c r="R206" s="256">
        <v>10489.569999999992</v>
      </c>
      <c r="S206" s="256">
        <v>1237.4799999999959</v>
      </c>
      <c r="T206" s="290">
        <f t="shared" si="2"/>
        <v>-445472.73</v>
      </c>
      <c r="U206" s="250"/>
      <c r="V206" s="250"/>
      <c r="W206" s="250"/>
      <c r="X206" s="251"/>
    </row>
    <row r="207" spans="1:24" s="252" customFormat="1" hidden="1">
      <c r="A207" s="292">
        <v>31020</v>
      </c>
      <c r="B207" s="293" t="s">
        <v>1407</v>
      </c>
      <c r="C207" s="294" t="s">
        <v>1408</v>
      </c>
      <c r="D207" s="294" t="s">
        <v>1409</v>
      </c>
      <c r="E207" s="245">
        <v>54007</v>
      </c>
      <c r="F207" s="244" t="s">
        <v>727</v>
      </c>
      <c r="G207" s="244" t="s">
        <v>720</v>
      </c>
      <c r="H207" s="254">
        <v>-12544.5</v>
      </c>
      <c r="I207" s="254">
        <v>-10639.29</v>
      </c>
      <c r="J207" s="254">
        <v>-15815.79</v>
      </c>
      <c r="K207" s="255">
        <v>-8524.3000000000011</v>
      </c>
      <c r="L207" s="255">
        <v>-12723.88</v>
      </c>
      <c r="M207" s="255">
        <v>-14219.490000000002</v>
      </c>
      <c r="N207" s="254">
        <v>-7533.62</v>
      </c>
      <c r="O207" s="256">
        <v>-10788.51</v>
      </c>
      <c r="P207" s="256">
        <v>-10625.269999999999</v>
      </c>
      <c r="Q207" s="256">
        <v>-8485.2999999999993</v>
      </c>
      <c r="R207" s="256">
        <v>-12772.83</v>
      </c>
      <c r="S207" s="256">
        <v>-14415.76</v>
      </c>
      <c r="T207" s="290">
        <f t="shared" si="2"/>
        <v>-139088.54</v>
      </c>
      <c r="U207" s="251"/>
      <c r="V207" s="250"/>
      <c r="W207" s="250"/>
      <c r="X207" s="251"/>
    </row>
    <row r="208" spans="1:24" s="252" customFormat="1" hidden="1">
      <c r="A208" s="292">
        <v>31020</v>
      </c>
      <c r="B208" s="293" t="s">
        <v>1407</v>
      </c>
      <c r="C208" s="294" t="s">
        <v>1410</v>
      </c>
      <c r="D208" s="294" t="s">
        <v>1411</v>
      </c>
      <c r="E208" s="245">
        <v>54028</v>
      </c>
      <c r="F208" s="244" t="s">
        <v>748</v>
      </c>
      <c r="G208" s="244" t="s">
        <v>720</v>
      </c>
      <c r="H208" s="254">
        <v>-37347.24</v>
      </c>
      <c r="I208" s="254">
        <v>-40163.760000000002</v>
      </c>
      <c r="J208" s="254">
        <v>-60197.68</v>
      </c>
      <c r="K208" s="255">
        <v>-34071.840000000004</v>
      </c>
      <c r="L208" s="255">
        <v>-51701.760000000002</v>
      </c>
      <c r="M208" s="255">
        <v>-57985.17</v>
      </c>
      <c r="N208" s="254">
        <v>-26066.989999999998</v>
      </c>
      <c r="O208" s="256">
        <v>-43424.639999999999</v>
      </c>
      <c r="P208" s="256">
        <v>-43941.599999999999</v>
      </c>
      <c r="Q208" s="256">
        <v>-31220.799999999999</v>
      </c>
      <c r="R208" s="256">
        <v>-52896.24</v>
      </c>
      <c r="S208" s="256">
        <v>-49415.64</v>
      </c>
      <c r="T208" s="290">
        <f t="shared" si="2"/>
        <v>-528433.36</v>
      </c>
      <c r="U208" s="251"/>
      <c r="V208" s="250"/>
      <c r="W208" s="250"/>
      <c r="X208" s="251"/>
    </row>
    <row r="209" spans="1:24" s="252" customFormat="1" hidden="1">
      <c r="A209" s="292">
        <v>31020</v>
      </c>
      <c r="B209" s="293" t="s">
        <v>1407</v>
      </c>
      <c r="C209" s="294" t="s">
        <v>1412</v>
      </c>
      <c r="D209" s="294" t="s">
        <v>1413</v>
      </c>
      <c r="E209" s="245">
        <v>54007</v>
      </c>
      <c r="F209" s="244" t="s">
        <v>727</v>
      </c>
      <c r="G209" s="244" t="s">
        <v>720</v>
      </c>
      <c r="H209" s="254">
        <v>-8880.1299999999992</v>
      </c>
      <c r="I209" s="254">
        <v>-8510.42</v>
      </c>
      <c r="J209" s="254">
        <v>-12651.68</v>
      </c>
      <c r="K209" s="255">
        <v>-6819.24</v>
      </c>
      <c r="L209" s="255">
        <v>-10178.959999999999</v>
      </c>
      <c r="M209" s="255">
        <v>-11384.28</v>
      </c>
      <c r="N209" s="254">
        <v>-6026.03</v>
      </c>
      <c r="O209" s="256">
        <v>-8630.33</v>
      </c>
      <c r="P209" s="256">
        <v>-8500.1099999999988</v>
      </c>
      <c r="Q209" s="256">
        <v>-6787.85</v>
      </c>
      <c r="R209" s="256">
        <v>-10218.200000000001</v>
      </c>
      <c r="S209" s="256">
        <v>-11559.119999999999</v>
      </c>
      <c r="T209" s="290">
        <f t="shared" si="2"/>
        <v>-110146.34999999999</v>
      </c>
      <c r="U209" s="251"/>
      <c r="V209" s="250"/>
      <c r="W209" s="250"/>
      <c r="X209" s="251"/>
    </row>
    <row r="210" spans="1:24" s="252" customFormat="1" hidden="1">
      <c r="A210" s="296">
        <v>31050</v>
      </c>
      <c r="B210" s="293" t="s">
        <v>1414</v>
      </c>
      <c r="C210" s="294" t="s">
        <v>1415</v>
      </c>
      <c r="D210" s="294" t="s">
        <v>1416</v>
      </c>
      <c r="E210" s="245">
        <v>50000</v>
      </c>
      <c r="F210" s="244" t="s">
        <v>669</v>
      </c>
      <c r="G210" s="244" t="s">
        <v>670</v>
      </c>
      <c r="H210" s="254">
        <v>-1727.08</v>
      </c>
      <c r="I210" s="254">
        <v>0</v>
      </c>
      <c r="J210" s="254">
        <v>-224449.18</v>
      </c>
      <c r="K210" s="255">
        <v>0</v>
      </c>
      <c r="L210" s="255">
        <v>-15805.05</v>
      </c>
      <c r="M210" s="255">
        <v>-104965.34</v>
      </c>
      <c r="N210" s="254">
        <v>-24489.26</v>
      </c>
      <c r="O210" s="256">
        <v>-76403.55</v>
      </c>
      <c r="P210" s="256">
        <v>-38339.26</v>
      </c>
      <c r="Q210" s="256">
        <v>-71357.070000000007</v>
      </c>
      <c r="R210" s="256">
        <v>-60058.159999999996</v>
      </c>
      <c r="S210" s="256">
        <v>-2049.0199999999995</v>
      </c>
      <c r="T210" s="290">
        <f t="shared" si="2"/>
        <v>-619642.97000000009</v>
      </c>
      <c r="U210" s="251"/>
      <c r="V210" s="250"/>
      <c r="W210" s="250"/>
      <c r="X210" s="251"/>
    </row>
    <row r="211" spans="1:24" s="252" customFormat="1" hidden="1">
      <c r="A211" s="296">
        <v>31070</v>
      </c>
      <c r="B211" s="293" t="s">
        <v>1417</v>
      </c>
      <c r="C211" s="294" t="s">
        <v>1418</v>
      </c>
      <c r="D211" s="294" t="s">
        <v>1419</v>
      </c>
      <c r="E211" s="245">
        <v>54007</v>
      </c>
      <c r="F211" s="244" t="s">
        <v>727</v>
      </c>
      <c r="G211" s="244" t="s">
        <v>720</v>
      </c>
      <c r="H211" s="254">
        <v>-5.86</v>
      </c>
      <c r="I211" s="254">
        <v>0</v>
      </c>
      <c r="J211" s="254">
        <v>-40.479999999999997</v>
      </c>
      <c r="K211" s="255">
        <v>0</v>
      </c>
      <c r="L211" s="255">
        <v>-1.2</v>
      </c>
      <c r="M211" s="255">
        <v>-518.9</v>
      </c>
      <c r="N211" s="254">
        <v>-33.54</v>
      </c>
      <c r="O211" s="256">
        <v>-44.37</v>
      </c>
      <c r="P211" s="256">
        <v>-19.72</v>
      </c>
      <c r="Q211" s="256">
        <v>-10.06</v>
      </c>
      <c r="R211" s="256">
        <v>-15.66</v>
      </c>
      <c r="S211" s="256">
        <v>-10.06</v>
      </c>
      <c r="T211" s="290">
        <f t="shared" si="2"/>
        <v>-699.8499999999998</v>
      </c>
      <c r="U211" s="251"/>
      <c r="V211" s="250"/>
      <c r="W211" s="250"/>
      <c r="X211" s="251"/>
    </row>
    <row r="212" spans="1:24" s="252" customFormat="1" hidden="1">
      <c r="A212" s="296">
        <v>31070</v>
      </c>
      <c r="B212" s="293" t="s">
        <v>1417</v>
      </c>
      <c r="C212" s="294" t="s">
        <v>1420</v>
      </c>
      <c r="D212" s="294" t="s">
        <v>1421</v>
      </c>
      <c r="E212" s="245">
        <v>54007</v>
      </c>
      <c r="F212" s="244" t="s">
        <v>727</v>
      </c>
      <c r="G212" s="244" t="s">
        <v>720</v>
      </c>
      <c r="H212" s="254"/>
      <c r="I212" s="254"/>
      <c r="J212" s="254"/>
      <c r="K212" s="255">
        <v>0</v>
      </c>
      <c r="L212" s="255"/>
      <c r="M212" s="255"/>
      <c r="N212" s="254"/>
      <c r="O212" s="256"/>
      <c r="P212" s="256"/>
      <c r="Q212" s="256">
        <v>-4635</v>
      </c>
      <c r="R212" s="256">
        <v>-378.48</v>
      </c>
      <c r="S212" s="256">
        <v>-180</v>
      </c>
      <c r="T212" s="290">
        <f t="shared" si="2"/>
        <v>-5193.4799999999996</v>
      </c>
      <c r="U212" s="251"/>
      <c r="V212" s="250"/>
      <c r="W212" s="250"/>
      <c r="X212" s="251"/>
    </row>
    <row r="213" spans="1:24" s="252" customFormat="1" hidden="1">
      <c r="A213" s="292">
        <v>31070</v>
      </c>
      <c r="B213" s="293" t="s">
        <v>1417</v>
      </c>
      <c r="C213" s="294" t="s">
        <v>1422</v>
      </c>
      <c r="D213" s="294" t="s">
        <v>1423</v>
      </c>
      <c r="E213" s="245">
        <v>54008</v>
      </c>
      <c r="F213" s="244" t="s">
        <v>728</v>
      </c>
      <c r="G213" s="244" t="s">
        <v>720</v>
      </c>
      <c r="H213" s="254">
        <v>0</v>
      </c>
      <c r="I213" s="254">
        <v>0</v>
      </c>
      <c r="J213" s="254">
        <v>0</v>
      </c>
      <c r="K213" s="255">
        <v>0</v>
      </c>
      <c r="L213" s="255">
        <v>-0.96</v>
      </c>
      <c r="M213" s="255">
        <v>-1.68</v>
      </c>
      <c r="N213" s="254">
        <v>0</v>
      </c>
      <c r="O213" s="256">
        <v>0</v>
      </c>
      <c r="P213" s="256">
        <v>0</v>
      </c>
      <c r="Q213" s="256">
        <v>-8.0500000000000007</v>
      </c>
      <c r="R213" s="256">
        <v>-12.52</v>
      </c>
      <c r="S213" s="256">
        <v>-8.0399999999999991</v>
      </c>
      <c r="T213" s="290">
        <f t="shared" si="2"/>
        <v>-31.25</v>
      </c>
      <c r="U213" s="251"/>
      <c r="V213" s="250"/>
      <c r="W213" s="250"/>
      <c r="X213" s="251"/>
    </row>
    <row r="214" spans="1:24" s="252" customFormat="1" hidden="1">
      <c r="A214" s="292">
        <v>31060</v>
      </c>
      <c r="B214" s="293" t="s">
        <v>1424</v>
      </c>
      <c r="C214" s="294" t="s">
        <v>1425</v>
      </c>
      <c r="D214" s="294" t="s">
        <v>1426</v>
      </c>
      <c r="E214" s="245">
        <v>51000</v>
      </c>
      <c r="F214" s="244" t="s">
        <v>680</v>
      </c>
      <c r="G214" s="244" t="s">
        <v>681</v>
      </c>
      <c r="H214" s="254">
        <v>0</v>
      </c>
      <c r="I214" s="254"/>
      <c r="J214" s="254"/>
      <c r="K214" s="255"/>
      <c r="L214" s="255">
        <v>0</v>
      </c>
      <c r="M214" s="255"/>
      <c r="N214" s="254"/>
      <c r="O214" s="256"/>
      <c r="P214" s="256">
        <v>0</v>
      </c>
      <c r="Q214" s="256"/>
      <c r="R214" s="256"/>
      <c r="S214" s="256"/>
      <c r="T214" s="290">
        <f t="shared" si="2"/>
        <v>0</v>
      </c>
      <c r="U214" s="251"/>
      <c r="V214" s="250"/>
      <c r="W214" s="250"/>
      <c r="X214" s="251"/>
    </row>
    <row r="215" spans="1:24" s="252" customFormat="1" hidden="1">
      <c r="A215" s="292">
        <v>31010</v>
      </c>
      <c r="B215" s="293" t="s">
        <v>1427</v>
      </c>
      <c r="C215" s="294" t="s">
        <v>1428</v>
      </c>
      <c r="D215" s="294" t="s">
        <v>1429</v>
      </c>
      <c r="E215" s="297">
        <v>51101</v>
      </c>
      <c r="F215" s="298" t="s">
        <v>684</v>
      </c>
      <c r="G215" s="298" t="s">
        <v>685</v>
      </c>
      <c r="H215" s="254">
        <v>-251389.25</v>
      </c>
      <c r="I215" s="254">
        <v>-206272.14</v>
      </c>
      <c r="J215" s="254">
        <v>-314610.11</v>
      </c>
      <c r="K215" s="299">
        <v>-174807.91999999998</v>
      </c>
      <c r="L215" s="255">
        <v>-261904.59</v>
      </c>
      <c r="M215" s="255">
        <v>-262406.82</v>
      </c>
      <c r="N215" s="254">
        <v>-165916.53</v>
      </c>
      <c r="O215" s="256">
        <v>-204803.56</v>
      </c>
      <c r="P215" s="256">
        <v>-212806.95</v>
      </c>
      <c r="Q215" s="256">
        <v>-212231.78</v>
      </c>
      <c r="R215" s="256">
        <v>-259411.58</v>
      </c>
      <c r="S215" s="256">
        <v>-333683.21999999997</v>
      </c>
      <c r="T215" s="290">
        <f t="shared" si="2"/>
        <v>-2860244.45</v>
      </c>
      <c r="U215" s="251"/>
      <c r="V215" s="250">
        <v>0</v>
      </c>
      <c r="W215" s="250"/>
      <c r="X215" s="251"/>
    </row>
    <row r="216" spans="1:24" s="252" customFormat="1" hidden="1">
      <c r="A216" s="292">
        <v>31010</v>
      </c>
      <c r="B216" s="293" t="s">
        <v>1427</v>
      </c>
      <c r="C216" s="294" t="s">
        <v>1430</v>
      </c>
      <c r="D216" s="294" t="s">
        <v>1429</v>
      </c>
      <c r="E216" s="297">
        <v>51101</v>
      </c>
      <c r="F216" s="298" t="s">
        <v>684</v>
      </c>
      <c r="G216" s="298" t="s">
        <v>685</v>
      </c>
      <c r="H216" s="254"/>
      <c r="I216" s="254"/>
      <c r="J216" s="254"/>
      <c r="K216" s="299">
        <v>16796.45</v>
      </c>
      <c r="L216" s="255">
        <v>20313.97</v>
      </c>
      <c r="M216" s="255">
        <v>17366.169999999998</v>
      </c>
      <c r="N216" s="254">
        <v>24307.52</v>
      </c>
      <c r="O216" s="256">
        <v>22987.88</v>
      </c>
      <c r="P216" s="256">
        <v>0</v>
      </c>
      <c r="Q216" s="256">
        <v>48544.09</v>
      </c>
      <c r="R216" s="256">
        <v>18843.740000000002</v>
      </c>
      <c r="S216" s="256">
        <v>43257.760000000002</v>
      </c>
      <c r="T216" s="290">
        <f t="shared" si="2"/>
        <v>212417.58000000002</v>
      </c>
      <c r="U216" s="251"/>
      <c r="V216" s="250" t="e">
        <v>#N/A</v>
      </c>
      <c r="W216" s="250"/>
      <c r="X216" s="251"/>
    </row>
    <row r="217" spans="1:24" s="252" customFormat="1" hidden="1">
      <c r="A217" s="292">
        <v>31060</v>
      </c>
      <c r="B217" s="293" t="s">
        <v>1424</v>
      </c>
      <c r="C217" s="294" t="s">
        <v>1431</v>
      </c>
      <c r="D217" s="294" t="s">
        <v>1432</v>
      </c>
      <c r="E217" s="297">
        <v>51101</v>
      </c>
      <c r="F217" s="298" t="s">
        <v>684</v>
      </c>
      <c r="G217" s="298" t="s">
        <v>685</v>
      </c>
      <c r="H217" s="254">
        <v>0</v>
      </c>
      <c r="I217" s="254">
        <v>0</v>
      </c>
      <c r="J217" s="254">
        <v>0</v>
      </c>
      <c r="K217" s="299">
        <v>0</v>
      </c>
      <c r="L217" s="255">
        <v>0</v>
      </c>
      <c r="M217" s="255">
        <v>0</v>
      </c>
      <c r="N217" s="254">
        <v>0</v>
      </c>
      <c r="O217" s="256">
        <v>0</v>
      </c>
      <c r="P217" s="256">
        <v>0</v>
      </c>
      <c r="Q217" s="256">
        <v>0</v>
      </c>
      <c r="R217" s="256">
        <v>0</v>
      </c>
      <c r="S217" s="256">
        <v>0</v>
      </c>
      <c r="T217" s="290">
        <f t="shared" si="2"/>
        <v>0</v>
      </c>
      <c r="U217" s="251"/>
      <c r="V217" s="250">
        <v>0</v>
      </c>
      <c r="W217" s="250"/>
      <c r="X217" s="251"/>
    </row>
    <row r="218" spans="1:24" s="252" customFormat="1" hidden="1">
      <c r="A218" s="292">
        <v>31205</v>
      </c>
      <c r="B218" s="293" t="e">
        <v>#N/A</v>
      </c>
      <c r="C218" s="294" t="s">
        <v>1433</v>
      </c>
      <c r="D218" s="294" t="s">
        <v>1434</v>
      </c>
      <c r="E218" s="245">
        <v>50001</v>
      </c>
      <c r="F218" s="244" t="s">
        <v>673</v>
      </c>
      <c r="G218" s="244" t="s">
        <v>670</v>
      </c>
      <c r="H218" s="254">
        <v>74378.45</v>
      </c>
      <c r="I218" s="254">
        <v>97712.540000000008</v>
      </c>
      <c r="J218" s="254">
        <v>16502.149999999994</v>
      </c>
      <c r="K218" s="255">
        <v>15825.919999999998</v>
      </c>
      <c r="L218" s="255">
        <v>84954.900000000023</v>
      </c>
      <c r="M218" s="299">
        <v>31608.42</v>
      </c>
      <c r="N218" s="254">
        <v>39241.47</v>
      </c>
      <c r="O218" s="256">
        <v>37113.79</v>
      </c>
      <c r="P218" s="256">
        <v>36928.1</v>
      </c>
      <c r="Q218" s="256">
        <v>33064.44</v>
      </c>
      <c r="R218" s="256">
        <v>64860.34</v>
      </c>
      <c r="S218" s="248">
        <f>108671.05+0.01</f>
        <v>108671.06</v>
      </c>
      <c r="T218" s="290">
        <f t="shared" si="2"/>
        <v>640861.57999999984</v>
      </c>
      <c r="U218" s="251"/>
      <c r="V218" s="250"/>
      <c r="W218" s="250"/>
      <c r="X218" s="251"/>
    </row>
    <row r="219" spans="1:24" s="252" customFormat="1" hidden="1">
      <c r="A219" s="292">
        <v>31205</v>
      </c>
      <c r="B219" s="293" t="e">
        <v>#N/A</v>
      </c>
      <c r="C219" s="294" t="s">
        <v>1435</v>
      </c>
      <c r="D219" s="294" t="s">
        <v>1436</v>
      </c>
      <c r="E219" s="245">
        <v>50001</v>
      </c>
      <c r="F219" s="244" t="s">
        <v>673</v>
      </c>
      <c r="G219" s="244" t="s">
        <v>670</v>
      </c>
      <c r="H219" s="254">
        <v>0</v>
      </c>
      <c r="I219" s="254"/>
      <c r="J219" s="254"/>
      <c r="K219" s="255"/>
      <c r="L219" s="255">
        <v>0</v>
      </c>
      <c r="M219" s="255"/>
      <c r="N219" s="254"/>
      <c r="O219" s="256"/>
      <c r="P219" s="256">
        <v>0</v>
      </c>
      <c r="Q219" s="256"/>
      <c r="R219" s="256"/>
      <c r="S219" s="256"/>
      <c r="T219" s="290">
        <f t="shared" si="2"/>
        <v>0</v>
      </c>
      <c r="U219" s="251"/>
      <c r="V219" s="250"/>
      <c r="W219" s="250"/>
      <c r="X219" s="251"/>
    </row>
    <row r="220" spans="1:24" s="252" customFormat="1" hidden="1">
      <c r="A220" s="292">
        <v>31220</v>
      </c>
      <c r="B220" s="293" t="s">
        <v>1437</v>
      </c>
      <c r="C220" s="294" t="s">
        <v>1438</v>
      </c>
      <c r="D220" s="294" t="s">
        <v>1439</v>
      </c>
      <c r="E220" s="245">
        <v>50001</v>
      </c>
      <c r="F220" s="244" t="s">
        <v>673</v>
      </c>
      <c r="G220" s="244" t="s">
        <v>670</v>
      </c>
      <c r="H220" s="254">
        <v>0</v>
      </c>
      <c r="I220" s="254">
        <v>2635</v>
      </c>
      <c r="J220" s="254">
        <v>1396.95</v>
      </c>
      <c r="K220" s="255">
        <v>17977.150000000001</v>
      </c>
      <c r="L220" s="255">
        <v>79559.56</v>
      </c>
      <c r="M220" s="255">
        <v>57136.32</v>
      </c>
      <c r="N220" s="254">
        <v>53361.13</v>
      </c>
      <c r="O220" s="256">
        <v>45556.26</v>
      </c>
      <c r="P220" s="256">
        <v>40501.300000000003</v>
      </c>
      <c r="Q220" s="256">
        <v>44200.9</v>
      </c>
      <c r="R220" s="256">
        <v>52439.15</v>
      </c>
      <c r="S220" s="256">
        <v>51215.1</v>
      </c>
      <c r="T220" s="290">
        <f t="shared" si="2"/>
        <v>445978.82000000007</v>
      </c>
      <c r="U220" s="251"/>
      <c r="V220" s="250"/>
      <c r="W220" s="250"/>
      <c r="X220" s="251"/>
    </row>
    <row r="221" spans="1:24" s="252" customFormat="1" hidden="1">
      <c r="A221" s="292">
        <v>31200</v>
      </c>
      <c r="B221" s="293" t="s">
        <v>1440</v>
      </c>
      <c r="C221" s="294" t="s">
        <v>1441</v>
      </c>
      <c r="D221" s="294" t="s">
        <v>1442</v>
      </c>
      <c r="E221" s="245">
        <v>50001</v>
      </c>
      <c r="F221" s="244" t="s">
        <v>673</v>
      </c>
      <c r="G221" s="244" t="s">
        <v>670</v>
      </c>
      <c r="H221" s="254"/>
      <c r="I221" s="254"/>
      <c r="J221" s="254">
        <v>14.049999999999999</v>
      </c>
      <c r="K221" s="255">
        <v>0</v>
      </c>
      <c r="L221" s="255">
        <v>0</v>
      </c>
      <c r="M221" s="255">
        <v>0</v>
      </c>
      <c r="N221" s="254">
        <v>0</v>
      </c>
      <c r="O221" s="256">
        <v>7.25</v>
      </c>
      <c r="P221" s="256">
        <v>1.45</v>
      </c>
      <c r="Q221" s="256">
        <v>0</v>
      </c>
      <c r="R221" s="256">
        <v>0</v>
      </c>
      <c r="S221" s="256">
        <v>0</v>
      </c>
      <c r="T221" s="290">
        <f t="shared" si="2"/>
        <v>22.749999999999996</v>
      </c>
      <c r="U221" s="251"/>
      <c r="V221" s="250"/>
      <c r="W221" s="250"/>
      <c r="X221" s="251"/>
    </row>
    <row r="222" spans="1:24" s="252" customFormat="1" hidden="1">
      <c r="A222" s="292">
        <v>31200</v>
      </c>
      <c r="B222" s="293" t="s">
        <v>1440</v>
      </c>
      <c r="C222" s="294" t="s">
        <v>1443</v>
      </c>
      <c r="D222" s="294" t="s">
        <v>1444</v>
      </c>
      <c r="E222" s="245">
        <v>50001</v>
      </c>
      <c r="F222" s="244" t="s">
        <v>673</v>
      </c>
      <c r="G222" s="244" t="s">
        <v>670</v>
      </c>
      <c r="H222" s="254">
        <v>0</v>
      </c>
      <c r="I222" s="254">
        <v>25256.420000000002</v>
      </c>
      <c r="J222" s="254">
        <v>125814.56000000001</v>
      </c>
      <c r="K222" s="255">
        <v>67006.58</v>
      </c>
      <c r="L222" s="255">
        <v>109317.37</v>
      </c>
      <c r="M222" s="255">
        <v>91235.35</v>
      </c>
      <c r="N222" s="254">
        <v>56679.46</v>
      </c>
      <c r="O222" s="256">
        <v>79224.189999999988</v>
      </c>
      <c r="P222" s="256">
        <v>118359.58</v>
      </c>
      <c r="Q222" s="256">
        <v>91286.569999999992</v>
      </c>
      <c r="R222" s="256">
        <v>109354.83</v>
      </c>
      <c r="S222" s="256">
        <v>87178.11</v>
      </c>
      <c r="T222" s="290">
        <f t="shared" si="2"/>
        <v>960713.0199999999</v>
      </c>
      <c r="U222" s="251"/>
      <c r="V222" s="250"/>
      <c r="W222" s="250"/>
      <c r="X222" s="251"/>
    </row>
    <row r="223" spans="1:24" s="252" customFormat="1" hidden="1">
      <c r="A223" s="292">
        <v>31210</v>
      </c>
      <c r="B223" s="293" t="s">
        <v>1445</v>
      </c>
      <c r="C223" s="294" t="s">
        <v>1446</v>
      </c>
      <c r="D223" s="294" t="s">
        <v>1447</v>
      </c>
      <c r="E223" s="245">
        <v>50001</v>
      </c>
      <c r="F223" s="244" t="s">
        <v>673</v>
      </c>
      <c r="G223" s="244" t="s">
        <v>670</v>
      </c>
      <c r="H223" s="254">
        <v>0</v>
      </c>
      <c r="I223" s="254">
        <v>-868.65000000000009</v>
      </c>
      <c r="J223" s="254">
        <v>13288.34</v>
      </c>
      <c r="K223" s="255">
        <v>1515.52</v>
      </c>
      <c r="L223" s="255">
        <v>1284</v>
      </c>
      <c r="M223" s="255">
        <v>823.81999999999994</v>
      </c>
      <c r="N223" s="254">
        <v>3132.5</v>
      </c>
      <c r="O223" s="256">
        <v>5195.91</v>
      </c>
      <c r="P223" s="256">
        <v>2599.17</v>
      </c>
      <c r="Q223" s="256">
        <v>6654.64</v>
      </c>
      <c r="R223" s="256">
        <v>4043.75</v>
      </c>
      <c r="S223" s="256">
        <v>5319.68</v>
      </c>
      <c r="T223" s="290">
        <f t="shared" si="2"/>
        <v>42988.68</v>
      </c>
      <c r="U223" s="250"/>
      <c r="V223" s="250"/>
      <c r="W223" s="250"/>
      <c r="X223" s="251"/>
    </row>
    <row r="224" spans="1:24" s="252" customFormat="1" hidden="1">
      <c r="A224" s="292">
        <v>31260</v>
      </c>
      <c r="B224" s="293" t="s">
        <v>1448</v>
      </c>
      <c r="C224" s="294" t="s">
        <v>1449</v>
      </c>
      <c r="D224" s="294" t="s">
        <v>1450</v>
      </c>
      <c r="E224" s="245">
        <v>50003</v>
      </c>
      <c r="F224" s="244" t="s">
        <v>675</v>
      </c>
      <c r="G224" s="244" t="s">
        <v>670</v>
      </c>
      <c r="H224" s="254">
        <v>0</v>
      </c>
      <c r="I224" s="254">
        <v>0</v>
      </c>
      <c r="J224" s="254">
        <v>0</v>
      </c>
      <c r="K224" s="255">
        <v>0</v>
      </c>
      <c r="L224" s="255">
        <v>0</v>
      </c>
      <c r="M224" s="255">
        <v>0</v>
      </c>
      <c r="N224" s="254">
        <v>0</v>
      </c>
      <c r="O224" s="256">
        <v>0</v>
      </c>
      <c r="P224" s="256">
        <v>0</v>
      </c>
      <c r="Q224" s="256">
        <v>0</v>
      </c>
      <c r="R224" s="256">
        <v>0</v>
      </c>
      <c r="S224" s="256">
        <v>0</v>
      </c>
      <c r="T224" s="290">
        <f t="shared" si="2"/>
        <v>0</v>
      </c>
      <c r="U224" s="251"/>
      <c r="V224" s="250"/>
      <c r="W224" s="250"/>
      <c r="X224" s="251"/>
    </row>
    <row r="225" spans="1:24" s="252" customFormat="1" hidden="1">
      <c r="A225" s="292">
        <v>31260</v>
      </c>
      <c r="B225" s="293" t="s">
        <v>1448</v>
      </c>
      <c r="C225" s="294" t="s">
        <v>1451</v>
      </c>
      <c r="D225" s="294" t="s">
        <v>1452</v>
      </c>
      <c r="E225" s="245">
        <v>50003</v>
      </c>
      <c r="F225" s="244" t="s">
        <v>675</v>
      </c>
      <c r="G225" s="244" t="s">
        <v>670</v>
      </c>
      <c r="H225" s="254">
        <v>0</v>
      </c>
      <c r="I225" s="254">
        <v>0</v>
      </c>
      <c r="J225" s="254">
        <v>0</v>
      </c>
      <c r="K225" s="255">
        <v>0</v>
      </c>
      <c r="L225" s="255">
        <v>0</v>
      </c>
      <c r="M225" s="255">
        <v>0</v>
      </c>
      <c r="N225" s="254">
        <v>0</v>
      </c>
      <c r="O225" s="256">
        <v>0</v>
      </c>
      <c r="P225" s="256">
        <v>0</v>
      </c>
      <c r="Q225" s="256">
        <v>0</v>
      </c>
      <c r="R225" s="256">
        <v>0</v>
      </c>
      <c r="S225" s="256">
        <v>0</v>
      </c>
      <c r="T225" s="290">
        <f t="shared" si="2"/>
        <v>0</v>
      </c>
      <c r="U225" s="251"/>
      <c r="V225" s="250"/>
      <c r="W225" s="250"/>
      <c r="X225" s="251"/>
    </row>
    <row r="226" spans="1:24" s="252" customFormat="1" hidden="1">
      <c r="A226" s="292">
        <v>31260</v>
      </c>
      <c r="B226" s="293" t="s">
        <v>1448</v>
      </c>
      <c r="C226" s="294" t="s">
        <v>1453</v>
      </c>
      <c r="D226" s="294" t="s">
        <v>1454</v>
      </c>
      <c r="E226" s="245">
        <v>50003</v>
      </c>
      <c r="F226" s="244" t="s">
        <v>675</v>
      </c>
      <c r="G226" s="244" t="s">
        <v>670</v>
      </c>
      <c r="H226" s="254">
        <v>-273.18</v>
      </c>
      <c r="I226" s="254">
        <v>-920.95999999999992</v>
      </c>
      <c r="J226" s="254">
        <v>-994.84</v>
      </c>
      <c r="K226" s="255">
        <v>-1276.2</v>
      </c>
      <c r="L226" s="255">
        <v>-400.64</v>
      </c>
      <c r="M226" s="255">
        <v>-5436.4900000000007</v>
      </c>
      <c r="N226" s="254">
        <v>-3455.53</v>
      </c>
      <c r="O226" s="256">
        <v>-1750.68</v>
      </c>
      <c r="P226" s="256">
        <v>-2087.54</v>
      </c>
      <c r="Q226" s="256">
        <v>-2200.46</v>
      </c>
      <c r="R226" s="256">
        <v>-6506.2999999999993</v>
      </c>
      <c r="S226" s="256">
        <v>-6560.43</v>
      </c>
      <c r="T226" s="290">
        <f t="shared" si="2"/>
        <v>-31863.25</v>
      </c>
      <c r="U226" s="251"/>
      <c r="V226" s="250"/>
      <c r="W226" s="250"/>
      <c r="X226" s="251"/>
    </row>
    <row r="227" spans="1:24" s="252" customFormat="1" hidden="1">
      <c r="A227" s="292">
        <v>31260</v>
      </c>
      <c r="B227" s="293" t="s">
        <v>1448</v>
      </c>
      <c r="C227" s="294" t="s">
        <v>1455</v>
      </c>
      <c r="D227" s="294" t="s">
        <v>1456</v>
      </c>
      <c r="E227" s="245">
        <v>50003</v>
      </c>
      <c r="F227" s="244" t="s">
        <v>675</v>
      </c>
      <c r="G227" s="244" t="s">
        <v>670</v>
      </c>
      <c r="H227" s="254">
        <v>-8492.36</v>
      </c>
      <c r="I227" s="254">
        <v>-4642.2299999999996</v>
      </c>
      <c r="J227" s="254">
        <v>-18795.91</v>
      </c>
      <c r="K227" s="255">
        <v>13191.96</v>
      </c>
      <c r="L227" s="255">
        <v>-9254.58</v>
      </c>
      <c r="M227" s="255">
        <v>-20571.359999999993</v>
      </c>
      <c r="N227" s="254">
        <v>-5622.880000000001</v>
      </c>
      <c r="O227" s="256">
        <v>-10476.410000000002</v>
      </c>
      <c r="P227" s="256">
        <v>-2673.5</v>
      </c>
      <c r="Q227" s="256">
        <v>-5781.4</v>
      </c>
      <c r="R227" s="256">
        <v>-4749.9099999999989</v>
      </c>
      <c r="S227" s="256">
        <v>-5012.3500000000004</v>
      </c>
      <c r="T227" s="290">
        <f t="shared" si="2"/>
        <v>-82880.930000000008</v>
      </c>
      <c r="U227" s="251"/>
      <c r="V227" s="250"/>
      <c r="W227" s="250"/>
      <c r="X227" s="251"/>
    </row>
    <row r="228" spans="1:24" s="252" customFormat="1" hidden="1">
      <c r="A228" s="292">
        <v>31260</v>
      </c>
      <c r="B228" s="293" t="s">
        <v>1448</v>
      </c>
      <c r="C228" s="294" t="s">
        <v>1457</v>
      </c>
      <c r="D228" s="294" t="s">
        <v>1458</v>
      </c>
      <c r="E228" s="245">
        <v>50003</v>
      </c>
      <c r="F228" s="244" t="s">
        <v>675</v>
      </c>
      <c r="G228" s="244" t="s">
        <v>670</v>
      </c>
      <c r="H228" s="254">
        <v>0</v>
      </c>
      <c r="I228" s="254">
        <v>-3711.89</v>
      </c>
      <c r="J228" s="254">
        <v>-3369.12</v>
      </c>
      <c r="K228" s="255">
        <v>0</v>
      </c>
      <c r="L228" s="255">
        <v>-2828.9300000000003</v>
      </c>
      <c r="M228" s="255">
        <v>-9648.619999999999</v>
      </c>
      <c r="N228" s="254">
        <v>-5362.17</v>
      </c>
      <c r="O228" s="256">
        <v>0</v>
      </c>
      <c r="P228" s="256">
        <v>-515.92999999999995</v>
      </c>
      <c r="Q228" s="256">
        <v>0</v>
      </c>
      <c r="R228" s="256">
        <v>0</v>
      </c>
      <c r="S228" s="256">
        <v>-2168.0500000000002</v>
      </c>
      <c r="T228" s="290">
        <f t="shared" si="2"/>
        <v>-27604.709999999995</v>
      </c>
      <c r="U228" s="251"/>
      <c r="V228" s="250"/>
      <c r="W228" s="250"/>
      <c r="X228" s="251"/>
    </row>
    <row r="229" spans="1:24" s="252" customFormat="1" hidden="1">
      <c r="A229" s="292">
        <v>31260</v>
      </c>
      <c r="B229" s="293" t="s">
        <v>1448</v>
      </c>
      <c r="C229" s="294" t="s">
        <v>1459</v>
      </c>
      <c r="D229" s="294" t="s">
        <v>1460</v>
      </c>
      <c r="E229" s="245">
        <v>50003</v>
      </c>
      <c r="F229" s="244" t="s">
        <v>675</v>
      </c>
      <c r="G229" s="244" t="s">
        <v>670</v>
      </c>
      <c r="H229" s="254">
        <v>0</v>
      </c>
      <c r="I229" s="254">
        <v>0</v>
      </c>
      <c r="J229" s="254">
        <v>0</v>
      </c>
      <c r="K229" s="255">
        <v>0</v>
      </c>
      <c r="L229" s="255">
        <v>0</v>
      </c>
      <c r="M229" s="255">
        <v>-668.64</v>
      </c>
      <c r="N229" s="254">
        <v>0</v>
      </c>
      <c r="O229" s="256">
        <v>-53.9</v>
      </c>
      <c r="P229" s="256">
        <v>-28.36</v>
      </c>
      <c r="Q229" s="256">
        <v>0</v>
      </c>
      <c r="R229" s="256">
        <v>-121479.82999999999</v>
      </c>
      <c r="S229" s="256">
        <v>16747.239999999998</v>
      </c>
      <c r="T229" s="290">
        <f t="shared" si="2"/>
        <v>-105483.48999999999</v>
      </c>
      <c r="U229" s="251"/>
      <c r="V229" s="250"/>
      <c r="W229" s="250"/>
      <c r="X229" s="251"/>
    </row>
    <row r="230" spans="1:24" s="252" customFormat="1" hidden="1">
      <c r="A230" s="292">
        <v>31260</v>
      </c>
      <c r="B230" s="293" t="s">
        <v>1448</v>
      </c>
      <c r="C230" s="294" t="s">
        <v>1461</v>
      </c>
      <c r="D230" s="294" t="s">
        <v>1462</v>
      </c>
      <c r="E230" s="245">
        <v>50003</v>
      </c>
      <c r="F230" s="244" t="s">
        <v>675</v>
      </c>
      <c r="G230" s="244" t="s">
        <v>670</v>
      </c>
      <c r="H230" s="254">
        <v>0</v>
      </c>
      <c r="I230" s="254">
        <v>2557.87</v>
      </c>
      <c r="J230" s="254">
        <v>4829.32</v>
      </c>
      <c r="K230" s="255">
        <v>-23641.430000000022</v>
      </c>
      <c r="L230" s="255">
        <v>7117.77</v>
      </c>
      <c r="M230" s="255">
        <v>19994.109999999986</v>
      </c>
      <c r="N230" s="254">
        <v>5798.7099999999991</v>
      </c>
      <c r="O230" s="256">
        <v>398.73</v>
      </c>
      <c r="P230" s="256">
        <v>-7053.21</v>
      </c>
      <c r="Q230" s="256">
        <v>186.65</v>
      </c>
      <c r="R230" s="256">
        <v>-1044.6100000000006</v>
      </c>
      <c r="S230" s="256">
        <v>7392.8699999999953</v>
      </c>
      <c r="T230" s="290">
        <f t="shared" si="2"/>
        <v>16536.779999999955</v>
      </c>
      <c r="U230" s="251"/>
      <c r="V230" s="250"/>
      <c r="W230" s="250"/>
      <c r="X230" s="251"/>
    </row>
    <row r="231" spans="1:24" s="252" customFormat="1" hidden="1">
      <c r="A231" s="292">
        <v>31260</v>
      </c>
      <c r="B231" s="293" t="s">
        <v>1448</v>
      </c>
      <c r="C231" s="294" t="s">
        <v>1463</v>
      </c>
      <c r="D231" s="294" t="s">
        <v>1464</v>
      </c>
      <c r="E231" s="245">
        <v>50003</v>
      </c>
      <c r="F231" s="244" t="s">
        <v>675</v>
      </c>
      <c r="G231" s="244" t="s">
        <v>670</v>
      </c>
      <c r="H231" s="254">
        <v>-766.91</v>
      </c>
      <c r="I231" s="254">
        <v>-2285.61</v>
      </c>
      <c r="J231" s="254">
        <v>-1595.92</v>
      </c>
      <c r="K231" s="255">
        <v>-1729.56</v>
      </c>
      <c r="L231" s="255">
        <v>-11272.27</v>
      </c>
      <c r="M231" s="255">
        <v>-3674.2000000000003</v>
      </c>
      <c r="N231" s="254">
        <v>-1433.35</v>
      </c>
      <c r="O231" s="256">
        <v>-888.3</v>
      </c>
      <c r="P231" s="256">
        <v>-1733.79</v>
      </c>
      <c r="Q231" s="256">
        <v>-4843</v>
      </c>
      <c r="R231" s="256">
        <v>-2045.69</v>
      </c>
      <c r="S231" s="256">
        <v>-8698.2199999999993</v>
      </c>
      <c r="T231" s="290">
        <f t="shared" si="2"/>
        <v>-40966.82</v>
      </c>
      <c r="U231" s="251"/>
      <c r="V231" s="250"/>
      <c r="W231" s="250"/>
      <c r="X231" s="251"/>
    </row>
    <row r="232" spans="1:24" s="252" customFormat="1" hidden="1">
      <c r="A232" s="292">
        <v>31260</v>
      </c>
      <c r="B232" s="293" t="s">
        <v>1448</v>
      </c>
      <c r="C232" s="294" t="s">
        <v>1465</v>
      </c>
      <c r="D232" s="294" t="s">
        <v>1466</v>
      </c>
      <c r="E232" s="245">
        <v>50003</v>
      </c>
      <c r="F232" s="244" t="s">
        <v>675</v>
      </c>
      <c r="G232" s="244" t="s">
        <v>670</v>
      </c>
      <c r="H232" s="254">
        <v>0</v>
      </c>
      <c r="I232" s="254"/>
      <c r="J232" s="254"/>
      <c r="K232" s="255"/>
      <c r="L232" s="255">
        <v>0</v>
      </c>
      <c r="M232" s="255"/>
      <c r="N232" s="254"/>
      <c r="O232" s="256"/>
      <c r="P232" s="256">
        <v>0</v>
      </c>
      <c r="Q232" s="256"/>
      <c r="R232" s="256"/>
      <c r="S232" s="256"/>
      <c r="T232" s="290">
        <f t="shared" si="2"/>
        <v>0</v>
      </c>
      <c r="U232" s="251"/>
      <c r="V232" s="250"/>
      <c r="W232" s="250"/>
      <c r="X232" s="251"/>
    </row>
    <row r="233" spans="1:24" s="252" customFormat="1" hidden="1">
      <c r="A233" s="292">
        <v>31270</v>
      </c>
      <c r="B233" s="293" t="s">
        <v>1467</v>
      </c>
      <c r="C233" s="294" t="s">
        <v>1468</v>
      </c>
      <c r="D233" s="294" t="s">
        <v>1469</v>
      </c>
      <c r="E233" s="245">
        <v>50003</v>
      </c>
      <c r="F233" s="244" t="s">
        <v>675</v>
      </c>
      <c r="G233" s="244" t="s">
        <v>670</v>
      </c>
      <c r="H233" s="254">
        <v>0</v>
      </c>
      <c r="I233" s="254">
        <v>0</v>
      </c>
      <c r="J233" s="254">
        <v>-3302</v>
      </c>
      <c r="K233" s="255">
        <v>-7202</v>
      </c>
      <c r="L233" s="255">
        <v>-11872</v>
      </c>
      <c r="M233" s="255">
        <v>-2592</v>
      </c>
      <c r="N233" s="254">
        <v>-7616</v>
      </c>
      <c r="O233" s="256">
        <v>-1664</v>
      </c>
      <c r="P233" s="256">
        <v>-1680</v>
      </c>
      <c r="Q233" s="256">
        <v>-2094.7199999999998</v>
      </c>
      <c r="R233" s="256">
        <v>-1920</v>
      </c>
      <c r="S233" s="256">
        <v>-2048</v>
      </c>
      <c r="T233" s="290">
        <f t="shared" si="2"/>
        <v>-41990.720000000001</v>
      </c>
      <c r="U233" s="251"/>
      <c r="V233" s="250"/>
      <c r="W233" s="250"/>
      <c r="X233" s="251"/>
    </row>
    <row r="234" spans="1:24" s="252" customFormat="1" hidden="1">
      <c r="A234" s="292">
        <v>31270</v>
      </c>
      <c r="B234" s="293" t="s">
        <v>1467</v>
      </c>
      <c r="C234" s="294" t="s">
        <v>1470</v>
      </c>
      <c r="D234" s="294" t="s">
        <v>1471</v>
      </c>
      <c r="E234" s="245">
        <v>50003</v>
      </c>
      <c r="F234" s="244" t="s">
        <v>675</v>
      </c>
      <c r="G234" s="244" t="s">
        <v>670</v>
      </c>
      <c r="H234" s="254">
        <v>0</v>
      </c>
      <c r="I234" s="254">
        <v>0</v>
      </c>
      <c r="J234" s="254">
        <v>0</v>
      </c>
      <c r="K234" s="255">
        <v>0</v>
      </c>
      <c r="L234" s="255">
        <v>0</v>
      </c>
      <c r="M234" s="255">
        <v>0</v>
      </c>
      <c r="N234" s="254">
        <v>0</v>
      </c>
      <c r="O234" s="256">
        <v>0</v>
      </c>
      <c r="P234" s="256">
        <v>0</v>
      </c>
      <c r="Q234" s="256">
        <v>0</v>
      </c>
      <c r="R234" s="256">
        <v>0</v>
      </c>
      <c r="S234" s="256">
        <v>0</v>
      </c>
      <c r="T234" s="290">
        <f t="shared" si="2"/>
        <v>0</v>
      </c>
      <c r="U234" s="251"/>
      <c r="V234" s="250"/>
      <c r="W234" s="250"/>
      <c r="X234" s="251"/>
    </row>
    <row r="235" spans="1:24" s="252" customFormat="1" hidden="1">
      <c r="A235" s="292">
        <v>31270</v>
      </c>
      <c r="B235" s="293" t="s">
        <v>1467</v>
      </c>
      <c r="C235" s="294" t="s">
        <v>1472</v>
      </c>
      <c r="D235" s="294" t="s">
        <v>1473</v>
      </c>
      <c r="E235" s="245">
        <v>50003</v>
      </c>
      <c r="F235" s="244" t="s">
        <v>675</v>
      </c>
      <c r="G235" s="244" t="s">
        <v>670</v>
      </c>
      <c r="H235" s="254">
        <v>0</v>
      </c>
      <c r="I235" s="254">
        <v>0</v>
      </c>
      <c r="J235" s="254">
        <v>0</v>
      </c>
      <c r="K235" s="255">
        <v>0</v>
      </c>
      <c r="L235" s="255">
        <v>0</v>
      </c>
      <c r="M235" s="255">
        <v>0</v>
      </c>
      <c r="N235" s="254">
        <v>0</v>
      </c>
      <c r="O235" s="256">
        <v>0</v>
      </c>
      <c r="P235" s="256">
        <v>0</v>
      </c>
      <c r="Q235" s="256">
        <v>0</v>
      </c>
      <c r="R235" s="256">
        <v>0</v>
      </c>
      <c r="S235" s="256">
        <v>0</v>
      </c>
      <c r="T235" s="290">
        <f t="shared" si="2"/>
        <v>0</v>
      </c>
      <c r="U235" s="251"/>
      <c r="V235" s="250"/>
      <c r="W235" s="250"/>
      <c r="X235" s="251"/>
    </row>
    <row r="236" spans="1:24" s="252" customFormat="1" hidden="1">
      <c r="A236" s="292">
        <v>31270</v>
      </c>
      <c r="B236" s="293" t="s">
        <v>1467</v>
      </c>
      <c r="C236" s="294" t="s">
        <v>1474</v>
      </c>
      <c r="D236" s="294" t="s">
        <v>1475</v>
      </c>
      <c r="E236" s="245">
        <v>50003</v>
      </c>
      <c r="F236" s="244" t="s">
        <v>675</v>
      </c>
      <c r="G236" s="244" t="s">
        <v>670</v>
      </c>
      <c r="H236" s="254">
        <v>0</v>
      </c>
      <c r="I236" s="254">
        <v>0</v>
      </c>
      <c r="J236" s="254">
        <v>0</v>
      </c>
      <c r="K236" s="255">
        <v>0</v>
      </c>
      <c r="L236" s="255">
        <v>0</v>
      </c>
      <c r="M236" s="255">
        <v>0</v>
      </c>
      <c r="N236" s="254">
        <v>0</v>
      </c>
      <c r="O236" s="256">
        <v>0</v>
      </c>
      <c r="P236" s="256">
        <v>0</v>
      </c>
      <c r="Q236" s="256">
        <v>0</v>
      </c>
      <c r="R236" s="256">
        <v>0</v>
      </c>
      <c r="S236" s="256">
        <v>0</v>
      </c>
      <c r="T236" s="290">
        <f t="shared" si="2"/>
        <v>0</v>
      </c>
      <c r="U236" s="251"/>
      <c r="V236" s="250"/>
      <c r="W236" s="250"/>
      <c r="X236" s="251"/>
    </row>
    <row r="237" spans="1:24" s="252" customFormat="1" hidden="1">
      <c r="A237" s="292">
        <v>31250</v>
      </c>
      <c r="B237" s="293" t="s">
        <v>1476</v>
      </c>
      <c r="C237" s="294" t="s">
        <v>1477</v>
      </c>
      <c r="D237" s="294" t="s">
        <v>1478</v>
      </c>
      <c r="E237" s="245">
        <v>50004</v>
      </c>
      <c r="F237" s="244" t="s">
        <v>676</v>
      </c>
      <c r="G237" s="244" t="s">
        <v>670</v>
      </c>
      <c r="H237" s="254">
        <v>20275.129999999888</v>
      </c>
      <c r="I237" s="254">
        <v>-24060.649999999907</v>
      </c>
      <c r="J237" s="254">
        <v>15689.400000000373</v>
      </c>
      <c r="K237" s="255">
        <v>-46107.14000000013</v>
      </c>
      <c r="L237" s="255">
        <v>60302.589999999851</v>
      </c>
      <c r="M237" s="255">
        <v>10159.169999999925</v>
      </c>
      <c r="N237" s="254">
        <v>-57555.14000000013</v>
      </c>
      <c r="O237" s="256">
        <v>-5812.9900000002235</v>
      </c>
      <c r="P237" s="256">
        <v>9933.839999999851</v>
      </c>
      <c r="Q237" s="256">
        <v>238.48000000044703</v>
      </c>
      <c r="R237" s="256">
        <v>53044.799999999814</v>
      </c>
      <c r="S237" s="256">
        <v>25304.189999999478</v>
      </c>
      <c r="T237" s="290">
        <f t="shared" si="2"/>
        <v>61411.679999999236</v>
      </c>
      <c r="U237" s="251"/>
      <c r="V237" s="250"/>
      <c r="W237" s="250"/>
      <c r="X237" s="251"/>
    </row>
    <row r="238" spans="1:24" s="252" customFormat="1" hidden="1">
      <c r="A238" s="292">
        <v>31250</v>
      </c>
      <c r="B238" s="293" t="s">
        <v>1476</v>
      </c>
      <c r="C238" s="294" t="s">
        <v>1479</v>
      </c>
      <c r="D238" s="294" t="s">
        <v>1480</v>
      </c>
      <c r="E238" s="245">
        <v>50004</v>
      </c>
      <c r="F238" s="244" t="s">
        <v>676</v>
      </c>
      <c r="G238" s="244" t="s">
        <v>670</v>
      </c>
      <c r="H238" s="254">
        <v>113411.38</v>
      </c>
      <c r="I238" s="254">
        <v>308252.74</v>
      </c>
      <c r="J238" s="254">
        <v>-3954.45</v>
      </c>
      <c r="K238" s="255">
        <v>-1349.6900000000023</v>
      </c>
      <c r="L238" s="255">
        <v>-1259.6699999999983</v>
      </c>
      <c r="M238" s="255">
        <v>-1340.71</v>
      </c>
      <c r="N238" s="254">
        <v>-2142.2799999999988</v>
      </c>
      <c r="O238" s="256">
        <v>-1820.4700000000012</v>
      </c>
      <c r="P238" s="256">
        <v>-1689.21</v>
      </c>
      <c r="Q238" s="256">
        <v>-2042.76</v>
      </c>
      <c r="R238" s="256">
        <v>-1664.8199999999997</v>
      </c>
      <c r="S238" s="256">
        <v>-4580.6100000000006</v>
      </c>
      <c r="T238" s="290">
        <f t="shared" si="2"/>
        <v>399819.44999999995</v>
      </c>
      <c r="U238" s="251"/>
      <c r="V238" s="250"/>
      <c r="W238" s="250"/>
      <c r="X238" s="251"/>
    </row>
    <row r="239" spans="1:24" s="252" customFormat="1" hidden="1">
      <c r="A239" s="292">
        <v>31240</v>
      </c>
      <c r="B239" s="293" t="s">
        <v>1481</v>
      </c>
      <c r="C239" s="294" t="s">
        <v>1482</v>
      </c>
      <c r="D239" s="294" t="s">
        <v>1483</v>
      </c>
      <c r="E239" s="245">
        <v>50003</v>
      </c>
      <c r="F239" s="244" t="s">
        <v>675</v>
      </c>
      <c r="G239" s="244" t="s">
        <v>670</v>
      </c>
      <c r="H239" s="254"/>
      <c r="I239" s="254"/>
      <c r="J239" s="254">
        <v>-74430.38</v>
      </c>
      <c r="K239" s="255">
        <f>-41227.5199999999-101702.25</f>
        <v>-142929.7699999999</v>
      </c>
      <c r="L239" s="255">
        <v>0</v>
      </c>
      <c r="M239" s="255">
        <v>0</v>
      </c>
      <c r="N239" s="254">
        <v>0</v>
      </c>
      <c r="O239" s="256">
        <v>0</v>
      </c>
      <c r="P239" s="256">
        <v>0</v>
      </c>
      <c r="Q239" s="256">
        <v>0</v>
      </c>
      <c r="R239" s="256">
        <v>0</v>
      </c>
      <c r="S239" s="256">
        <v>0</v>
      </c>
      <c r="T239" s="290">
        <f t="shared" si="2"/>
        <v>-217360.14999999991</v>
      </c>
      <c r="U239" s="251"/>
      <c r="V239" s="250"/>
      <c r="W239" s="250"/>
      <c r="X239" s="251"/>
    </row>
    <row r="240" spans="1:24" s="252" customFormat="1" hidden="1">
      <c r="A240" s="292">
        <v>31280</v>
      </c>
      <c r="B240" s="293" t="s">
        <v>1484</v>
      </c>
      <c r="C240" s="294" t="s">
        <v>1485</v>
      </c>
      <c r="D240" s="294" t="s">
        <v>1486</v>
      </c>
      <c r="E240" s="245">
        <v>51101</v>
      </c>
      <c r="F240" s="244" t="s">
        <v>684</v>
      </c>
      <c r="G240" s="244" t="s">
        <v>685</v>
      </c>
      <c r="H240" s="254">
        <v>-35554.410000000003</v>
      </c>
      <c r="I240" s="254">
        <v>32419.410000000003</v>
      </c>
      <c r="J240" s="254">
        <v>7337</v>
      </c>
      <c r="K240" s="255">
        <v>5994.1299999999974</v>
      </c>
      <c r="L240" s="255">
        <v>24277.339999999997</v>
      </c>
      <c r="M240" s="255">
        <v>-27998.14</v>
      </c>
      <c r="N240" s="254">
        <v>-26304</v>
      </c>
      <c r="O240" s="256">
        <v>16259</v>
      </c>
      <c r="P240" s="256">
        <v>-30678.069999999996</v>
      </c>
      <c r="Q240" s="256">
        <v>-30502.01</v>
      </c>
      <c r="R240" s="256">
        <v>-30037</v>
      </c>
      <c r="S240" s="256">
        <v>-39405.210000000006</v>
      </c>
      <c r="T240" s="290">
        <f t="shared" si="2"/>
        <v>-134191.96000000002</v>
      </c>
      <c r="U240" s="251"/>
      <c r="V240" s="250">
        <v>0</v>
      </c>
      <c r="W240" s="250"/>
      <c r="X240" s="251"/>
    </row>
    <row r="241" spans="1:24" s="252" customFormat="1" hidden="1">
      <c r="A241" s="292">
        <v>31280</v>
      </c>
      <c r="B241" s="293" t="s">
        <v>1484</v>
      </c>
      <c r="C241" s="294" t="s">
        <v>1487</v>
      </c>
      <c r="D241" s="294" t="s">
        <v>1488</v>
      </c>
      <c r="E241" s="245">
        <v>51101</v>
      </c>
      <c r="F241" s="244" t="s">
        <v>684</v>
      </c>
      <c r="G241" s="244" t="s">
        <v>685</v>
      </c>
      <c r="H241" s="254"/>
      <c r="I241" s="254">
        <v>-37715.879999999997</v>
      </c>
      <c r="J241" s="254">
        <v>-30536.25</v>
      </c>
      <c r="K241" s="255">
        <v>-9715.35</v>
      </c>
      <c r="L241" s="255">
        <v>-22102.25</v>
      </c>
      <c r="M241" s="255">
        <v>-12169.66</v>
      </c>
      <c r="N241" s="254">
        <v>-7674.6</v>
      </c>
      <c r="O241" s="256">
        <v>-19983.43</v>
      </c>
      <c r="P241" s="256">
        <v>-9717.760000000002</v>
      </c>
      <c r="Q241" s="256">
        <v>-21749.63</v>
      </c>
      <c r="R241" s="256">
        <v>-21777.86</v>
      </c>
      <c r="S241" s="256">
        <v>-32942.33</v>
      </c>
      <c r="T241" s="290">
        <f t="shared" si="2"/>
        <v>-226085.00000000006</v>
      </c>
      <c r="U241" s="251"/>
      <c r="V241" s="250" t="e">
        <v>#N/A</v>
      </c>
      <c r="W241" s="250"/>
      <c r="X241" s="251"/>
    </row>
    <row r="242" spans="1:24" s="252" customFormat="1" hidden="1">
      <c r="A242" s="292">
        <v>31280</v>
      </c>
      <c r="B242" s="293" t="s">
        <v>1484</v>
      </c>
      <c r="C242" s="294" t="s">
        <v>1489</v>
      </c>
      <c r="D242" s="294" t="s">
        <v>1490</v>
      </c>
      <c r="E242" s="245">
        <v>51101</v>
      </c>
      <c r="F242" s="244" t="s">
        <v>684</v>
      </c>
      <c r="G242" s="244" t="s">
        <v>685</v>
      </c>
      <c r="H242" s="254">
        <v>-4133.33</v>
      </c>
      <c r="I242" s="254">
        <v>-4133.33</v>
      </c>
      <c r="J242" s="254">
        <v>-4133.33</v>
      </c>
      <c r="K242" s="255">
        <v>-4133.33</v>
      </c>
      <c r="L242" s="255">
        <v>-4181.67</v>
      </c>
      <c r="M242" s="255">
        <v>-4181.67</v>
      </c>
      <c r="N242" s="254">
        <v>-4481.67</v>
      </c>
      <c r="O242" s="256">
        <v>-4168.17</v>
      </c>
      <c r="P242" s="256">
        <v>-4168.17</v>
      </c>
      <c r="Q242" s="256">
        <v>-4168.17</v>
      </c>
      <c r="R242" s="256">
        <v>-4168.17</v>
      </c>
      <c r="S242" s="256">
        <v>-4768.17</v>
      </c>
      <c r="T242" s="290">
        <f t="shared" si="2"/>
        <v>-50819.179999999986</v>
      </c>
      <c r="U242" s="251"/>
      <c r="V242" s="250">
        <v>0</v>
      </c>
      <c r="W242" s="250"/>
      <c r="X242" s="251"/>
    </row>
    <row r="243" spans="1:24" s="252" customFormat="1" hidden="1">
      <c r="A243" s="292">
        <v>31280</v>
      </c>
      <c r="B243" s="293" t="s">
        <v>1484</v>
      </c>
      <c r="C243" s="294" t="s">
        <v>1491</v>
      </c>
      <c r="D243" s="294" t="s">
        <v>1492</v>
      </c>
      <c r="E243" s="245">
        <v>51101</v>
      </c>
      <c r="F243" s="244" t="s">
        <v>684</v>
      </c>
      <c r="G243" s="244" t="s">
        <v>685</v>
      </c>
      <c r="H243" s="254">
        <v>-216866</v>
      </c>
      <c r="I243" s="254">
        <v>-118365</v>
      </c>
      <c r="J243" s="254">
        <v>-262574</v>
      </c>
      <c r="K243" s="255">
        <v>-74997</v>
      </c>
      <c r="L243" s="255">
        <v>-212797</v>
      </c>
      <c r="M243" s="255">
        <v>-137580</v>
      </c>
      <c r="N243" s="254">
        <v>-105222</v>
      </c>
      <c r="O243" s="256">
        <v>-158678</v>
      </c>
      <c r="P243" s="256">
        <v>-121532.61</v>
      </c>
      <c r="Q243" s="256">
        <v>-156814.78000000003</v>
      </c>
      <c r="R243" s="256">
        <v>-149404.60999999999</v>
      </c>
      <c r="S243" s="256">
        <v>-220376</v>
      </c>
      <c r="T243" s="290">
        <f t="shared" si="2"/>
        <v>-1935207</v>
      </c>
      <c r="U243" s="251"/>
      <c r="V243" s="250">
        <v>0</v>
      </c>
      <c r="W243" s="250"/>
      <c r="X243" s="251"/>
    </row>
    <row r="244" spans="1:24" s="252" customFormat="1" hidden="1">
      <c r="A244" s="292">
        <v>31280</v>
      </c>
      <c r="B244" s="293" t="s">
        <v>1484</v>
      </c>
      <c r="C244" s="294" t="s">
        <v>1493</v>
      </c>
      <c r="D244" s="294" t="s">
        <v>1494</v>
      </c>
      <c r="E244" s="245">
        <v>51101</v>
      </c>
      <c r="F244" s="244" t="s">
        <v>684</v>
      </c>
      <c r="G244" s="244" t="s">
        <v>685</v>
      </c>
      <c r="H244" s="254">
        <v>0</v>
      </c>
      <c r="I244" s="254"/>
      <c r="J244" s="254"/>
      <c r="K244" s="255"/>
      <c r="L244" s="255">
        <v>0</v>
      </c>
      <c r="M244" s="255"/>
      <c r="N244" s="254"/>
      <c r="O244" s="256"/>
      <c r="P244" s="256">
        <v>0</v>
      </c>
      <c r="Q244" s="256"/>
      <c r="R244" s="256"/>
      <c r="S244" s="256"/>
      <c r="T244" s="290">
        <f t="shared" si="2"/>
        <v>0</v>
      </c>
      <c r="U244" s="251"/>
      <c r="V244" s="250">
        <v>0</v>
      </c>
      <c r="W244" s="250"/>
      <c r="X244" s="251"/>
    </row>
    <row r="245" spans="1:24" s="252" customFormat="1" hidden="1">
      <c r="A245" s="292">
        <v>31280</v>
      </c>
      <c r="B245" s="293" t="s">
        <v>1484</v>
      </c>
      <c r="C245" s="294" t="s">
        <v>1495</v>
      </c>
      <c r="D245" s="294" t="s">
        <v>1496</v>
      </c>
      <c r="E245" s="245">
        <v>51102</v>
      </c>
      <c r="F245" s="244" t="s">
        <v>686</v>
      </c>
      <c r="G245" s="244" t="s">
        <v>685</v>
      </c>
      <c r="H245" s="254">
        <v>-22400.29</v>
      </c>
      <c r="I245" s="254">
        <v>-22100.29</v>
      </c>
      <c r="J245" s="254">
        <v>-22457.96</v>
      </c>
      <c r="K245" s="255">
        <v>-22457.96</v>
      </c>
      <c r="L245" s="255">
        <v>-22457.96</v>
      </c>
      <c r="M245" s="255">
        <v>-22457.96</v>
      </c>
      <c r="N245" s="254">
        <v>-21799.84</v>
      </c>
      <c r="O245" s="256">
        <v>-21799.84</v>
      </c>
      <c r="P245" s="256">
        <v>-21799.84</v>
      </c>
      <c r="Q245" s="256">
        <v>-22066.2</v>
      </c>
      <c r="R245" s="256">
        <v>-21886.32</v>
      </c>
      <c r="S245" s="256">
        <v>-26083.46</v>
      </c>
      <c r="T245" s="290">
        <f t="shared" si="2"/>
        <v>-269767.92</v>
      </c>
      <c r="U245" s="251"/>
      <c r="V245" s="250">
        <v>0</v>
      </c>
      <c r="W245" s="250"/>
      <c r="X245" s="251"/>
    </row>
    <row r="246" spans="1:24" s="252" customFormat="1" hidden="1">
      <c r="A246" s="292">
        <v>31280</v>
      </c>
      <c r="B246" s="293" t="s">
        <v>1484</v>
      </c>
      <c r="C246" s="294" t="s">
        <v>1497</v>
      </c>
      <c r="D246" s="294" t="s">
        <v>1498</v>
      </c>
      <c r="E246" s="245">
        <v>51102</v>
      </c>
      <c r="F246" s="244" t="s">
        <v>686</v>
      </c>
      <c r="G246" s="244" t="s">
        <v>685</v>
      </c>
      <c r="H246" s="254">
        <v>-1950</v>
      </c>
      <c r="I246" s="254">
        <v>-8224</v>
      </c>
      <c r="J246" s="254">
        <v>-8932</v>
      </c>
      <c r="K246" s="255">
        <v>-2223</v>
      </c>
      <c r="L246" s="255">
        <v>-6517</v>
      </c>
      <c r="M246" s="255">
        <v>-1950</v>
      </c>
      <c r="N246" s="254">
        <v>-1950</v>
      </c>
      <c r="O246" s="256">
        <v>-1950</v>
      </c>
      <c r="P246" s="256">
        <v>-5232.5</v>
      </c>
      <c r="Q246" s="256">
        <v>-9274</v>
      </c>
      <c r="R246" s="256">
        <v>-1950</v>
      </c>
      <c r="S246" s="256">
        <v>-9090</v>
      </c>
      <c r="T246" s="290">
        <f t="shared" si="2"/>
        <v>-59242.5</v>
      </c>
      <c r="U246" s="251"/>
      <c r="V246" s="250" t="s">
        <v>1499</v>
      </c>
      <c r="W246" s="250"/>
      <c r="X246" s="251"/>
    </row>
    <row r="247" spans="1:24" s="252" customFormat="1" hidden="1">
      <c r="A247" s="292">
        <v>31280</v>
      </c>
      <c r="B247" s="293" t="s">
        <v>1484</v>
      </c>
      <c r="C247" s="294" t="s">
        <v>1500</v>
      </c>
      <c r="D247" s="294" t="s">
        <v>1501</v>
      </c>
      <c r="E247" s="245">
        <v>51102</v>
      </c>
      <c r="F247" s="244" t="s">
        <v>686</v>
      </c>
      <c r="G247" s="244" t="s">
        <v>685</v>
      </c>
      <c r="H247" s="254">
        <v>-32499.65</v>
      </c>
      <c r="I247" s="254">
        <v>-19203.109999999997</v>
      </c>
      <c r="J247" s="254">
        <v>-27882.139999999996</v>
      </c>
      <c r="K247" s="255">
        <v>-17781.39</v>
      </c>
      <c r="L247" s="255">
        <v>-26398.749999999996</v>
      </c>
      <c r="M247" s="255">
        <v>-21679.3</v>
      </c>
      <c r="N247" s="254">
        <v>-14431.379999999997</v>
      </c>
      <c r="O247" s="256">
        <v>-21519.29</v>
      </c>
      <c r="P247" s="256">
        <v>-24962.269999999997</v>
      </c>
      <c r="Q247" s="256">
        <v>-13907.359999999997</v>
      </c>
      <c r="R247" s="256">
        <v>-21733.62</v>
      </c>
      <c r="S247" s="256">
        <v>-34626.800000000003</v>
      </c>
      <c r="T247" s="290">
        <f t="shared" si="2"/>
        <v>-276625.06</v>
      </c>
      <c r="U247" s="251"/>
      <c r="V247" s="250" t="s">
        <v>1499</v>
      </c>
      <c r="W247" s="250"/>
      <c r="X247" s="251"/>
    </row>
    <row r="248" spans="1:24" s="252" customFormat="1" hidden="1">
      <c r="A248" s="292">
        <v>31280</v>
      </c>
      <c r="B248" s="293" t="s">
        <v>1484</v>
      </c>
      <c r="C248" s="294" t="s">
        <v>1502</v>
      </c>
      <c r="D248" s="294" t="s">
        <v>1503</v>
      </c>
      <c r="E248" s="245">
        <v>51102</v>
      </c>
      <c r="F248" s="244" t="s">
        <v>686</v>
      </c>
      <c r="G248" s="244" t="s">
        <v>685</v>
      </c>
      <c r="H248" s="254">
        <v>-14726.65</v>
      </c>
      <c r="I248" s="254">
        <v>-15712.220000000001</v>
      </c>
      <c r="J248" s="254">
        <v>-23532.63</v>
      </c>
      <c r="K248" s="255">
        <v>-11502.919999999998</v>
      </c>
      <c r="L248" s="255">
        <v>-15913.130000000001</v>
      </c>
      <c r="M248" s="255">
        <v>-17280.530000000002</v>
      </c>
      <c r="N248" s="254">
        <v>-12668.54</v>
      </c>
      <c r="O248" s="256">
        <v>-19950</v>
      </c>
      <c r="P248" s="256">
        <v>-18280.550000000003</v>
      </c>
      <c r="Q248" s="256">
        <v>-19973</v>
      </c>
      <c r="R248" s="256">
        <v>-18442.43</v>
      </c>
      <c r="S248" s="256">
        <v>-30715.47</v>
      </c>
      <c r="T248" s="290">
        <f t="shared" si="2"/>
        <v>-218698.06999999998</v>
      </c>
      <c r="U248" s="251"/>
      <c r="V248" s="250" t="s">
        <v>1499</v>
      </c>
      <c r="W248" s="250"/>
      <c r="X248" s="251"/>
    </row>
    <row r="249" spans="1:24" s="252" customFormat="1" hidden="1">
      <c r="A249" s="292">
        <v>31280</v>
      </c>
      <c r="B249" s="293" t="s">
        <v>1484</v>
      </c>
      <c r="C249" s="294" t="s">
        <v>1504</v>
      </c>
      <c r="D249" s="294" t="s">
        <v>1505</v>
      </c>
      <c r="E249" s="297">
        <v>51101</v>
      </c>
      <c r="F249" s="298" t="s">
        <v>684</v>
      </c>
      <c r="G249" s="298" t="s">
        <v>685</v>
      </c>
      <c r="H249" s="254">
        <v>244392.30000000002</v>
      </c>
      <c r="I249" s="254">
        <v>107172.45999999999</v>
      </c>
      <c r="J249" s="254">
        <v>300598.10000000003</v>
      </c>
      <c r="K249" s="299">
        <v>139611.22</v>
      </c>
      <c r="L249" s="255">
        <v>242044.29</v>
      </c>
      <c r="M249" s="255">
        <v>236675.08000000002</v>
      </c>
      <c r="N249" s="254">
        <v>127856.34</v>
      </c>
      <c r="O249" s="256">
        <v>191035.22</v>
      </c>
      <c r="P249" s="256">
        <v>216172.27000000002</v>
      </c>
      <c r="Q249" s="256">
        <v>176270.69</v>
      </c>
      <c r="R249" s="256">
        <v>233065.21</v>
      </c>
      <c r="S249" s="256">
        <v>291284.81</v>
      </c>
      <c r="T249" s="290">
        <f t="shared" ref="T249:T313" si="3">SUM(H249:S249)</f>
        <v>2506177.9900000002</v>
      </c>
      <c r="U249" s="251"/>
      <c r="V249" s="250">
        <v>0</v>
      </c>
      <c r="W249" s="250"/>
      <c r="X249" s="251"/>
    </row>
    <row r="250" spans="1:24" s="252" customFormat="1" hidden="1">
      <c r="A250" s="292">
        <v>31280</v>
      </c>
      <c r="B250" s="293" t="s">
        <v>1484</v>
      </c>
      <c r="C250" s="294" t="s">
        <v>1506</v>
      </c>
      <c r="D250" s="294" t="s">
        <v>1507</v>
      </c>
      <c r="E250" s="245">
        <v>51101</v>
      </c>
      <c r="F250" s="244" t="s">
        <v>684</v>
      </c>
      <c r="G250" s="244" t="s">
        <v>685</v>
      </c>
      <c r="H250" s="254">
        <v>0</v>
      </c>
      <c r="I250" s="254">
        <v>0</v>
      </c>
      <c r="J250" s="254">
        <v>0</v>
      </c>
      <c r="K250" s="255">
        <v>0</v>
      </c>
      <c r="L250" s="255">
        <v>0</v>
      </c>
      <c r="M250" s="255">
        <v>0</v>
      </c>
      <c r="N250" s="254">
        <v>0</v>
      </c>
      <c r="O250" s="256">
        <v>0</v>
      </c>
      <c r="P250" s="256">
        <v>0</v>
      </c>
      <c r="Q250" s="256">
        <v>0</v>
      </c>
      <c r="R250" s="256">
        <v>0</v>
      </c>
      <c r="S250" s="256">
        <v>0</v>
      </c>
      <c r="T250" s="290">
        <f t="shared" si="3"/>
        <v>0</v>
      </c>
      <c r="U250" s="251"/>
      <c r="V250" s="250">
        <v>0</v>
      </c>
      <c r="W250" s="250"/>
      <c r="X250" s="251"/>
    </row>
    <row r="251" spans="1:24" s="252" customFormat="1" hidden="1">
      <c r="A251" s="292">
        <v>31241</v>
      </c>
      <c r="B251" s="293" t="s">
        <v>1508</v>
      </c>
      <c r="C251" s="294" t="s">
        <v>1509</v>
      </c>
      <c r="D251" s="294" t="s">
        <v>1510</v>
      </c>
      <c r="E251" s="245">
        <v>51102</v>
      </c>
      <c r="F251" s="244" t="s">
        <v>686</v>
      </c>
      <c r="G251" s="244" t="s">
        <v>685</v>
      </c>
      <c r="H251" s="254">
        <v>-7410</v>
      </c>
      <c r="I251" s="254">
        <v>-42352</v>
      </c>
      <c r="J251" s="254">
        <v>-39568</v>
      </c>
      <c r="K251" s="255">
        <f>-13041.33-47971.64</f>
        <v>-61012.97</v>
      </c>
      <c r="L251" s="255">
        <v>0</v>
      </c>
      <c r="M251" s="255">
        <v>0</v>
      </c>
      <c r="N251" s="254">
        <v>0</v>
      </c>
      <c r="O251" s="256">
        <v>0</v>
      </c>
      <c r="P251" s="256">
        <v>0</v>
      </c>
      <c r="Q251" s="256">
        <v>0</v>
      </c>
      <c r="R251" s="256">
        <v>-16272</v>
      </c>
      <c r="S251" s="256">
        <v>-13072</v>
      </c>
      <c r="T251" s="290">
        <f t="shared" si="3"/>
        <v>-179686.97</v>
      </c>
      <c r="U251" s="251"/>
      <c r="V251" s="250">
        <v>0</v>
      </c>
      <c r="W251" s="250"/>
      <c r="X251" s="251"/>
    </row>
    <row r="252" spans="1:24" s="252" customFormat="1" hidden="1">
      <c r="A252" s="292">
        <v>31290</v>
      </c>
      <c r="B252" s="293" t="s">
        <v>1511</v>
      </c>
      <c r="C252" s="294" t="s">
        <v>1512</v>
      </c>
      <c r="D252" s="294" t="s">
        <v>1513</v>
      </c>
      <c r="E252" s="245">
        <v>54007</v>
      </c>
      <c r="F252" s="244" t="s">
        <v>727</v>
      </c>
      <c r="G252" s="244" t="s">
        <v>720</v>
      </c>
      <c r="H252" s="254">
        <v>-3028.76</v>
      </c>
      <c r="I252" s="254">
        <v>-2989.8700000000008</v>
      </c>
      <c r="J252" s="254">
        <v>2561.16</v>
      </c>
      <c r="K252" s="255">
        <v>2028.6700000000019</v>
      </c>
      <c r="L252" s="255">
        <v>2042.8000000000011</v>
      </c>
      <c r="M252" s="255">
        <v>1230.4900000000016</v>
      </c>
      <c r="N252" s="254">
        <v>-1741.7300000000032</v>
      </c>
      <c r="O252" s="256">
        <v>55.919999999998254</v>
      </c>
      <c r="P252" s="256">
        <v>13472.719999999998</v>
      </c>
      <c r="Q252" s="256">
        <v>7511.16</v>
      </c>
      <c r="R252" s="256">
        <v>-16392.98</v>
      </c>
      <c r="S252" s="256">
        <v>1878.1700000000019</v>
      </c>
      <c r="T252" s="290">
        <f t="shared" si="3"/>
        <v>6627.75</v>
      </c>
      <c r="U252" s="251"/>
      <c r="V252" s="250"/>
      <c r="W252" s="250"/>
      <c r="X252" s="251"/>
    </row>
    <row r="253" spans="1:24" s="252" customFormat="1" hidden="1">
      <c r="A253" s="292">
        <v>31290</v>
      </c>
      <c r="B253" s="293" t="s">
        <v>1511</v>
      </c>
      <c r="C253" s="294" t="s">
        <v>1514</v>
      </c>
      <c r="D253" s="294" t="s">
        <v>1515</v>
      </c>
      <c r="E253" s="245">
        <v>54007</v>
      </c>
      <c r="F253" s="244" t="s">
        <v>727</v>
      </c>
      <c r="G253" s="244" t="s">
        <v>720</v>
      </c>
      <c r="H253" s="254">
        <v>2013.1499999999996</v>
      </c>
      <c r="I253" s="254">
        <v>1055.2299999999996</v>
      </c>
      <c r="J253" s="254">
        <v>1968.2200000000003</v>
      </c>
      <c r="K253" s="255">
        <v>738.81999999999971</v>
      </c>
      <c r="L253" s="255">
        <v>774.42000000000007</v>
      </c>
      <c r="M253" s="255">
        <v>-13769.130000000001</v>
      </c>
      <c r="N253" s="254">
        <v>12470.779999999999</v>
      </c>
      <c r="O253" s="256">
        <v>-10485.669999999998</v>
      </c>
      <c r="P253" s="256">
        <v>-1136.7799999999988</v>
      </c>
      <c r="Q253" s="256">
        <v>15405.7</v>
      </c>
      <c r="R253" s="256">
        <v>-886.26000000000022</v>
      </c>
      <c r="S253" s="256">
        <v>-1168.5200000000004</v>
      </c>
      <c r="T253" s="290">
        <f t="shared" si="3"/>
        <v>6979.9600000000009</v>
      </c>
      <c r="U253" s="251"/>
      <c r="V253" s="250"/>
      <c r="W253" s="250"/>
      <c r="X253" s="251"/>
    </row>
    <row r="254" spans="1:24" s="252" customFormat="1" hidden="1">
      <c r="A254" s="292">
        <v>31290</v>
      </c>
      <c r="B254" s="293" t="s">
        <v>1511</v>
      </c>
      <c r="C254" s="294" t="s">
        <v>1516</v>
      </c>
      <c r="D254" s="294" t="s">
        <v>1517</v>
      </c>
      <c r="E254" s="245">
        <v>54028</v>
      </c>
      <c r="F254" s="244" t="s">
        <v>748</v>
      </c>
      <c r="G254" s="244" t="s">
        <v>720</v>
      </c>
      <c r="H254" s="254">
        <v>14823.95</v>
      </c>
      <c r="I254" s="254">
        <v>23648.760000000002</v>
      </c>
      <c r="J254" s="254">
        <v>29161.899999999994</v>
      </c>
      <c r="K254" s="255">
        <v>10721.980000000003</v>
      </c>
      <c r="L254" s="255">
        <v>9911.3299999999945</v>
      </c>
      <c r="M254" s="255">
        <v>31952.790000000008</v>
      </c>
      <c r="N254" s="254">
        <v>11448.93</v>
      </c>
      <c r="O254" s="256">
        <v>34300.459999999992</v>
      </c>
      <c r="P254" s="256">
        <v>20952.460000000006</v>
      </c>
      <c r="Q254" s="256">
        <v>13280.21</v>
      </c>
      <c r="R254" s="256">
        <v>32611.490000000005</v>
      </c>
      <c r="S254" s="256">
        <v>19017.11</v>
      </c>
      <c r="T254" s="290">
        <f t="shared" si="3"/>
        <v>251831.37</v>
      </c>
      <c r="U254" s="251"/>
      <c r="V254" s="250"/>
      <c r="W254" s="250"/>
      <c r="X254" s="251"/>
    </row>
    <row r="255" spans="1:24" s="252" customFormat="1" hidden="1">
      <c r="A255" s="292">
        <v>31295</v>
      </c>
      <c r="B255" s="293" t="s">
        <v>1518</v>
      </c>
      <c r="C255" s="294"/>
      <c r="D255" s="294" t="s">
        <v>1519</v>
      </c>
      <c r="E255" s="245"/>
      <c r="F255" s="244"/>
      <c r="G255" s="244"/>
      <c r="H255" s="254">
        <v>0</v>
      </c>
      <c r="I255" s="254"/>
      <c r="J255" s="254"/>
      <c r="K255" s="255"/>
      <c r="L255" s="255">
        <v>0</v>
      </c>
      <c r="M255" s="255"/>
      <c r="N255" s="254"/>
      <c r="O255" s="256"/>
      <c r="P255" s="256">
        <v>0</v>
      </c>
      <c r="Q255" s="256"/>
      <c r="R255" s="256"/>
      <c r="S255" s="256">
        <v>0</v>
      </c>
      <c r="T255" s="290">
        <f t="shared" si="3"/>
        <v>0</v>
      </c>
      <c r="U255" s="251"/>
      <c r="V255" s="250"/>
      <c r="W255" s="250"/>
      <c r="X255" s="251"/>
    </row>
    <row r="256" spans="1:24" s="252" customFormat="1" hidden="1">
      <c r="A256" s="292">
        <v>31300</v>
      </c>
      <c r="B256" s="293" t="s">
        <v>1520</v>
      </c>
      <c r="C256" s="294" t="s">
        <v>1521</v>
      </c>
      <c r="D256" s="294" t="s">
        <v>1522</v>
      </c>
      <c r="E256" s="245">
        <v>50005</v>
      </c>
      <c r="F256" s="244" t="s">
        <v>677</v>
      </c>
      <c r="G256" s="244" t="s">
        <v>670</v>
      </c>
      <c r="H256" s="254">
        <v>3.3499999999999996</v>
      </c>
      <c r="I256" s="254">
        <v>-8979.3499999999767</v>
      </c>
      <c r="J256" s="254">
        <v>2721.62</v>
      </c>
      <c r="K256" s="255">
        <v>6.42</v>
      </c>
      <c r="L256" s="255">
        <v>8685.5599999999977</v>
      </c>
      <c r="M256" s="255">
        <v>167.80000000000018</v>
      </c>
      <c r="N256" s="254">
        <v>25.09</v>
      </c>
      <c r="O256" s="256">
        <v>-40.97</v>
      </c>
      <c r="P256" s="256">
        <v>187.95999999999998</v>
      </c>
      <c r="Q256" s="256">
        <v>-7939.9200000000019</v>
      </c>
      <c r="R256" s="256">
        <v>1214.99</v>
      </c>
      <c r="S256" s="256">
        <v>-26836.490000000005</v>
      </c>
      <c r="T256" s="290">
        <f t="shared" si="3"/>
        <v>-30783.939999999988</v>
      </c>
      <c r="U256" s="251"/>
      <c r="V256" s="250"/>
      <c r="W256" s="250"/>
      <c r="X256" s="251"/>
    </row>
    <row r="257" spans="1:24" s="252" customFormat="1" hidden="1">
      <c r="A257" s="292">
        <v>31310</v>
      </c>
      <c r="B257" s="293" t="s">
        <v>1523</v>
      </c>
      <c r="C257" s="294" t="s">
        <v>1524</v>
      </c>
      <c r="D257" s="294" t="s">
        <v>1525</v>
      </c>
      <c r="E257" s="245">
        <v>50004</v>
      </c>
      <c r="F257" s="244" t="s">
        <v>676</v>
      </c>
      <c r="G257" s="244" t="s">
        <v>670</v>
      </c>
      <c r="H257" s="254">
        <v>0.03</v>
      </c>
      <c r="I257" s="254">
        <v>0</v>
      </c>
      <c r="J257" s="254">
        <v>-0.01</v>
      </c>
      <c r="K257" s="255">
        <v>0</v>
      </c>
      <c r="L257" s="255">
        <v>-7.0000000000000007E-2</v>
      </c>
      <c r="M257" s="255">
        <v>0</v>
      </c>
      <c r="N257" s="254">
        <v>0</v>
      </c>
      <c r="O257" s="256">
        <v>0.01</v>
      </c>
      <c r="P257" s="256">
        <v>0.02</v>
      </c>
      <c r="Q257" s="256">
        <v>0.02</v>
      </c>
      <c r="R257" s="256">
        <v>0</v>
      </c>
      <c r="S257" s="256">
        <v>0</v>
      </c>
      <c r="T257" s="290">
        <f t="shared" si="3"/>
        <v>-6.9388939039072284E-18</v>
      </c>
      <c r="U257" s="251"/>
      <c r="V257" s="250"/>
      <c r="W257" s="250"/>
      <c r="X257" s="251"/>
    </row>
    <row r="258" spans="1:24" s="252" customFormat="1" hidden="1">
      <c r="A258" s="292">
        <v>31310</v>
      </c>
      <c r="B258" s="293" t="s">
        <v>1523</v>
      </c>
      <c r="C258" s="294" t="s">
        <v>1526</v>
      </c>
      <c r="D258" s="294" t="s">
        <v>1527</v>
      </c>
      <c r="E258" s="245">
        <v>50004</v>
      </c>
      <c r="F258" s="244" t="s">
        <v>676</v>
      </c>
      <c r="G258" s="244" t="s">
        <v>670</v>
      </c>
      <c r="H258" s="254">
        <v>0</v>
      </c>
      <c r="I258" s="254">
        <v>0</v>
      </c>
      <c r="J258" s="254">
        <v>0</v>
      </c>
      <c r="K258" s="255">
        <v>-1798.4499999999998</v>
      </c>
      <c r="L258" s="255">
        <v>0</v>
      </c>
      <c r="M258" s="255">
        <v>0</v>
      </c>
      <c r="N258" s="254">
        <v>-6527.13</v>
      </c>
      <c r="O258" s="256">
        <v>0</v>
      </c>
      <c r="P258" s="256">
        <v>0</v>
      </c>
      <c r="Q258" s="256">
        <v>-1008.5799999999999</v>
      </c>
      <c r="R258" s="256">
        <v>0</v>
      </c>
      <c r="S258" s="256">
        <v>-189.64000000000004</v>
      </c>
      <c r="T258" s="290">
        <f t="shared" si="3"/>
        <v>-9523.7999999999993</v>
      </c>
      <c r="U258" s="251"/>
      <c r="V258" s="250"/>
      <c r="W258" s="250"/>
      <c r="X258" s="251"/>
    </row>
    <row r="259" spans="1:24" s="252" customFormat="1" hidden="1">
      <c r="A259" s="292" t="s">
        <v>1528</v>
      </c>
      <c r="B259" s="293" t="s">
        <v>1523</v>
      </c>
      <c r="C259" s="294" t="s">
        <v>1529</v>
      </c>
      <c r="D259" s="294" t="s">
        <v>1530</v>
      </c>
      <c r="E259" s="245">
        <v>50004</v>
      </c>
      <c r="F259" s="244" t="s">
        <v>676</v>
      </c>
      <c r="G259" s="244" t="s">
        <v>670</v>
      </c>
      <c r="H259" s="254">
        <v>0</v>
      </c>
      <c r="I259" s="254">
        <v>-796.25</v>
      </c>
      <c r="J259" s="254">
        <v>7268.79</v>
      </c>
      <c r="K259" s="255">
        <v>0</v>
      </c>
      <c r="L259" s="255">
        <v>6567.4499999999971</v>
      </c>
      <c r="M259" s="255">
        <v>877.05</v>
      </c>
      <c r="N259" s="254">
        <v>-1263.8399999999992</v>
      </c>
      <c r="O259" s="256">
        <v>-14380.159999999996</v>
      </c>
      <c r="P259" s="256">
        <v>-39.78</v>
      </c>
      <c r="Q259" s="256">
        <v>-2105.4899999999998</v>
      </c>
      <c r="R259" s="256">
        <v>-2471.13</v>
      </c>
      <c r="S259" s="256">
        <v>-309.5</v>
      </c>
      <c r="T259" s="290">
        <f t="shared" si="3"/>
        <v>-6652.8599999999988</v>
      </c>
      <c r="U259" s="251"/>
      <c r="V259" s="250"/>
      <c r="W259" s="250"/>
      <c r="X259" s="251"/>
    </row>
    <row r="260" spans="1:24" s="252" customFormat="1" hidden="1">
      <c r="A260" s="292">
        <v>31320</v>
      </c>
      <c r="B260" s="293" t="s">
        <v>1531</v>
      </c>
      <c r="C260" s="294" t="s">
        <v>1532</v>
      </c>
      <c r="D260" s="294" t="s">
        <v>1533</v>
      </c>
      <c r="E260" s="245">
        <v>67000</v>
      </c>
      <c r="F260" s="244" t="s">
        <v>877</v>
      </c>
      <c r="G260" s="244" t="s">
        <v>140</v>
      </c>
      <c r="H260" s="254">
        <v>0</v>
      </c>
      <c r="I260" s="254">
        <v>0</v>
      </c>
      <c r="J260" s="254">
        <v>0</v>
      </c>
      <c r="K260" s="255">
        <v>0</v>
      </c>
      <c r="L260" s="255">
        <v>0</v>
      </c>
      <c r="M260" s="255">
        <v>0</v>
      </c>
      <c r="N260" s="254">
        <v>0</v>
      </c>
      <c r="O260" s="256">
        <v>0</v>
      </c>
      <c r="P260" s="256">
        <v>0</v>
      </c>
      <c r="Q260" s="256">
        <v>0</v>
      </c>
      <c r="R260" s="256">
        <v>0</v>
      </c>
      <c r="S260" s="256">
        <v>-127867.43</v>
      </c>
      <c r="T260" s="290">
        <f t="shared" si="3"/>
        <v>-127867.43</v>
      </c>
      <c r="U260" s="251"/>
      <c r="V260" s="250"/>
      <c r="W260" s="250"/>
      <c r="X260" s="251"/>
    </row>
    <row r="261" spans="1:24" s="252" customFormat="1" hidden="1">
      <c r="A261" s="292">
        <v>31340</v>
      </c>
      <c r="B261" s="293" t="s">
        <v>1534</v>
      </c>
      <c r="C261" s="294" t="s">
        <v>1535</v>
      </c>
      <c r="D261" s="294" t="s">
        <v>1536</v>
      </c>
      <c r="E261" s="245">
        <v>67000</v>
      </c>
      <c r="F261" s="244" t="s">
        <v>877</v>
      </c>
      <c r="G261" s="244" t="s">
        <v>140</v>
      </c>
      <c r="H261" s="254"/>
      <c r="I261" s="254"/>
      <c r="J261" s="254"/>
      <c r="K261" s="255"/>
      <c r="L261" s="255"/>
      <c r="M261" s="255"/>
      <c r="N261" s="254"/>
      <c r="O261" s="256"/>
      <c r="P261" s="256"/>
      <c r="Q261" s="256"/>
      <c r="R261" s="256"/>
      <c r="S261" s="256">
        <v>-5910.11</v>
      </c>
      <c r="T261" s="290">
        <v>-5910.11</v>
      </c>
      <c r="U261" s="251"/>
      <c r="V261" s="250"/>
      <c r="W261" s="250"/>
      <c r="X261" s="251"/>
    </row>
    <row r="262" spans="1:24" s="252" customFormat="1" hidden="1">
      <c r="A262" s="292">
        <v>32100</v>
      </c>
      <c r="B262" s="293" t="s">
        <v>1365</v>
      </c>
      <c r="C262" s="294" t="s">
        <v>1537</v>
      </c>
      <c r="D262" s="294" t="s">
        <v>1538</v>
      </c>
      <c r="E262" s="245">
        <v>69005</v>
      </c>
      <c r="F262" s="244" t="s">
        <v>896</v>
      </c>
      <c r="G262" s="244" t="s">
        <v>891</v>
      </c>
      <c r="H262" s="254">
        <v>0</v>
      </c>
      <c r="I262" s="254">
        <v>0</v>
      </c>
      <c r="J262" s="254">
        <v>0</v>
      </c>
      <c r="K262" s="255">
        <v>0</v>
      </c>
      <c r="L262" s="255">
        <v>0</v>
      </c>
      <c r="M262" s="255">
        <v>0</v>
      </c>
      <c r="N262" s="254">
        <v>0</v>
      </c>
      <c r="O262" s="256">
        <v>0</v>
      </c>
      <c r="P262" s="256">
        <v>0</v>
      </c>
      <c r="Q262" s="256">
        <v>0</v>
      </c>
      <c r="R262" s="256">
        <v>0</v>
      </c>
      <c r="S262" s="256">
        <v>2864637.74</v>
      </c>
      <c r="T262" s="290">
        <f t="shared" si="3"/>
        <v>2864637.74</v>
      </c>
      <c r="U262" s="251"/>
      <c r="V262" s="250"/>
      <c r="W262" s="250"/>
      <c r="X262" s="251"/>
    </row>
    <row r="263" spans="1:24" s="252" customFormat="1" hidden="1">
      <c r="A263" s="292">
        <v>32000</v>
      </c>
      <c r="B263" s="293" t="s">
        <v>1539</v>
      </c>
      <c r="C263" s="294" t="s">
        <v>1540</v>
      </c>
      <c r="D263" s="294" t="s">
        <v>1541</v>
      </c>
      <c r="E263" s="245">
        <v>69000</v>
      </c>
      <c r="F263" s="244" t="s">
        <v>890</v>
      </c>
      <c r="G263" s="244" t="s">
        <v>891</v>
      </c>
      <c r="H263" s="254">
        <v>0</v>
      </c>
      <c r="I263" s="254">
        <v>0</v>
      </c>
      <c r="J263" s="254">
        <v>0</v>
      </c>
      <c r="K263" s="255">
        <v>0</v>
      </c>
      <c r="L263" s="255">
        <v>0</v>
      </c>
      <c r="M263" s="255">
        <v>0</v>
      </c>
      <c r="N263" s="254">
        <v>0</v>
      </c>
      <c r="O263" s="256">
        <v>0</v>
      </c>
      <c r="P263" s="256">
        <v>0</v>
      </c>
      <c r="Q263" s="256">
        <v>1572500</v>
      </c>
      <c r="R263" s="256">
        <v>0</v>
      </c>
      <c r="S263" s="256">
        <v>0</v>
      </c>
      <c r="T263" s="290">
        <f t="shared" si="3"/>
        <v>1572500</v>
      </c>
      <c r="U263" s="251"/>
      <c r="V263" s="250"/>
      <c r="W263" s="250"/>
      <c r="X263" s="251"/>
    </row>
    <row r="264" spans="1:24" s="252" customFormat="1" hidden="1">
      <c r="A264" s="292">
        <v>32100</v>
      </c>
      <c r="B264" s="293" t="s">
        <v>1365</v>
      </c>
      <c r="C264" s="294" t="s">
        <v>1542</v>
      </c>
      <c r="D264" s="294" t="s">
        <v>1543</v>
      </c>
      <c r="E264" s="245">
        <v>70009</v>
      </c>
      <c r="F264" s="244" t="s">
        <v>918</v>
      </c>
      <c r="G264" s="244" t="s">
        <v>883</v>
      </c>
      <c r="H264" s="254">
        <v>0</v>
      </c>
      <c r="I264" s="254"/>
      <c r="J264" s="254"/>
      <c r="K264" s="255"/>
      <c r="L264" s="255">
        <v>0</v>
      </c>
      <c r="M264" s="255"/>
      <c r="N264" s="254"/>
      <c r="O264" s="256"/>
      <c r="P264" s="256">
        <v>0</v>
      </c>
      <c r="Q264" s="256"/>
      <c r="R264" s="256"/>
      <c r="S264" s="256"/>
      <c r="T264" s="290">
        <f t="shared" si="3"/>
        <v>0</v>
      </c>
      <c r="U264" s="251"/>
      <c r="V264" s="250"/>
      <c r="W264" s="250"/>
      <c r="X264" s="251"/>
    </row>
    <row r="265" spans="1:24" s="252" customFormat="1" hidden="1">
      <c r="A265" s="292">
        <v>32300</v>
      </c>
      <c r="B265" s="293" t="s">
        <v>1544</v>
      </c>
      <c r="C265" s="294" t="s">
        <v>1545</v>
      </c>
      <c r="D265" s="294" t="s">
        <v>1546</v>
      </c>
      <c r="E265" s="245">
        <v>69105</v>
      </c>
      <c r="F265" s="244" t="s">
        <v>907</v>
      </c>
      <c r="G265" s="244" t="s">
        <v>891</v>
      </c>
      <c r="H265" s="254">
        <v>0</v>
      </c>
      <c r="I265" s="254">
        <v>0</v>
      </c>
      <c r="J265" s="254">
        <v>0</v>
      </c>
      <c r="K265" s="255">
        <v>0</v>
      </c>
      <c r="L265" s="255">
        <v>0</v>
      </c>
      <c r="M265" s="255">
        <v>0</v>
      </c>
      <c r="N265" s="254">
        <v>0</v>
      </c>
      <c r="O265" s="256">
        <v>0</v>
      </c>
      <c r="P265" s="256">
        <v>0</v>
      </c>
      <c r="Q265" s="256">
        <v>0</v>
      </c>
      <c r="R265" s="256">
        <v>0</v>
      </c>
      <c r="S265" s="256">
        <v>-2864637.74</v>
      </c>
      <c r="T265" s="290">
        <f t="shared" si="3"/>
        <v>-2864637.74</v>
      </c>
      <c r="U265" s="251"/>
      <c r="V265" s="250"/>
      <c r="W265" s="250"/>
      <c r="X265" s="251"/>
    </row>
    <row r="266" spans="1:24" s="252" customFormat="1" hidden="1">
      <c r="A266" s="292">
        <v>32300</v>
      </c>
      <c r="B266" s="293" t="s">
        <v>1544</v>
      </c>
      <c r="C266" s="294" t="s">
        <v>1547</v>
      </c>
      <c r="D266" s="294" t="s">
        <v>1548</v>
      </c>
      <c r="E266" s="245">
        <v>71006</v>
      </c>
      <c r="F266" s="244" t="s">
        <v>925</v>
      </c>
      <c r="G266" s="244" t="s">
        <v>883</v>
      </c>
      <c r="H266" s="254">
        <v>0</v>
      </c>
      <c r="I266" s="254"/>
      <c r="J266" s="254"/>
      <c r="K266" s="255"/>
      <c r="L266" s="255">
        <v>0</v>
      </c>
      <c r="M266" s="255"/>
      <c r="N266" s="254"/>
      <c r="O266" s="256"/>
      <c r="P266" s="256">
        <v>0</v>
      </c>
      <c r="Q266" s="256"/>
      <c r="R266" s="256"/>
      <c r="S266" s="256"/>
      <c r="T266" s="290">
        <f t="shared" si="3"/>
        <v>0</v>
      </c>
      <c r="U266" s="251"/>
      <c r="V266" s="250"/>
      <c r="W266" s="250"/>
      <c r="X266" s="251"/>
    </row>
    <row r="267" spans="1:24" s="252" customFormat="1" hidden="1">
      <c r="A267" s="292">
        <v>32200</v>
      </c>
      <c r="B267" s="293" t="s">
        <v>1549</v>
      </c>
      <c r="C267" s="294" t="s">
        <v>1550</v>
      </c>
      <c r="D267" s="294" t="s">
        <v>1551</v>
      </c>
      <c r="E267" s="245">
        <v>69100</v>
      </c>
      <c r="F267" s="244" t="s">
        <v>901</v>
      </c>
      <c r="G267" s="244" t="s">
        <v>891</v>
      </c>
      <c r="H267" s="254">
        <v>0</v>
      </c>
      <c r="I267" s="254">
        <v>0</v>
      </c>
      <c r="J267" s="254">
        <v>0</v>
      </c>
      <c r="K267" s="255">
        <v>0</v>
      </c>
      <c r="L267" s="255">
        <v>0</v>
      </c>
      <c r="M267" s="255">
        <v>0</v>
      </c>
      <c r="N267" s="254">
        <v>0</v>
      </c>
      <c r="O267" s="256">
        <v>0</v>
      </c>
      <c r="P267" s="256">
        <v>0</v>
      </c>
      <c r="Q267" s="256">
        <v>-1572500</v>
      </c>
      <c r="R267" s="256">
        <v>0</v>
      </c>
      <c r="S267" s="256">
        <v>0</v>
      </c>
      <c r="T267" s="290">
        <f t="shared" si="3"/>
        <v>-1572500</v>
      </c>
      <c r="U267" s="251"/>
      <c r="V267" s="250"/>
      <c r="W267" s="250"/>
      <c r="X267" s="251"/>
    </row>
    <row r="268" spans="1:24" s="252" customFormat="1" hidden="1">
      <c r="A268" s="292">
        <v>33620</v>
      </c>
      <c r="B268" s="293" t="s">
        <v>1552</v>
      </c>
      <c r="C268" s="294" t="s">
        <v>1553</v>
      </c>
      <c r="D268" s="294" t="s">
        <v>1554</v>
      </c>
      <c r="E268" s="245">
        <v>53000</v>
      </c>
      <c r="F268" s="244" t="s">
        <v>715</v>
      </c>
      <c r="G268" s="244" t="s">
        <v>715</v>
      </c>
      <c r="H268" s="254">
        <v>-156326.71</v>
      </c>
      <c r="I268" s="254">
        <v>-156340.75</v>
      </c>
      <c r="J268" s="254">
        <v>-156522.60999999999</v>
      </c>
      <c r="K268" s="255">
        <v>-156522.66</v>
      </c>
      <c r="L268" s="255">
        <v>-156522.62</v>
      </c>
      <c r="M268" s="255">
        <v>-156522.66</v>
      </c>
      <c r="N268" s="254">
        <v>-156522.60999999999</v>
      </c>
      <c r="O268" s="256">
        <v>-159725.29999999999</v>
      </c>
      <c r="P268" s="256">
        <v>-156394.50999999998</v>
      </c>
      <c r="Q268" s="256">
        <v>-156417.47999999998</v>
      </c>
      <c r="R268" s="256">
        <v>-156631.41999999998</v>
      </c>
      <c r="S268" s="256">
        <v>-156631.46</v>
      </c>
      <c r="T268" s="290">
        <f t="shared" si="3"/>
        <v>-1881080.79</v>
      </c>
      <c r="U268" s="251"/>
      <c r="V268" s="250"/>
      <c r="W268" s="250"/>
      <c r="X268" s="251"/>
    </row>
    <row r="269" spans="1:24" s="252" customFormat="1" hidden="1">
      <c r="A269" s="292">
        <v>33620</v>
      </c>
      <c r="B269" s="293" t="s">
        <v>1552</v>
      </c>
      <c r="C269" s="294" t="s">
        <v>1555</v>
      </c>
      <c r="D269" s="294" t="s">
        <v>1556</v>
      </c>
      <c r="E269" s="245">
        <v>53000</v>
      </c>
      <c r="F269" s="244" t="s">
        <v>715</v>
      </c>
      <c r="G269" s="244" t="s">
        <v>715</v>
      </c>
      <c r="H269" s="254">
        <v>0</v>
      </c>
      <c r="I269" s="254"/>
      <c r="J269" s="254"/>
      <c r="K269" s="255"/>
      <c r="L269" s="255">
        <v>0</v>
      </c>
      <c r="M269" s="255"/>
      <c r="N269" s="254"/>
      <c r="O269" s="256"/>
      <c r="P269" s="256">
        <v>0</v>
      </c>
      <c r="Q269" s="256"/>
      <c r="R269" s="256"/>
      <c r="S269" s="256"/>
      <c r="T269" s="290">
        <f t="shared" si="3"/>
        <v>0</v>
      </c>
      <c r="U269" s="251"/>
      <c r="V269" s="250"/>
      <c r="W269" s="250"/>
      <c r="X269" s="251"/>
    </row>
    <row r="270" spans="1:24" s="252" customFormat="1" hidden="1">
      <c r="A270" s="292">
        <v>33620</v>
      </c>
      <c r="B270" s="293" t="s">
        <v>1552</v>
      </c>
      <c r="C270" s="294" t="s">
        <v>1557</v>
      </c>
      <c r="D270" s="294" t="s">
        <v>1558</v>
      </c>
      <c r="E270" s="245">
        <v>53000</v>
      </c>
      <c r="F270" s="244" t="s">
        <v>715</v>
      </c>
      <c r="G270" s="244" t="s">
        <v>715</v>
      </c>
      <c r="H270" s="254">
        <v>0</v>
      </c>
      <c r="I270" s="254"/>
      <c r="J270" s="254"/>
      <c r="K270" s="255"/>
      <c r="L270" s="255">
        <v>0</v>
      </c>
      <c r="M270" s="255"/>
      <c r="N270" s="254"/>
      <c r="O270" s="256"/>
      <c r="P270" s="256">
        <v>0</v>
      </c>
      <c r="Q270" s="256"/>
      <c r="R270" s="256"/>
      <c r="S270" s="256"/>
      <c r="T270" s="290">
        <f t="shared" si="3"/>
        <v>0</v>
      </c>
      <c r="U270" s="251"/>
      <c r="V270" s="250"/>
      <c r="W270" s="250"/>
      <c r="X270" s="251"/>
    </row>
    <row r="271" spans="1:24" s="252" customFormat="1" hidden="1">
      <c r="A271" s="292">
        <v>33330</v>
      </c>
      <c r="B271" s="293"/>
      <c r="C271" s="294" t="s">
        <v>1559</v>
      </c>
      <c r="D271" s="294" t="s">
        <v>1560</v>
      </c>
      <c r="E271" s="245">
        <v>53000</v>
      </c>
      <c r="F271" s="244" t="s">
        <v>715</v>
      </c>
      <c r="G271" s="244" t="s">
        <v>715</v>
      </c>
      <c r="H271" s="254">
        <v>-75430.710000000006</v>
      </c>
      <c r="I271" s="254">
        <v>-35105.949999999997</v>
      </c>
      <c r="J271" s="254">
        <v>-68411.460000000006</v>
      </c>
      <c r="K271" s="255">
        <v>-20376.14</v>
      </c>
      <c r="L271" s="255">
        <v>-34333.960000000006</v>
      </c>
      <c r="M271" s="255">
        <v>-29867.33</v>
      </c>
      <c r="N271" s="254">
        <v>-32987.89</v>
      </c>
      <c r="O271" s="256">
        <v>-34082.119999999995</v>
      </c>
      <c r="P271" s="256">
        <v>-36398.68</v>
      </c>
      <c r="Q271" s="256">
        <v>-31570.780000000002</v>
      </c>
      <c r="R271" s="256">
        <v>-34131.5</v>
      </c>
      <c r="S271" s="256">
        <v>-29185.050000000003</v>
      </c>
      <c r="T271" s="290">
        <f t="shared" si="3"/>
        <v>-461881.57000000007</v>
      </c>
      <c r="U271" s="251"/>
      <c r="V271" s="250"/>
      <c r="W271" s="250"/>
      <c r="X271" s="251"/>
    </row>
    <row r="272" spans="1:24" s="252" customFormat="1" hidden="1">
      <c r="A272" s="292">
        <v>33640</v>
      </c>
      <c r="B272" s="293" t="s">
        <v>1561</v>
      </c>
      <c r="C272" s="294" t="s">
        <v>1562</v>
      </c>
      <c r="D272" s="294" t="s">
        <v>1563</v>
      </c>
      <c r="E272" s="245">
        <v>53000</v>
      </c>
      <c r="F272" s="244" t="s">
        <v>715</v>
      </c>
      <c r="G272" s="244" t="s">
        <v>715</v>
      </c>
      <c r="H272" s="254">
        <v>-583.33000000000004</v>
      </c>
      <c r="I272" s="254">
        <v>-583.33000000000004</v>
      </c>
      <c r="J272" s="254">
        <v>-1180.67</v>
      </c>
      <c r="K272" s="255">
        <v>-1180.67</v>
      </c>
      <c r="L272" s="255">
        <v>-1180.67</v>
      </c>
      <c r="M272" s="255">
        <v>-1180.67</v>
      </c>
      <c r="N272" s="254">
        <v>-1180.67</v>
      </c>
      <c r="O272" s="256">
        <v>-1180.67</v>
      </c>
      <c r="P272" s="256">
        <v>-3708.58</v>
      </c>
      <c r="Q272" s="256">
        <v>-1541.81</v>
      </c>
      <c r="R272" s="256">
        <v>-1541.8</v>
      </c>
      <c r="S272" s="256">
        <v>-1541.81</v>
      </c>
      <c r="T272" s="290">
        <f t="shared" si="3"/>
        <v>-16584.68</v>
      </c>
      <c r="U272" s="251"/>
      <c r="V272" s="250"/>
      <c r="W272" s="250"/>
      <c r="X272" s="251"/>
    </row>
    <row r="273" spans="1:24" s="252" customFormat="1" hidden="1">
      <c r="A273" s="292">
        <v>33630</v>
      </c>
      <c r="B273" s="293" t="s">
        <v>1564</v>
      </c>
      <c r="C273" s="294" t="s">
        <v>1565</v>
      </c>
      <c r="D273" s="294" t="s">
        <v>1566</v>
      </c>
      <c r="E273" s="245">
        <v>53000</v>
      </c>
      <c r="F273" s="244" t="s">
        <v>715</v>
      </c>
      <c r="G273" s="244" t="s">
        <v>715</v>
      </c>
      <c r="H273" s="254">
        <v>-167317.84</v>
      </c>
      <c r="I273" s="254">
        <v>-167317.84</v>
      </c>
      <c r="J273" s="254">
        <v>-233815.81</v>
      </c>
      <c r="K273" s="255">
        <v>-233815.79</v>
      </c>
      <c r="L273" s="255">
        <v>-233815.81</v>
      </c>
      <c r="M273" s="255">
        <v>-233815.8</v>
      </c>
      <c r="N273" s="254">
        <v>-233815.79</v>
      </c>
      <c r="O273" s="256">
        <v>-307230.26</v>
      </c>
      <c r="P273" s="256">
        <v>-231212.29</v>
      </c>
      <c r="Q273" s="256">
        <v>-231212.33</v>
      </c>
      <c r="R273" s="256">
        <v>-231212.28</v>
      </c>
      <c r="S273" s="256">
        <v>-231212.33000000002</v>
      </c>
      <c r="T273" s="290">
        <f t="shared" si="3"/>
        <v>-2735794.17</v>
      </c>
      <c r="U273" s="251"/>
      <c r="V273" s="250"/>
      <c r="W273" s="250"/>
      <c r="X273" s="251"/>
    </row>
    <row r="274" spans="1:24" s="252" customFormat="1" hidden="1">
      <c r="A274" s="292">
        <v>33610</v>
      </c>
      <c r="B274" s="293" t="s">
        <v>1567</v>
      </c>
      <c r="C274" s="294" t="s">
        <v>1568</v>
      </c>
      <c r="D274" s="294" t="s">
        <v>1569</v>
      </c>
      <c r="E274" s="245">
        <v>53000</v>
      </c>
      <c r="F274" s="244" t="s">
        <v>715</v>
      </c>
      <c r="G274" s="244" t="s">
        <v>715</v>
      </c>
      <c r="H274" s="254">
        <v>-51141.65</v>
      </c>
      <c r="I274" s="254">
        <v>-51141.67</v>
      </c>
      <c r="J274" s="254">
        <v>-51141.65</v>
      </c>
      <c r="K274" s="255">
        <v>-51141.67</v>
      </c>
      <c r="L274" s="255">
        <v>-51141.65</v>
      </c>
      <c r="M274" s="255">
        <v>-51141.67</v>
      </c>
      <c r="N274" s="254">
        <v>-51141.65</v>
      </c>
      <c r="O274" s="256">
        <v>-51141.67</v>
      </c>
      <c r="P274" s="256">
        <v>-51141.65</v>
      </c>
      <c r="Q274" s="256">
        <v>-51141.68</v>
      </c>
      <c r="R274" s="256">
        <v>-51141.64</v>
      </c>
      <c r="S274" s="256">
        <v>-51141.68</v>
      </c>
      <c r="T274" s="290">
        <f t="shared" si="3"/>
        <v>-613699.93000000005</v>
      </c>
      <c r="U274" s="251"/>
      <c r="V274" s="250"/>
      <c r="W274" s="250"/>
      <c r="X274" s="251"/>
    </row>
    <row r="275" spans="1:24" s="252" customFormat="1" hidden="1">
      <c r="A275" s="292">
        <v>33650</v>
      </c>
      <c r="B275" s="293" t="s">
        <v>1570</v>
      </c>
      <c r="C275" s="294" t="s">
        <v>1571</v>
      </c>
      <c r="D275" s="294" t="s">
        <v>1572</v>
      </c>
      <c r="E275" s="245">
        <v>53000</v>
      </c>
      <c r="F275" s="244" t="s">
        <v>715</v>
      </c>
      <c r="G275" s="244" t="s">
        <v>715</v>
      </c>
      <c r="H275" s="254">
        <v>-61528.88</v>
      </c>
      <c r="I275" s="254">
        <v>-61529.4</v>
      </c>
      <c r="J275" s="254">
        <v>-61720.47</v>
      </c>
      <c r="K275" s="255">
        <v>-61720.99</v>
      </c>
      <c r="L275" s="255">
        <v>-61720.47</v>
      </c>
      <c r="M275" s="255">
        <v>-61720.97</v>
      </c>
      <c r="N275" s="254">
        <v>-61599.08</v>
      </c>
      <c r="O275" s="256">
        <v>-61599.58</v>
      </c>
      <c r="P275" s="256">
        <v>-61599.07</v>
      </c>
      <c r="Q275" s="256">
        <v>-61599.59</v>
      </c>
      <c r="R275" s="256">
        <v>-61599.05</v>
      </c>
      <c r="S275" s="256">
        <v>-61599.62</v>
      </c>
      <c r="T275" s="290">
        <f t="shared" si="3"/>
        <v>-739537.16999999993</v>
      </c>
      <c r="U275" s="251"/>
      <c r="V275" s="250"/>
      <c r="W275" s="250"/>
      <c r="X275" s="251"/>
    </row>
    <row r="276" spans="1:24" s="252" customFormat="1" hidden="1">
      <c r="A276" s="292">
        <v>33660</v>
      </c>
      <c r="B276" s="293" t="s">
        <v>1573</v>
      </c>
      <c r="C276" s="294" t="s">
        <v>1574</v>
      </c>
      <c r="D276" s="294" t="s">
        <v>1575</v>
      </c>
      <c r="E276" s="245">
        <v>53000</v>
      </c>
      <c r="F276" s="244" t="s">
        <v>715</v>
      </c>
      <c r="G276" s="244" t="s">
        <v>715</v>
      </c>
      <c r="H276" s="254">
        <v>-5105.9799999999996</v>
      </c>
      <c r="I276" s="254">
        <v>-5105.9799999999996</v>
      </c>
      <c r="J276" s="254">
        <v>-5105.9799999999996</v>
      </c>
      <c r="K276" s="255">
        <v>-5105.9799999999996</v>
      </c>
      <c r="L276" s="255">
        <v>-5105.9799999999996</v>
      </c>
      <c r="M276" s="255">
        <v>-5105.9799999999996</v>
      </c>
      <c r="N276" s="254">
        <v>-5105.9799999999996</v>
      </c>
      <c r="O276" s="256">
        <v>-5105.99</v>
      </c>
      <c r="P276" s="256">
        <v>-5105.9799999999996</v>
      </c>
      <c r="Q276" s="256">
        <v>-5105.99</v>
      </c>
      <c r="R276" s="256">
        <v>-5105.9799999999996</v>
      </c>
      <c r="S276" s="256">
        <v>-5105.99</v>
      </c>
      <c r="T276" s="290">
        <f t="shared" si="3"/>
        <v>-61271.79</v>
      </c>
      <c r="U276" s="251"/>
      <c r="V276" s="250"/>
      <c r="W276" s="250"/>
      <c r="X276" s="251"/>
    </row>
    <row r="277" spans="1:24" s="252" customFormat="1" hidden="1">
      <c r="A277" s="292">
        <v>33670</v>
      </c>
      <c r="B277" s="293" t="s">
        <v>1576</v>
      </c>
      <c r="C277" s="294" t="s">
        <v>1577</v>
      </c>
      <c r="D277" s="294" t="s">
        <v>1578</v>
      </c>
      <c r="E277" s="245">
        <v>53000</v>
      </c>
      <c r="F277" s="244" t="s">
        <v>715</v>
      </c>
      <c r="G277" s="244" t="s">
        <v>715</v>
      </c>
      <c r="H277" s="254">
        <v>-34117.51</v>
      </c>
      <c r="I277" s="254">
        <v>-34117.53</v>
      </c>
      <c r="J277" s="254">
        <v>-34117.51</v>
      </c>
      <c r="K277" s="255">
        <v>-34117.51</v>
      </c>
      <c r="L277" s="255">
        <v>-34117.5</v>
      </c>
      <c r="M277" s="255">
        <v>-34117.51</v>
      </c>
      <c r="N277" s="254">
        <v>-34117.5</v>
      </c>
      <c r="O277" s="256">
        <v>-34117.51</v>
      </c>
      <c r="P277" s="256">
        <v>-34117.5</v>
      </c>
      <c r="Q277" s="256">
        <v>-34117.53</v>
      </c>
      <c r="R277" s="256">
        <v>-34117.51</v>
      </c>
      <c r="S277" s="256">
        <v>-34117.53</v>
      </c>
      <c r="T277" s="290">
        <f t="shared" si="3"/>
        <v>-409410.15</v>
      </c>
      <c r="U277" s="251"/>
      <c r="V277" s="250"/>
      <c r="W277" s="250"/>
      <c r="X277" s="251"/>
    </row>
    <row r="278" spans="1:24" s="252" customFormat="1" ht="16.350000000000001" hidden="1" customHeight="1">
      <c r="A278" s="292">
        <v>33480</v>
      </c>
      <c r="B278" s="293" t="s">
        <v>1579</v>
      </c>
      <c r="C278" s="294" t="s">
        <v>1580</v>
      </c>
      <c r="D278" s="294" t="s">
        <v>1581</v>
      </c>
      <c r="E278" s="245">
        <v>65600</v>
      </c>
      <c r="F278" s="244" t="s">
        <v>835</v>
      </c>
      <c r="G278" s="244" t="s">
        <v>800</v>
      </c>
      <c r="H278" s="246">
        <v>-332343.81</v>
      </c>
      <c r="I278" s="246">
        <v>-332343.8</v>
      </c>
      <c r="J278" s="246">
        <v>-414948.62999999995</v>
      </c>
      <c r="K278" s="247">
        <v>-420316.1</v>
      </c>
      <c r="L278" s="247">
        <v>-420316.1</v>
      </c>
      <c r="M278" s="247">
        <v>-420316.1</v>
      </c>
      <c r="N278" s="246">
        <v>-420316.1</v>
      </c>
      <c r="O278" s="248">
        <v>-789403.34</v>
      </c>
      <c r="P278" s="248">
        <v>-383407.38</v>
      </c>
      <c r="Q278" s="248">
        <v>-383407.37</v>
      </c>
      <c r="R278" s="248">
        <v>-383407.38</v>
      </c>
      <c r="S278" s="248">
        <v>-262442.08999999997</v>
      </c>
      <c r="T278" s="290">
        <f t="shared" si="3"/>
        <v>-4962968.1999999993</v>
      </c>
      <c r="U278" s="250" t="s">
        <v>945</v>
      </c>
      <c r="V278" s="250"/>
      <c r="W278" s="250"/>
      <c r="X278" s="251"/>
    </row>
    <row r="279" spans="1:24" s="252" customFormat="1" hidden="1">
      <c r="A279" s="292">
        <v>33600</v>
      </c>
      <c r="B279" s="293" t="s">
        <v>1582</v>
      </c>
      <c r="C279" s="294" t="s">
        <v>1583</v>
      </c>
      <c r="D279" s="294" t="s">
        <v>1584</v>
      </c>
      <c r="E279" s="245">
        <v>65200</v>
      </c>
      <c r="F279" s="244" t="s">
        <v>799</v>
      </c>
      <c r="G279" s="244" t="s">
        <v>800</v>
      </c>
      <c r="H279" s="254">
        <v>0</v>
      </c>
      <c r="I279" s="254">
        <v>0</v>
      </c>
      <c r="J279" s="254">
        <v>0</v>
      </c>
      <c r="K279" s="255">
        <v>0</v>
      </c>
      <c r="L279" s="255">
        <v>0</v>
      </c>
      <c r="M279" s="255">
        <v>0</v>
      </c>
      <c r="N279" s="254">
        <v>0</v>
      </c>
      <c r="O279" s="256">
        <v>0</v>
      </c>
      <c r="P279" s="256">
        <v>0</v>
      </c>
      <c r="Q279" s="256">
        <v>0</v>
      </c>
      <c r="R279" s="256">
        <v>0</v>
      </c>
      <c r="S279" s="256">
        <v>0</v>
      </c>
      <c r="T279" s="290">
        <f t="shared" si="3"/>
        <v>0</v>
      </c>
      <c r="U279" s="251"/>
      <c r="V279" s="250"/>
      <c r="W279" s="250"/>
      <c r="X279" s="251"/>
    </row>
    <row r="280" spans="1:24" s="252" customFormat="1" hidden="1">
      <c r="A280" s="292">
        <v>33520</v>
      </c>
      <c r="B280" s="293" t="s">
        <v>1585</v>
      </c>
      <c r="C280" s="294" t="s">
        <v>1586</v>
      </c>
      <c r="D280" s="294" t="s">
        <v>1587</v>
      </c>
      <c r="E280" s="245">
        <v>67000</v>
      </c>
      <c r="F280" s="244" t="s">
        <v>877</v>
      </c>
      <c r="G280" s="244" t="s">
        <v>877</v>
      </c>
      <c r="H280" s="254">
        <v>0</v>
      </c>
      <c r="I280" s="254"/>
      <c r="J280" s="254"/>
      <c r="K280" s="255"/>
      <c r="L280" s="255">
        <v>0</v>
      </c>
      <c r="M280" s="255"/>
      <c r="N280" s="254"/>
      <c r="O280" s="256"/>
      <c r="P280" s="256">
        <v>0</v>
      </c>
      <c r="Q280" s="256"/>
      <c r="R280" s="256"/>
      <c r="S280" s="256"/>
      <c r="T280" s="290">
        <f t="shared" si="3"/>
        <v>0</v>
      </c>
      <c r="U280" s="251"/>
      <c r="V280" s="250"/>
      <c r="W280" s="250"/>
      <c r="X280" s="251"/>
    </row>
    <row r="281" spans="1:24" s="252" customFormat="1" hidden="1">
      <c r="A281" s="292">
        <v>33730</v>
      </c>
      <c r="B281" s="293" t="s">
        <v>1588</v>
      </c>
      <c r="C281" s="294" t="s">
        <v>1589</v>
      </c>
      <c r="D281" s="294" t="s">
        <v>1590</v>
      </c>
      <c r="E281" s="245">
        <v>67000</v>
      </c>
      <c r="F281" s="244" t="s">
        <v>877</v>
      </c>
      <c r="G281" s="244" t="s">
        <v>877</v>
      </c>
      <c r="H281" s="254">
        <v>0</v>
      </c>
      <c r="I281" s="254"/>
      <c r="J281" s="254"/>
      <c r="K281" s="255"/>
      <c r="L281" s="255">
        <v>0</v>
      </c>
      <c r="M281" s="255"/>
      <c r="N281" s="254"/>
      <c r="O281" s="256"/>
      <c r="P281" s="256">
        <v>0</v>
      </c>
      <c r="Q281" s="256"/>
      <c r="R281" s="256"/>
      <c r="S281" s="256"/>
      <c r="T281" s="290">
        <f t="shared" si="3"/>
        <v>0</v>
      </c>
      <c r="U281" s="251"/>
      <c r="V281" s="250"/>
      <c r="W281" s="250"/>
      <c r="X281" s="251"/>
    </row>
    <row r="282" spans="1:24" s="252" customFormat="1" hidden="1">
      <c r="A282" s="292">
        <v>33740</v>
      </c>
      <c r="B282" s="293" t="s">
        <v>1591</v>
      </c>
      <c r="C282" s="294" t="s">
        <v>1592</v>
      </c>
      <c r="D282" s="294" t="s">
        <v>1593</v>
      </c>
      <c r="E282" s="245">
        <v>67000</v>
      </c>
      <c r="F282" s="244" t="s">
        <v>877</v>
      </c>
      <c r="G282" s="244" t="s">
        <v>877</v>
      </c>
      <c r="H282" s="254">
        <v>0</v>
      </c>
      <c r="I282" s="254"/>
      <c r="J282" s="254"/>
      <c r="K282" s="255"/>
      <c r="L282" s="255">
        <v>0</v>
      </c>
      <c r="M282" s="255"/>
      <c r="N282" s="254"/>
      <c r="O282" s="256"/>
      <c r="P282" s="256">
        <v>0</v>
      </c>
      <c r="Q282" s="256"/>
      <c r="R282" s="256"/>
      <c r="S282" s="256"/>
      <c r="T282" s="290">
        <f t="shared" si="3"/>
        <v>0</v>
      </c>
      <c r="U282" s="251"/>
      <c r="V282" s="250"/>
      <c r="W282" s="250"/>
      <c r="X282" s="251"/>
    </row>
    <row r="283" spans="1:24" s="252" customFormat="1" hidden="1">
      <c r="A283" s="292">
        <v>32500</v>
      </c>
      <c r="B283" s="293" t="s">
        <v>1594</v>
      </c>
      <c r="C283" s="294" t="s">
        <v>1595</v>
      </c>
      <c r="D283" s="294" t="s">
        <v>1596</v>
      </c>
      <c r="E283" s="245">
        <v>52200</v>
      </c>
      <c r="F283" s="244" t="s">
        <v>693</v>
      </c>
      <c r="G283" s="244" t="s">
        <v>694</v>
      </c>
      <c r="H283" s="254">
        <v>-23490.09</v>
      </c>
      <c r="I283" s="254">
        <v>-6897.33</v>
      </c>
      <c r="J283" s="254">
        <v>-19034.59</v>
      </c>
      <c r="K283" s="255">
        <v>-16246.84</v>
      </c>
      <c r="L283" s="255">
        <v>-14460.53</v>
      </c>
      <c r="M283" s="255">
        <v>-17998.3</v>
      </c>
      <c r="N283" s="254">
        <v>-12602.58</v>
      </c>
      <c r="O283" s="256">
        <v>-11290.54</v>
      </c>
      <c r="P283" s="256">
        <v>-18737.05</v>
      </c>
      <c r="Q283" s="256">
        <v>-40030.660000000003</v>
      </c>
      <c r="R283" s="256">
        <v>-10951.47</v>
      </c>
      <c r="S283" s="256">
        <v>-16143.27</v>
      </c>
      <c r="T283" s="290">
        <f t="shared" si="3"/>
        <v>-207883.24999999997</v>
      </c>
      <c r="U283" s="251"/>
      <c r="V283" s="250">
        <v>0</v>
      </c>
      <c r="W283" s="250"/>
      <c r="X283" s="251"/>
    </row>
    <row r="284" spans="1:24" s="252" customFormat="1" hidden="1">
      <c r="A284" s="292">
        <v>32500</v>
      </c>
      <c r="B284" s="293" t="s">
        <v>1594</v>
      </c>
      <c r="C284" s="294" t="s">
        <v>1597</v>
      </c>
      <c r="D284" s="294" t="s">
        <v>1598</v>
      </c>
      <c r="E284" s="245">
        <v>52200</v>
      </c>
      <c r="F284" s="244" t="s">
        <v>693</v>
      </c>
      <c r="G284" s="244" t="s">
        <v>694</v>
      </c>
      <c r="H284" s="254">
        <v>-487392.07</v>
      </c>
      <c r="I284" s="254">
        <v>-478540.33</v>
      </c>
      <c r="J284" s="254">
        <v>-479229.33</v>
      </c>
      <c r="K284" s="255">
        <v>-466083.22000000009</v>
      </c>
      <c r="L284" s="255">
        <v>-479831.51999999996</v>
      </c>
      <c r="M284" s="255">
        <v>-476364.32999999996</v>
      </c>
      <c r="N284" s="254">
        <v>-449281.65999999992</v>
      </c>
      <c r="O284" s="256">
        <v>-434271.02</v>
      </c>
      <c r="P284" s="256">
        <v>-443973.89999999991</v>
      </c>
      <c r="Q284" s="256">
        <v>-414977.55000000016</v>
      </c>
      <c r="R284" s="256">
        <v>-438332.01999999996</v>
      </c>
      <c r="S284" s="256">
        <v>-395970.09000000008</v>
      </c>
      <c r="T284" s="290">
        <f t="shared" si="3"/>
        <v>-5444247.0399999991</v>
      </c>
      <c r="U284" s="251"/>
      <c r="V284" s="250">
        <v>0</v>
      </c>
      <c r="W284" s="250"/>
      <c r="X284" s="251"/>
    </row>
    <row r="285" spans="1:24" s="252" customFormat="1" hidden="1">
      <c r="A285" s="292">
        <v>32500</v>
      </c>
      <c r="B285" s="293" t="s">
        <v>1594</v>
      </c>
      <c r="C285" s="294" t="s">
        <v>1599</v>
      </c>
      <c r="D285" s="294" t="s">
        <v>1600</v>
      </c>
      <c r="E285" s="245">
        <v>52200</v>
      </c>
      <c r="F285" s="244" t="s">
        <v>693</v>
      </c>
      <c r="G285" s="244" t="s">
        <v>694</v>
      </c>
      <c r="H285" s="254">
        <v>-19914.98</v>
      </c>
      <c r="I285" s="254">
        <v>-19914.98</v>
      </c>
      <c r="J285" s="254">
        <v>-19914.98</v>
      </c>
      <c r="K285" s="255">
        <v>-19914.98</v>
      </c>
      <c r="L285" s="255">
        <v>-14747.42</v>
      </c>
      <c r="M285" s="255">
        <v>-19447.55</v>
      </c>
      <c r="N285" s="254">
        <v>-19033.55</v>
      </c>
      <c r="O285" s="256">
        <v>-19033.55</v>
      </c>
      <c r="P285" s="256">
        <v>-17900.97</v>
      </c>
      <c r="Q285" s="256">
        <v>-17900.97</v>
      </c>
      <c r="R285" s="256">
        <v>-17900.97</v>
      </c>
      <c r="S285" s="256">
        <v>-49405.099999999977</v>
      </c>
      <c r="T285" s="290">
        <f t="shared" si="3"/>
        <v>-255029.99999999997</v>
      </c>
      <c r="U285" s="251"/>
      <c r="V285" s="250">
        <v>0</v>
      </c>
      <c r="W285" s="250"/>
      <c r="X285" s="251"/>
    </row>
    <row r="286" spans="1:24" s="252" customFormat="1" hidden="1">
      <c r="A286" s="292">
        <v>32500</v>
      </c>
      <c r="B286" s="293" t="s">
        <v>1594</v>
      </c>
      <c r="C286" s="294" t="s">
        <v>1601</v>
      </c>
      <c r="D286" s="294" t="s">
        <v>1602</v>
      </c>
      <c r="E286" s="245">
        <v>52200</v>
      </c>
      <c r="F286" s="244" t="s">
        <v>693</v>
      </c>
      <c r="G286" s="244" t="s">
        <v>694</v>
      </c>
      <c r="H286" s="254">
        <v>-43125.69</v>
      </c>
      <c r="I286" s="254">
        <v>-43125.69</v>
      </c>
      <c r="J286" s="254">
        <v>-43125.69</v>
      </c>
      <c r="K286" s="255">
        <v>-43125.69</v>
      </c>
      <c r="L286" s="255">
        <v>-32839.17</v>
      </c>
      <c r="M286" s="255">
        <v>-42239.47</v>
      </c>
      <c r="N286" s="254">
        <v>-3344.33</v>
      </c>
      <c r="O286" s="256">
        <v>-2826.83</v>
      </c>
      <c r="P286" s="256">
        <v>-2826.83</v>
      </c>
      <c r="Q286" s="256">
        <v>-2826.83</v>
      </c>
      <c r="R286" s="256">
        <v>-74430.8</v>
      </c>
      <c r="S286" s="256">
        <v>-38628.86</v>
      </c>
      <c r="T286" s="290">
        <f t="shared" si="3"/>
        <v>-372465.87999999995</v>
      </c>
      <c r="U286" s="251"/>
      <c r="V286" s="250">
        <v>0</v>
      </c>
      <c r="W286" s="250"/>
      <c r="X286" s="251"/>
    </row>
    <row r="287" spans="1:24" s="252" customFormat="1" hidden="1">
      <c r="A287" s="292">
        <v>32510</v>
      </c>
      <c r="B287" s="293" t="s">
        <v>1603</v>
      </c>
      <c r="C287" s="294" t="s">
        <v>1604</v>
      </c>
      <c r="D287" s="294" t="s">
        <v>1605</v>
      </c>
      <c r="E287" s="245">
        <v>52201</v>
      </c>
      <c r="F287" s="244" t="s">
        <v>695</v>
      </c>
      <c r="G287" s="244" t="s">
        <v>694</v>
      </c>
      <c r="H287" s="254">
        <v>-112556.44</v>
      </c>
      <c r="I287" s="254">
        <v>-112556.44</v>
      </c>
      <c r="J287" s="254">
        <v>-114024.22</v>
      </c>
      <c r="K287" s="255">
        <v>-114024.22</v>
      </c>
      <c r="L287" s="255">
        <v>-114024.22</v>
      </c>
      <c r="M287" s="255">
        <v>-106960.75</v>
      </c>
      <c r="N287" s="254">
        <v>-106960.75</v>
      </c>
      <c r="O287" s="256">
        <v>-104009.59</v>
      </c>
      <c r="P287" s="256">
        <v>-104009.59</v>
      </c>
      <c r="Q287" s="256">
        <v>-100147.46</v>
      </c>
      <c r="R287" s="256">
        <v>-98437.52</v>
      </c>
      <c r="S287" s="256">
        <v>-100737.52</v>
      </c>
      <c r="T287" s="290">
        <f t="shared" si="3"/>
        <v>-1288448.72</v>
      </c>
      <c r="U287" s="251"/>
      <c r="V287" s="250">
        <v>0</v>
      </c>
      <c r="W287" s="250"/>
      <c r="X287" s="251"/>
    </row>
    <row r="288" spans="1:24" s="252" customFormat="1" hidden="1">
      <c r="A288" s="292">
        <v>32510</v>
      </c>
      <c r="B288" s="293" t="s">
        <v>1603</v>
      </c>
      <c r="C288" s="294" t="s">
        <v>1606</v>
      </c>
      <c r="D288" s="294" t="s">
        <v>1607</v>
      </c>
      <c r="E288" s="245">
        <v>52314</v>
      </c>
      <c r="F288" s="244" t="s">
        <v>1608</v>
      </c>
      <c r="G288" s="244" t="s">
        <v>694</v>
      </c>
      <c r="H288" s="254">
        <v>-16785.599999999999</v>
      </c>
      <c r="I288" s="254">
        <v>-13100</v>
      </c>
      <c r="J288" s="254">
        <v>-3100</v>
      </c>
      <c r="K288" s="255">
        <v>-3100</v>
      </c>
      <c r="L288" s="255">
        <v>-2909.52</v>
      </c>
      <c r="M288" s="255">
        <v>-4700</v>
      </c>
      <c r="N288" s="254">
        <v>-3100</v>
      </c>
      <c r="O288" s="256">
        <v>-3100</v>
      </c>
      <c r="P288" s="256">
        <v>-3100</v>
      </c>
      <c r="Q288" s="256">
        <v>-3100</v>
      </c>
      <c r="R288" s="256">
        <v>-3100</v>
      </c>
      <c r="S288" s="256">
        <v>-3100</v>
      </c>
      <c r="T288" s="290">
        <f t="shared" si="3"/>
        <v>-62295.119999999995</v>
      </c>
      <c r="U288" s="251"/>
      <c r="V288" s="250" t="s">
        <v>1499</v>
      </c>
      <c r="W288" s="250"/>
      <c r="X288" s="251"/>
    </row>
    <row r="289" spans="1:24" s="252" customFormat="1" hidden="1">
      <c r="A289" s="292">
        <v>32700</v>
      </c>
      <c r="B289" s="293" t="s">
        <v>1609</v>
      </c>
      <c r="C289" s="294" t="s">
        <v>1610</v>
      </c>
      <c r="D289" s="294" t="s">
        <v>1611</v>
      </c>
      <c r="E289" s="245">
        <v>52314</v>
      </c>
      <c r="F289" s="244" t="s">
        <v>1608</v>
      </c>
      <c r="G289" s="244" t="s">
        <v>694</v>
      </c>
      <c r="H289" s="254">
        <v>0</v>
      </c>
      <c r="I289" s="254">
        <v>0</v>
      </c>
      <c r="J289" s="254">
        <v>-2366</v>
      </c>
      <c r="K289" s="255">
        <v>0</v>
      </c>
      <c r="L289" s="255">
        <v>-3300</v>
      </c>
      <c r="M289" s="255">
        <v>0</v>
      </c>
      <c r="N289" s="254">
        <v>0</v>
      </c>
      <c r="O289" s="256">
        <v>0</v>
      </c>
      <c r="P289" s="256">
        <v>0</v>
      </c>
      <c r="Q289" s="256">
        <v>0</v>
      </c>
      <c r="R289" s="256">
        <v>0</v>
      </c>
      <c r="S289" s="256">
        <v>0</v>
      </c>
      <c r="T289" s="290">
        <f t="shared" si="3"/>
        <v>-5666</v>
      </c>
      <c r="U289" s="251"/>
      <c r="V289" s="250" t="s">
        <v>1499</v>
      </c>
      <c r="W289" s="250"/>
      <c r="X289" s="251"/>
    </row>
    <row r="290" spans="1:24" s="252" customFormat="1" hidden="1">
      <c r="A290" s="292">
        <v>32540</v>
      </c>
      <c r="B290" s="293" t="s">
        <v>1503</v>
      </c>
      <c r="C290" s="294" t="s">
        <v>1612</v>
      </c>
      <c r="D290" s="294" t="s">
        <v>1613</v>
      </c>
      <c r="E290" s="245">
        <v>52310</v>
      </c>
      <c r="F290" s="244" t="s">
        <v>706</v>
      </c>
      <c r="G290" s="244" t="s">
        <v>694</v>
      </c>
      <c r="H290" s="254">
        <v>-12935.23</v>
      </c>
      <c r="I290" s="300">
        <v>-9757.2699999999986</v>
      </c>
      <c r="J290" s="254">
        <v>-14158.32</v>
      </c>
      <c r="K290" s="255">
        <v>-14967.669999999998</v>
      </c>
      <c r="L290" s="255">
        <v>-12652.489999999998</v>
      </c>
      <c r="M290" s="255">
        <v>-12971.410000000002</v>
      </c>
      <c r="N290" s="254">
        <v>-11716.81</v>
      </c>
      <c r="O290" s="256">
        <v>-16770.200000000004</v>
      </c>
      <c r="P290" s="256">
        <v>-13119.23</v>
      </c>
      <c r="Q290" s="256">
        <v>-12178.699999999999</v>
      </c>
      <c r="R290" s="256">
        <v>-11425.7</v>
      </c>
      <c r="S290" s="256">
        <v>-14767.05</v>
      </c>
      <c r="T290" s="290">
        <f t="shared" si="3"/>
        <v>-157420.07999999999</v>
      </c>
      <c r="U290" s="251"/>
      <c r="V290" s="250" t="s">
        <v>1499</v>
      </c>
      <c r="W290" s="250"/>
      <c r="X290" s="251"/>
    </row>
    <row r="291" spans="1:24" s="252" customFormat="1" hidden="1">
      <c r="A291" s="292">
        <v>33361</v>
      </c>
      <c r="B291" s="293" t="s">
        <v>1614</v>
      </c>
      <c r="C291" s="294" t="s">
        <v>1615</v>
      </c>
      <c r="D291" s="294" t="s">
        <v>1616</v>
      </c>
      <c r="E291" s="245">
        <v>52307</v>
      </c>
      <c r="F291" s="244" t="s">
        <v>703</v>
      </c>
      <c r="G291" s="244" t="s">
        <v>694</v>
      </c>
      <c r="H291" s="254">
        <v>-0.97999999999956344</v>
      </c>
      <c r="I291" s="254">
        <v>0</v>
      </c>
      <c r="J291" s="254">
        <v>0</v>
      </c>
      <c r="K291" s="255">
        <v>0</v>
      </c>
      <c r="L291" s="255">
        <v>0</v>
      </c>
      <c r="M291" s="255">
        <v>0</v>
      </c>
      <c r="N291" s="254">
        <v>0</v>
      </c>
      <c r="O291" s="256">
        <v>0</v>
      </c>
      <c r="P291" s="256">
        <v>0</v>
      </c>
      <c r="Q291" s="256">
        <v>0</v>
      </c>
      <c r="R291" s="256">
        <v>0</v>
      </c>
      <c r="S291" s="256">
        <v>-13584.91</v>
      </c>
      <c r="T291" s="290">
        <f t="shared" si="3"/>
        <v>-13585.89</v>
      </c>
      <c r="U291" s="251"/>
      <c r="V291" s="250">
        <v>0</v>
      </c>
      <c r="W291" s="250"/>
      <c r="X291" s="251"/>
    </row>
    <row r="292" spans="1:24" s="252" customFormat="1" hidden="1">
      <c r="A292" s="292">
        <v>32700</v>
      </c>
      <c r="B292" s="293" t="s">
        <v>1609</v>
      </c>
      <c r="C292" s="294" t="s">
        <v>1617</v>
      </c>
      <c r="D292" s="294" t="s">
        <v>1618</v>
      </c>
      <c r="E292" s="245">
        <v>52307</v>
      </c>
      <c r="F292" s="244" t="s">
        <v>703</v>
      </c>
      <c r="G292" s="244" t="s">
        <v>694</v>
      </c>
      <c r="H292" s="254">
        <v>0</v>
      </c>
      <c r="I292" s="254"/>
      <c r="J292" s="254"/>
      <c r="K292" s="255"/>
      <c r="L292" s="255">
        <v>0</v>
      </c>
      <c r="M292" s="255"/>
      <c r="N292" s="254"/>
      <c r="O292" s="256"/>
      <c r="P292" s="256">
        <v>0</v>
      </c>
      <c r="Q292" s="256"/>
      <c r="R292" s="256"/>
      <c r="S292" s="256"/>
      <c r="T292" s="290">
        <f t="shared" si="3"/>
        <v>0</v>
      </c>
      <c r="U292" s="251"/>
      <c r="V292" s="250">
        <v>0</v>
      </c>
      <c r="W292" s="250"/>
      <c r="X292" s="251"/>
    </row>
    <row r="293" spans="1:24" s="252" customFormat="1" hidden="1">
      <c r="A293" s="292">
        <v>32700</v>
      </c>
      <c r="B293" s="293" t="s">
        <v>1609</v>
      </c>
      <c r="C293" s="294" t="s">
        <v>1619</v>
      </c>
      <c r="D293" s="294" t="s">
        <v>1620</v>
      </c>
      <c r="E293" s="245">
        <v>52314</v>
      </c>
      <c r="F293" s="244" t="s">
        <v>1608</v>
      </c>
      <c r="G293" s="244" t="s">
        <v>694</v>
      </c>
      <c r="H293" s="254">
        <v>-18400</v>
      </c>
      <c r="I293" s="254">
        <v>-23147.27</v>
      </c>
      <c r="J293" s="254">
        <v>-4100</v>
      </c>
      <c r="K293" s="255">
        <v>-3900</v>
      </c>
      <c r="L293" s="255">
        <v>-9264.2900000000009</v>
      </c>
      <c r="M293" s="255">
        <v>-4457.7299999999996</v>
      </c>
      <c r="N293" s="254">
        <v>-37680.17</v>
      </c>
      <c r="O293" s="256">
        <v>-11400</v>
      </c>
      <c r="P293" s="256">
        <v>-91898</v>
      </c>
      <c r="Q293" s="256">
        <v>4350</v>
      </c>
      <c r="R293" s="256">
        <v>-3450</v>
      </c>
      <c r="S293" s="256">
        <v>-3450</v>
      </c>
      <c r="T293" s="290">
        <f t="shared" si="3"/>
        <v>-206797.46000000002</v>
      </c>
      <c r="U293" s="251"/>
      <c r="V293" s="250" t="s">
        <v>1499</v>
      </c>
      <c r="W293" s="250"/>
      <c r="X293" s="251"/>
    </row>
    <row r="294" spans="1:24" s="252" customFormat="1" hidden="1">
      <c r="A294" s="292">
        <v>32700</v>
      </c>
      <c r="B294" s="293" t="s">
        <v>1609</v>
      </c>
      <c r="C294" s="294" t="s">
        <v>1621</v>
      </c>
      <c r="D294" s="294" t="s">
        <v>1622</v>
      </c>
      <c r="E294" s="245">
        <v>52314</v>
      </c>
      <c r="F294" s="244" t="s">
        <v>1608</v>
      </c>
      <c r="G294" s="244" t="s">
        <v>694</v>
      </c>
      <c r="H294" s="254">
        <v>0</v>
      </c>
      <c r="I294" s="254">
        <v>0</v>
      </c>
      <c r="J294" s="254">
        <v>0</v>
      </c>
      <c r="K294" s="255">
        <v>0</v>
      </c>
      <c r="L294" s="255">
        <v>0</v>
      </c>
      <c r="M294" s="255">
        <v>0</v>
      </c>
      <c r="N294" s="254">
        <v>0</v>
      </c>
      <c r="O294" s="256">
        <v>0</v>
      </c>
      <c r="P294" s="256">
        <v>0</v>
      </c>
      <c r="Q294" s="256">
        <v>0</v>
      </c>
      <c r="R294" s="256">
        <v>0</v>
      </c>
      <c r="S294" s="256">
        <v>0</v>
      </c>
      <c r="T294" s="290">
        <f t="shared" si="3"/>
        <v>0</v>
      </c>
      <c r="U294" s="251"/>
      <c r="V294" s="250">
        <v>0</v>
      </c>
      <c r="W294" s="250"/>
      <c r="X294" s="251"/>
    </row>
    <row r="295" spans="1:24" s="252" customFormat="1" hidden="1">
      <c r="A295" s="292">
        <v>32700</v>
      </c>
      <c r="B295" s="293" t="s">
        <v>1609</v>
      </c>
      <c r="C295" s="294" t="s">
        <v>1623</v>
      </c>
      <c r="D295" s="294" t="s">
        <v>1624</v>
      </c>
      <c r="E295" s="245">
        <v>52308</v>
      </c>
      <c r="F295" s="244" t="s">
        <v>704</v>
      </c>
      <c r="G295" s="244" t="s">
        <v>694</v>
      </c>
      <c r="H295" s="254">
        <v>-19727.240000000002</v>
      </c>
      <c r="I295" s="254">
        <v>-15197.509999999998</v>
      </c>
      <c r="J295" s="254">
        <v>-21854.839999999997</v>
      </c>
      <c r="K295" s="255">
        <v>-16440.599999999999</v>
      </c>
      <c r="L295" s="255">
        <v>-18757.46</v>
      </c>
      <c r="M295" s="255">
        <v>-16809.999999999996</v>
      </c>
      <c r="N295" s="254">
        <v>-15508.7</v>
      </c>
      <c r="O295" s="256">
        <v>-15261.469999999998</v>
      </c>
      <c r="P295" s="256">
        <v>-19336.930000000004</v>
      </c>
      <c r="Q295" s="256">
        <v>-14186.96</v>
      </c>
      <c r="R295" s="256">
        <v>-15304.7</v>
      </c>
      <c r="S295" s="256">
        <v>-18219.62</v>
      </c>
      <c r="T295" s="290">
        <f t="shared" si="3"/>
        <v>-206606.02999999997</v>
      </c>
      <c r="U295" s="251"/>
      <c r="V295" s="250" t="s">
        <v>1499</v>
      </c>
      <c r="W295" s="250"/>
      <c r="X295" s="251"/>
    </row>
    <row r="296" spans="1:24" s="252" customFormat="1" hidden="1">
      <c r="A296" s="292">
        <v>33290</v>
      </c>
      <c r="B296" s="293" t="s">
        <v>1625</v>
      </c>
      <c r="C296" s="294" t="s">
        <v>1626</v>
      </c>
      <c r="D296" s="294" t="s">
        <v>1627</v>
      </c>
      <c r="E296" s="245">
        <v>54020</v>
      </c>
      <c r="F296" s="244" t="s">
        <v>740</v>
      </c>
      <c r="G296" s="244" t="s">
        <v>720</v>
      </c>
      <c r="H296" s="254">
        <v>-34941.009999999995</v>
      </c>
      <c r="I296" s="254">
        <v>-19478.300000000003</v>
      </c>
      <c r="J296" s="254">
        <v>-16935.669999999998</v>
      </c>
      <c r="K296" s="255">
        <v>-13739.400000000001</v>
      </c>
      <c r="L296" s="255">
        <v>-11194.839999999998</v>
      </c>
      <c r="M296" s="255">
        <v>-20064.109999999997</v>
      </c>
      <c r="N296" s="254">
        <v>-9647.6799999999985</v>
      </c>
      <c r="O296" s="256">
        <v>-6421.51</v>
      </c>
      <c r="P296" s="256">
        <v>-29839.210000000003</v>
      </c>
      <c r="Q296" s="256">
        <v>-6834.4900000000016</v>
      </c>
      <c r="R296" s="256">
        <v>-14589.78</v>
      </c>
      <c r="S296" s="256">
        <v>-8870.26</v>
      </c>
      <c r="T296" s="290">
        <f t="shared" si="3"/>
        <v>-192556.25999999998</v>
      </c>
      <c r="U296" s="251"/>
      <c r="V296" s="250"/>
      <c r="W296" s="250"/>
      <c r="X296" s="251"/>
    </row>
    <row r="297" spans="1:24" s="252" customFormat="1" hidden="1">
      <c r="A297" s="292">
        <v>33290</v>
      </c>
      <c r="B297" s="293" t="s">
        <v>1625</v>
      </c>
      <c r="C297" s="294" t="s">
        <v>1628</v>
      </c>
      <c r="D297" s="294" t="s">
        <v>1629</v>
      </c>
      <c r="E297" s="245">
        <v>54022</v>
      </c>
      <c r="F297" s="244" t="s">
        <v>742</v>
      </c>
      <c r="G297" s="244" t="s">
        <v>720</v>
      </c>
      <c r="H297" s="254">
        <v>-14068</v>
      </c>
      <c r="I297" s="254">
        <v>-10956.009999999998</v>
      </c>
      <c r="J297" s="254">
        <v>-11909.89</v>
      </c>
      <c r="K297" s="255">
        <v>-14175.47</v>
      </c>
      <c r="L297" s="255">
        <v>-5263</v>
      </c>
      <c r="M297" s="255">
        <v>-2331.19</v>
      </c>
      <c r="N297" s="254">
        <v>-7641.15</v>
      </c>
      <c r="O297" s="256">
        <v>-11338.07</v>
      </c>
      <c r="P297" s="256">
        <v>-35135.730000000003</v>
      </c>
      <c r="Q297" s="256">
        <v>-17543.2</v>
      </c>
      <c r="R297" s="256">
        <v>-5415</v>
      </c>
      <c r="S297" s="256">
        <v>-11210</v>
      </c>
      <c r="T297" s="290">
        <f t="shared" si="3"/>
        <v>-146986.71000000002</v>
      </c>
      <c r="U297" s="251"/>
      <c r="V297" s="250"/>
      <c r="W297" s="250"/>
      <c r="X297" s="251"/>
    </row>
    <row r="298" spans="1:24" s="252" customFormat="1" hidden="1">
      <c r="A298" s="292">
        <v>33290</v>
      </c>
      <c r="B298" s="293" t="s">
        <v>1625</v>
      </c>
      <c r="C298" s="294" t="s">
        <v>1630</v>
      </c>
      <c r="D298" s="294" t="s">
        <v>1631</v>
      </c>
      <c r="E298" s="245">
        <v>54020</v>
      </c>
      <c r="F298" s="244" t="s">
        <v>740</v>
      </c>
      <c r="G298" s="244" t="s">
        <v>720</v>
      </c>
      <c r="H298" s="254">
        <v>-2.9800000000000182</v>
      </c>
      <c r="I298" s="254">
        <v>-1154.26</v>
      </c>
      <c r="J298" s="254">
        <v>437.13999999999987</v>
      </c>
      <c r="K298" s="255">
        <v>-2664</v>
      </c>
      <c r="L298" s="255">
        <v>-1483.9499999999998</v>
      </c>
      <c r="M298" s="255">
        <v>-803.61</v>
      </c>
      <c r="N298" s="254">
        <v>-1723.9100000000003</v>
      </c>
      <c r="O298" s="256">
        <v>-2419.59</v>
      </c>
      <c r="P298" s="256">
        <v>-6535.76</v>
      </c>
      <c r="Q298" s="256">
        <v>-8696.119999999999</v>
      </c>
      <c r="R298" s="256">
        <v>-5512.26</v>
      </c>
      <c r="S298" s="256">
        <v>-9476.44</v>
      </c>
      <c r="T298" s="290">
        <f t="shared" si="3"/>
        <v>-40035.740000000005</v>
      </c>
      <c r="U298" s="251"/>
      <c r="V298" s="250"/>
      <c r="W298" s="250"/>
      <c r="X298" s="251"/>
    </row>
    <row r="299" spans="1:24" s="252" customFormat="1" hidden="1">
      <c r="A299" s="292">
        <v>33300</v>
      </c>
      <c r="B299" s="293" t="s">
        <v>1632</v>
      </c>
      <c r="C299" s="294" t="s">
        <v>1633</v>
      </c>
      <c r="D299" s="294" t="s">
        <v>1634</v>
      </c>
      <c r="E299" s="245">
        <v>54024</v>
      </c>
      <c r="F299" s="244" t="s">
        <v>744</v>
      </c>
      <c r="G299" s="244" t="s">
        <v>720</v>
      </c>
      <c r="H299" s="254">
        <v>0</v>
      </c>
      <c r="I299" s="254">
        <v>0</v>
      </c>
      <c r="J299" s="254">
        <v>0</v>
      </c>
      <c r="K299" s="255">
        <v>0</v>
      </c>
      <c r="L299" s="255">
        <v>0</v>
      </c>
      <c r="M299" s="255">
        <v>0</v>
      </c>
      <c r="N299" s="254">
        <v>0</v>
      </c>
      <c r="O299" s="256">
        <v>0</v>
      </c>
      <c r="P299" s="256">
        <v>0</v>
      </c>
      <c r="Q299" s="256">
        <v>0</v>
      </c>
      <c r="R299" s="256">
        <v>0</v>
      </c>
      <c r="S299" s="256">
        <v>0</v>
      </c>
      <c r="T299" s="290">
        <f t="shared" si="3"/>
        <v>0</v>
      </c>
      <c r="U299" s="251"/>
      <c r="V299" s="250"/>
      <c r="W299" s="250"/>
      <c r="X299" s="251"/>
    </row>
    <row r="300" spans="1:24" s="307" customFormat="1" hidden="1">
      <c r="A300" s="301">
        <v>33370</v>
      </c>
      <c r="B300" s="302" t="s">
        <v>1635</v>
      </c>
      <c r="C300" s="303" t="s">
        <v>1636</v>
      </c>
      <c r="D300" s="303" t="s">
        <v>1637</v>
      </c>
      <c r="E300" s="297">
        <v>65307</v>
      </c>
      <c r="F300" s="298" t="s">
        <v>811</v>
      </c>
      <c r="G300" s="298" t="s">
        <v>804</v>
      </c>
      <c r="H300" s="300">
        <v>0</v>
      </c>
      <c r="I300" s="300">
        <v>0</v>
      </c>
      <c r="J300" s="300">
        <v>0</v>
      </c>
      <c r="K300" s="299">
        <v>0</v>
      </c>
      <c r="L300" s="299">
        <v>0</v>
      </c>
      <c r="M300" s="299">
        <v>0</v>
      </c>
      <c r="N300" s="300">
        <v>0</v>
      </c>
      <c r="O300" s="304">
        <v>0</v>
      </c>
      <c r="P300" s="304">
        <v>0</v>
      </c>
      <c r="Q300" s="256">
        <v>0</v>
      </c>
      <c r="R300" s="304">
        <v>0</v>
      </c>
      <c r="S300" s="304">
        <v>0</v>
      </c>
      <c r="T300" s="290">
        <f t="shared" si="3"/>
        <v>0</v>
      </c>
      <c r="U300" s="305"/>
      <c r="V300" s="306"/>
      <c r="W300" s="250"/>
      <c r="X300" s="251"/>
    </row>
    <row r="301" spans="1:24" s="252" customFormat="1" hidden="1">
      <c r="A301" s="292">
        <v>33210</v>
      </c>
      <c r="B301" s="293" t="s">
        <v>1638</v>
      </c>
      <c r="C301" s="294" t="s">
        <v>1639</v>
      </c>
      <c r="D301" s="294" t="s">
        <v>1640</v>
      </c>
      <c r="E301" s="245">
        <v>54000</v>
      </c>
      <c r="F301" s="244" t="s">
        <v>719</v>
      </c>
      <c r="G301" s="244" t="s">
        <v>720</v>
      </c>
      <c r="H301" s="264">
        <v>-627637.35</v>
      </c>
      <c r="I301" s="254">
        <v>-623137.35</v>
      </c>
      <c r="J301" s="254">
        <v>-625387.35</v>
      </c>
      <c r="K301" s="255">
        <v>-625387.35</v>
      </c>
      <c r="L301" s="255">
        <v>-625387.35</v>
      </c>
      <c r="M301" s="255">
        <v>-625387.35</v>
      </c>
      <c r="N301" s="254">
        <v>-625387.35</v>
      </c>
      <c r="O301" s="256">
        <v>-396397.2</v>
      </c>
      <c r="P301" s="256">
        <v>-396397.2</v>
      </c>
      <c r="Q301" s="256">
        <v>-396397.2</v>
      </c>
      <c r="R301" s="276">
        <v>-396397.19999999995</v>
      </c>
      <c r="S301" s="308">
        <v>954281.12999999989</v>
      </c>
      <c r="T301" s="290">
        <f t="shared" si="3"/>
        <v>-5009019.120000001</v>
      </c>
      <c r="U301" s="250" t="s">
        <v>1071</v>
      </c>
      <c r="V301" s="250"/>
      <c r="W301" s="250"/>
      <c r="X301" s="251"/>
    </row>
    <row r="302" spans="1:24" s="252" customFormat="1" hidden="1">
      <c r="A302" s="292">
        <v>33330</v>
      </c>
      <c r="B302" s="293" t="s">
        <v>1641</v>
      </c>
      <c r="C302" s="294" t="s">
        <v>1642</v>
      </c>
      <c r="D302" s="294" t="s">
        <v>1643</v>
      </c>
      <c r="E302" s="245">
        <v>54000</v>
      </c>
      <c r="F302" s="244" t="s">
        <v>719</v>
      </c>
      <c r="G302" s="244" t="s">
        <v>720</v>
      </c>
      <c r="H302" s="254">
        <v>-6000</v>
      </c>
      <c r="I302" s="254">
        <v>-5286.53</v>
      </c>
      <c r="J302" s="254">
        <v>-381.69999999999891</v>
      </c>
      <c r="K302" s="255">
        <v>-1348.2700000000004</v>
      </c>
      <c r="L302" s="255">
        <v>-5286.53</v>
      </c>
      <c r="M302" s="255">
        <v>-7876.53</v>
      </c>
      <c r="N302" s="254">
        <v>-5286.53</v>
      </c>
      <c r="O302" s="256">
        <v>-5286.53</v>
      </c>
      <c r="P302" s="256">
        <v>-5286.53</v>
      </c>
      <c r="Q302" s="256">
        <v>-5286.53</v>
      </c>
      <c r="R302" s="256">
        <v>-5286.53</v>
      </c>
      <c r="S302" s="256">
        <v>-5286.53</v>
      </c>
      <c r="T302" s="290">
        <f t="shared" si="3"/>
        <v>-57898.739999999991</v>
      </c>
      <c r="U302" s="251"/>
      <c r="V302" s="250"/>
      <c r="W302" s="250"/>
      <c r="X302" s="251"/>
    </row>
    <row r="303" spans="1:24" s="252" customFormat="1" hidden="1">
      <c r="A303" s="292">
        <v>33220</v>
      </c>
      <c r="B303" s="293" t="s">
        <v>1644</v>
      </c>
      <c r="C303" s="294" t="s">
        <v>1645</v>
      </c>
      <c r="D303" s="294" t="s">
        <v>1646</v>
      </c>
      <c r="E303" s="245">
        <v>54000</v>
      </c>
      <c r="F303" s="244" t="s">
        <v>719</v>
      </c>
      <c r="G303" s="244" t="s">
        <v>720</v>
      </c>
      <c r="H303" s="254">
        <v>0</v>
      </c>
      <c r="I303" s="254">
        <v>0</v>
      </c>
      <c r="J303" s="254">
        <v>0</v>
      </c>
      <c r="K303" s="255">
        <v>0</v>
      </c>
      <c r="L303" s="255">
        <v>0</v>
      </c>
      <c r="M303" s="255">
        <v>0</v>
      </c>
      <c r="N303" s="254">
        <v>0</v>
      </c>
      <c r="O303" s="256">
        <v>0</v>
      </c>
      <c r="P303" s="256">
        <v>0</v>
      </c>
      <c r="Q303" s="256">
        <v>0</v>
      </c>
      <c r="R303" s="256">
        <v>0</v>
      </c>
      <c r="S303" s="256">
        <v>0</v>
      </c>
      <c r="T303" s="290">
        <f t="shared" si="3"/>
        <v>0</v>
      </c>
      <c r="U303" s="251"/>
      <c r="V303" s="250"/>
      <c r="W303" s="250"/>
      <c r="X303" s="251"/>
    </row>
    <row r="304" spans="1:24" s="252" customFormat="1" hidden="1">
      <c r="A304" s="292">
        <v>33220</v>
      </c>
      <c r="B304" s="293" t="s">
        <v>1644</v>
      </c>
      <c r="C304" s="294" t="s">
        <v>1647</v>
      </c>
      <c r="D304" s="294" t="s">
        <v>1648</v>
      </c>
      <c r="E304" s="245">
        <v>54000</v>
      </c>
      <c r="F304" s="244" t="s">
        <v>719</v>
      </c>
      <c r="G304" s="244" t="s">
        <v>720</v>
      </c>
      <c r="H304" s="254">
        <v>0</v>
      </c>
      <c r="I304" s="254">
        <v>0</v>
      </c>
      <c r="J304" s="254">
        <v>0</v>
      </c>
      <c r="K304" s="255">
        <v>0</v>
      </c>
      <c r="L304" s="255">
        <v>0</v>
      </c>
      <c r="M304" s="255">
        <v>0</v>
      </c>
      <c r="N304" s="254">
        <v>0</v>
      </c>
      <c r="O304" s="256">
        <v>0</v>
      </c>
      <c r="P304" s="256">
        <v>0</v>
      </c>
      <c r="Q304" s="256">
        <v>0</v>
      </c>
      <c r="R304" s="256">
        <v>0</v>
      </c>
      <c r="S304" s="256">
        <v>0</v>
      </c>
      <c r="T304" s="290">
        <f t="shared" si="3"/>
        <v>0</v>
      </c>
      <c r="U304" s="251"/>
      <c r="V304" s="250"/>
      <c r="W304" s="250"/>
      <c r="X304" s="251"/>
    </row>
    <row r="305" spans="1:24" s="252" customFormat="1" hidden="1">
      <c r="A305" s="292">
        <v>33230</v>
      </c>
      <c r="B305" s="293" t="s">
        <v>1649</v>
      </c>
      <c r="C305" s="294" t="s">
        <v>1650</v>
      </c>
      <c r="D305" s="294" t="s">
        <v>1651</v>
      </c>
      <c r="E305" s="245">
        <v>54001</v>
      </c>
      <c r="F305" s="244" t="s">
        <v>721</v>
      </c>
      <c r="G305" s="244" t="s">
        <v>720</v>
      </c>
      <c r="H305" s="254">
        <v>-8724.09</v>
      </c>
      <c r="I305" s="254">
        <v>26586.47</v>
      </c>
      <c r="J305" s="254">
        <v>-7920</v>
      </c>
      <c r="K305" s="255">
        <v>-18495.560000000005</v>
      </c>
      <c r="L305" s="255">
        <v>-18690.359999999997</v>
      </c>
      <c r="M305" s="255">
        <v>-5905.18</v>
      </c>
      <c r="N305" s="254">
        <v>-5708.67</v>
      </c>
      <c r="O305" s="256">
        <v>-6051.2799999999988</v>
      </c>
      <c r="P305" s="256">
        <v>-17867.690000000002</v>
      </c>
      <c r="Q305" s="256">
        <v>-50903.619999999995</v>
      </c>
      <c r="R305" s="256">
        <v>-48274.539999999994</v>
      </c>
      <c r="S305" s="256">
        <v>-31400.080000000002</v>
      </c>
      <c r="T305" s="290">
        <f t="shared" si="3"/>
        <v>-193354.59999999998</v>
      </c>
      <c r="U305" s="251"/>
      <c r="V305" s="250"/>
      <c r="W305" s="250"/>
      <c r="X305" s="251"/>
    </row>
    <row r="306" spans="1:24" s="252" customFormat="1" hidden="1">
      <c r="A306" s="292">
        <v>33240</v>
      </c>
      <c r="B306" s="293" t="s">
        <v>1652</v>
      </c>
      <c r="C306" s="294" t="s">
        <v>1653</v>
      </c>
      <c r="D306" s="294" t="s">
        <v>1654</v>
      </c>
      <c r="E306" s="245">
        <v>54006</v>
      </c>
      <c r="F306" s="244" t="s">
        <v>726</v>
      </c>
      <c r="G306" s="244" t="s">
        <v>720</v>
      </c>
      <c r="H306" s="254">
        <v>-76094.59</v>
      </c>
      <c r="I306" s="254">
        <v>-79512.260000000009</v>
      </c>
      <c r="J306" s="254">
        <v>-63967.41</v>
      </c>
      <c r="K306" s="255">
        <v>-50390.01999999999</v>
      </c>
      <c r="L306" s="255">
        <v>-42545.83</v>
      </c>
      <c r="M306" s="255">
        <v>-38047.300000000003</v>
      </c>
      <c r="N306" s="254">
        <v>-47376.39</v>
      </c>
      <c r="O306" s="256">
        <v>-39457.130000000005</v>
      </c>
      <c r="P306" s="256">
        <v>-44690.91</v>
      </c>
      <c r="Q306" s="256">
        <v>-43220.56</v>
      </c>
      <c r="R306" s="256">
        <v>-75000</v>
      </c>
      <c r="S306" s="256">
        <v>-73349.279999999999</v>
      </c>
      <c r="T306" s="290">
        <f t="shared" si="3"/>
        <v>-673651.68000000017</v>
      </c>
      <c r="U306" s="251"/>
      <c r="V306" s="250"/>
      <c r="W306" s="250"/>
      <c r="X306" s="251"/>
    </row>
    <row r="307" spans="1:24" s="252" customFormat="1" hidden="1">
      <c r="A307" s="292">
        <v>33240</v>
      </c>
      <c r="B307" s="293" t="s">
        <v>1652</v>
      </c>
      <c r="C307" s="294" t="s">
        <v>1655</v>
      </c>
      <c r="D307" s="294" t="s">
        <v>1656</v>
      </c>
      <c r="E307" s="245">
        <v>54006</v>
      </c>
      <c r="F307" s="244" t="s">
        <v>726</v>
      </c>
      <c r="G307" s="244" t="s">
        <v>720</v>
      </c>
      <c r="H307" s="254">
        <v>-80228.91</v>
      </c>
      <c r="I307" s="254">
        <v>-78467.099999999977</v>
      </c>
      <c r="J307" s="254">
        <v>-20000</v>
      </c>
      <c r="K307" s="255">
        <v>0</v>
      </c>
      <c r="L307" s="255">
        <v>0</v>
      </c>
      <c r="M307" s="255">
        <v>0</v>
      </c>
      <c r="N307" s="254">
        <v>0</v>
      </c>
      <c r="O307" s="256">
        <v>0</v>
      </c>
      <c r="P307" s="256">
        <v>0</v>
      </c>
      <c r="Q307" s="256">
        <v>-20000</v>
      </c>
      <c r="R307" s="256">
        <v>-30000</v>
      </c>
      <c r="S307" s="256">
        <v>-19127</v>
      </c>
      <c r="T307" s="290">
        <f t="shared" si="3"/>
        <v>-247823.00999999998</v>
      </c>
      <c r="U307" s="251"/>
      <c r="V307" s="250"/>
      <c r="W307" s="250"/>
      <c r="X307" s="251"/>
    </row>
    <row r="308" spans="1:24" s="252" customFormat="1" hidden="1">
      <c r="A308" s="292">
        <v>33240</v>
      </c>
      <c r="B308" s="293" t="s">
        <v>1652</v>
      </c>
      <c r="C308" s="294" t="s">
        <v>1657</v>
      </c>
      <c r="D308" s="294" t="s">
        <v>1658</v>
      </c>
      <c r="E308" s="245">
        <v>54006</v>
      </c>
      <c r="F308" s="244" t="s">
        <v>726</v>
      </c>
      <c r="G308" s="244" t="s">
        <v>720</v>
      </c>
      <c r="H308" s="254">
        <v>-2375.2199999999998</v>
      </c>
      <c r="I308" s="254">
        <v>-500</v>
      </c>
      <c r="J308" s="254">
        <v>-500</v>
      </c>
      <c r="K308" s="255">
        <v>-500</v>
      </c>
      <c r="L308" s="255">
        <v>-500</v>
      </c>
      <c r="M308" s="255">
        <v>-500</v>
      </c>
      <c r="N308" s="254">
        <v>-500</v>
      </c>
      <c r="O308" s="256">
        <v>-500</v>
      </c>
      <c r="P308" s="256">
        <v>-500</v>
      </c>
      <c r="Q308" s="256">
        <v>-500</v>
      </c>
      <c r="R308" s="256">
        <v>-500</v>
      </c>
      <c r="S308" s="256">
        <v>1472.3600000000001</v>
      </c>
      <c r="T308" s="290">
        <f t="shared" si="3"/>
        <v>-5902.8599999999988</v>
      </c>
      <c r="U308" s="251"/>
      <c r="V308" s="250"/>
      <c r="W308" s="250"/>
      <c r="X308" s="251"/>
    </row>
    <row r="309" spans="1:24" s="252" customFormat="1" hidden="1">
      <c r="A309" s="292">
        <v>33250</v>
      </c>
      <c r="B309" s="293" t="s">
        <v>1659</v>
      </c>
      <c r="C309" s="294" t="s">
        <v>1660</v>
      </c>
      <c r="D309" s="294" t="s">
        <v>1661</v>
      </c>
      <c r="E309" s="245">
        <v>54001</v>
      </c>
      <c r="F309" s="244" t="s">
        <v>721</v>
      </c>
      <c r="G309" s="244" t="s">
        <v>720</v>
      </c>
      <c r="H309" s="254">
        <v>0</v>
      </c>
      <c r="I309" s="254">
        <v>-310</v>
      </c>
      <c r="J309" s="254">
        <v>-20566.04</v>
      </c>
      <c r="K309" s="255">
        <v>0</v>
      </c>
      <c r="L309" s="255">
        <v>-1049.1199999999999</v>
      </c>
      <c r="M309" s="255">
        <v>-4234.84</v>
      </c>
      <c r="N309" s="254">
        <v>-1132.08</v>
      </c>
      <c r="O309" s="256">
        <v>-1267.56</v>
      </c>
      <c r="P309" s="256">
        <v>-3185.4</v>
      </c>
      <c r="Q309" s="256">
        <v>-40876.1</v>
      </c>
      <c r="R309" s="256">
        <v>-32557.370000000003</v>
      </c>
      <c r="S309" s="256">
        <v>-585.84000000000378</v>
      </c>
      <c r="T309" s="290">
        <f t="shared" si="3"/>
        <v>-105764.35</v>
      </c>
      <c r="U309" s="251"/>
      <c r="V309" s="250"/>
      <c r="W309" s="250"/>
      <c r="X309" s="251"/>
    </row>
    <row r="310" spans="1:24" s="252" customFormat="1" hidden="1">
      <c r="A310" s="292">
        <v>33310</v>
      </c>
      <c r="B310" s="293" t="s">
        <v>1662</v>
      </c>
      <c r="C310" s="294" t="s">
        <v>1663</v>
      </c>
      <c r="D310" s="294" t="s">
        <v>1664</v>
      </c>
      <c r="E310" s="245">
        <v>54003</v>
      </c>
      <c r="F310" s="244" t="s">
        <v>723</v>
      </c>
      <c r="G310" s="244" t="s">
        <v>720</v>
      </c>
      <c r="H310" s="254">
        <v>-2802.0300000000007</v>
      </c>
      <c r="I310" s="254">
        <v>-5588.01</v>
      </c>
      <c r="J310" s="254">
        <v>-21473.209999999995</v>
      </c>
      <c r="K310" s="255">
        <v>-4748.6299999999974</v>
      </c>
      <c r="L310" s="255">
        <v>-10693.03</v>
      </c>
      <c r="M310" s="255">
        <v>-6361.9299999999994</v>
      </c>
      <c r="N310" s="254">
        <v>-4271.3</v>
      </c>
      <c r="O310" s="256">
        <v>-4082.08</v>
      </c>
      <c r="P310" s="256">
        <v>-5881.21</v>
      </c>
      <c r="Q310" s="256">
        <v>-12288.28</v>
      </c>
      <c r="R310" s="256">
        <v>-8454.84</v>
      </c>
      <c r="S310" s="256">
        <v>-45816.799999999996</v>
      </c>
      <c r="T310" s="290">
        <f t="shared" si="3"/>
        <v>-132461.34999999998</v>
      </c>
      <c r="U310" s="251"/>
      <c r="V310" s="250"/>
      <c r="W310" s="250"/>
      <c r="X310" s="251"/>
    </row>
    <row r="311" spans="1:24" s="252" customFormat="1" hidden="1">
      <c r="A311" s="292">
        <v>33310</v>
      </c>
      <c r="B311" s="293" t="s">
        <v>1662</v>
      </c>
      <c r="C311" s="294" t="s">
        <v>1665</v>
      </c>
      <c r="D311" s="294" t="s">
        <v>1666</v>
      </c>
      <c r="E311" s="245">
        <v>54010</v>
      </c>
      <c r="F311" s="244" t="s">
        <v>730</v>
      </c>
      <c r="G311" s="244" t="s">
        <v>720</v>
      </c>
      <c r="H311" s="254">
        <v>0</v>
      </c>
      <c r="I311" s="254">
        <v>0</v>
      </c>
      <c r="J311" s="254">
        <v>0</v>
      </c>
      <c r="K311" s="255">
        <v>0</v>
      </c>
      <c r="L311" s="255">
        <v>-1830</v>
      </c>
      <c r="M311" s="255">
        <v>0</v>
      </c>
      <c r="N311" s="254">
        <v>-350</v>
      </c>
      <c r="O311" s="256">
        <v>-1000</v>
      </c>
      <c r="P311" s="256">
        <v>0</v>
      </c>
      <c r="Q311" s="256">
        <v>-1285.5</v>
      </c>
      <c r="R311" s="256">
        <v>-5198.8</v>
      </c>
      <c r="S311" s="256">
        <v>0</v>
      </c>
      <c r="T311" s="290">
        <f t="shared" si="3"/>
        <v>-9664.2999999999993</v>
      </c>
      <c r="U311" s="251"/>
      <c r="V311" s="250"/>
      <c r="W311" s="250"/>
      <c r="X311" s="251"/>
    </row>
    <row r="312" spans="1:24" s="252" customFormat="1" hidden="1">
      <c r="A312" s="292">
        <v>33310</v>
      </c>
      <c r="B312" s="293" t="s">
        <v>1662</v>
      </c>
      <c r="C312" s="294" t="s">
        <v>1667</v>
      </c>
      <c r="D312" s="294" t="s">
        <v>1668</v>
      </c>
      <c r="E312" s="245">
        <v>54014</v>
      </c>
      <c r="F312" s="244" t="s">
        <v>734</v>
      </c>
      <c r="G312" s="244" t="s">
        <v>720</v>
      </c>
      <c r="H312" s="254">
        <v>-32399.800000000003</v>
      </c>
      <c r="I312" s="254">
        <v>-4780</v>
      </c>
      <c r="J312" s="254">
        <v>1085.5999999999999</v>
      </c>
      <c r="K312" s="255">
        <v>-38971.08</v>
      </c>
      <c r="L312" s="255">
        <v>0</v>
      </c>
      <c r="M312" s="255">
        <v>0</v>
      </c>
      <c r="N312" s="254">
        <v>-16689.400000000001</v>
      </c>
      <c r="O312" s="256">
        <v>-34635.800000000003</v>
      </c>
      <c r="P312" s="256">
        <v>-42818.799999999996</v>
      </c>
      <c r="Q312" s="256">
        <v>-35170.199999999997</v>
      </c>
      <c r="R312" s="256">
        <v>-41818.850000000006</v>
      </c>
      <c r="S312" s="256">
        <v>0</v>
      </c>
      <c r="T312" s="290">
        <f t="shared" si="3"/>
        <v>-246198.33</v>
      </c>
      <c r="U312" s="251"/>
      <c r="V312" s="250"/>
      <c r="W312" s="250"/>
      <c r="X312" s="251"/>
    </row>
    <row r="313" spans="1:24" s="252" customFormat="1" hidden="1">
      <c r="A313" s="292">
        <v>33310</v>
      </c>
      <c r="B313" s="293" t="s">
        <v>1662</v>
      </c>
      <c r="C313" s="294" t="s">
        <v>1669</v>
      </c>
      <c r="D313" s="294" t="s">
        <v>1670</v>
      </c>
      <c r="E313" s="245">
        <v>54010</v>
      </c>
      <c r="F313" s="244" t="s">
        <v>730</v>
      </c>
      <c r="G313" s="244" t="s">
        <v>720</v>
      </c>
      <c r="H313" s="254">
        <v>0</v>
      </c>
      <c r="I313" s="254">
        <v>0</v>
      </c>
      <c r="J313" s="254">
        <v>-4365.2299999999996</v>
      </c>
      <c r="K313" s="255">
        <v>0</v>
      </c>
      <c r="L313" s="255">
        <v>-10575.27</v>
      </c>
      <c r="M313" s="255">
        <v>-56</v>
      </c>
      <c r="N313" s="254">
        <v>-4234.21</v>
      </c>
      <c r="O313" s="256">
        <v>-4150.0099999999993</v>
      </c>
      <c r="P313" s="256">
        <v>-6867.16</v>
      </c>
      <c r="Q313" s="256">
        <v>-4791.5200000000004</v>
      </c>
      <c r="R313" s="256">
        <v>-562.73000000000047</v>
      </c>
      <c r="S313" s="256">
        <v>-4811.32</v>
      </c>
      <c r="T313" s="290">
        <f t="shared" si="3"/>
        <v>-40413.449999999997</v>
      </c>
      <c r="U313" s="251"/>
      <c r="V313" s="250"/>
      <c r="W313" s="250"/>
      <c r="X313" s="251"/>
    </row>
    <row r="314" spans="1:24" s="252" customFormat="1" hidden="1">
      <c r="A314" s="292">
        <v>33310</v>
      </c>
      <c r="B314" s="293" t="s">
        <v>1662</v>
      </c>
      <c r="C314" s="294" t="s">
        <v>1671</v>
      </c>
      <c r="D314" s="294" t="s">
        <v>1672</v>
      </c>
      <c r="E314" s="245">
        <v>54001</v>
      </c>
      <c r="F314" s="244" t="s">
        <v>721</v>
      </c>
      <c r="G314" s="244" t="s">
        <v>720</v>
      </c>
      <c r="H314" s="254">
        <v>0</v>
      </c>
      <c r="I314" s="254">
        <v>0</v>
      </c>
      <c r="J314" s="254">
        <v>0</v>
      </c>
      <c r="K314" s="255">
        <v>-17500</v>
      </c>
      <c r="L314" s="255">
        <v>0</v>
      </c>
      <c r="M314" s="255">
        <v>0</v>
      </c>
      <c r="N314" s="254">
        <v>0</v>
      </c>
      <c r="O314" s="256">
        <v>0</v>
      </c>
      <c r="P314" s="256">
        <v>0</v>
      </c>
      <c r="Q314" s="256">
        <v>0</v>
      </c>
      <c r="R314" s="256">
        <v>-36000</v>
      </c>
      <c r="S314" s="256">
        <v>0</v>
      </c>
      <c r="T314" s="290">
        <f t="shared" ref="T314:T377" si="4">SUM(H314:S314)</f>
        <v>-53500</v>
      </c>
      <c r="U314" s="251"/>
      <c r="V314" s="250"/>
      <c r="W314" s="250"/>
      <c r="X314" s="251"/>
    </row>
    <row r="315" spans="1:24" s="252" customFormat="1" hidden="1">
      <c r="A315" s="292">
        <v>33310</v>
      </c>
      <c r="B315" s="293" t="s">
        <v>1662</v>
      </c>
      <c r="C315" s="294" t="s">
        <v>1673</v>
      </c>
      <c r="D315" s="294" t="s">
        <v>1674</v>
      </c>
      <c r="E315" s="245">
        <v>54014</v>
      </c>
      <c r="F315" s="244" t="s">
        <v>734</v>
      </c>
      <c r="G315" s="244" t="s">
        <v>720</v>
      </c>
      <c r="H315" s="254">
        <v>-26787.5</v>
      </c>
      <c r="I315" s="254">
        <v>-17736.400000000001</v>
      </c>
      <c r="J315" s="254">
        <v>-27516.400000000001</v>
      </c>
      <c r="K315" s="255">
        <v>-23164.28</v>
      </c>
      <c r="L315" s="255">
        <v>-20587</v>
      </c>
      <c r="M315" s="255">
        <v>-23264.06</v>
      </c>
      <c r="N315" s="254">
        <v>-11664.059999999998</v>
      </c>
      <c r="O315" s="256">
        <v>-22305.040000000001</v>
      </c>
      <c r="P315" s="256">
        <v>-21305.040000000001</v>
      </c>
      <c r="Q315" s="256">
        <v>-21305.08</v>
      </c>
      <c r="R315" s="256">
        <v>-21305.08</v>
      </c>
      <c r="S315" s="256">
        <v>-26116.400000000001</v>
      </c>
      <c r="T315" s="290">
        <f t="shared" si="4"/>
        <v>-263056.34000000008</v>
      </c>
      <c r="U315" s="251"/>
      <c r="V315" s="250"/>
      <c r="W315" s="250"/>
      <c r="X315" s="251"/>
    </row>
    <row r="316" spans="1:24" s="252" customFormat="1" hidden="1">
      <c r="A316" s="292">
        <v>33320</v>
      </c>
      <c r="B316" s="293" t="s">
        <v>1675</v>
      </c>
      <c r="C316" s="294" t="s">
        <v>1676</v>
      </c>
      <c r="D316" s="294" t="s">
        <v>1677</v>
      </c>
      <c r="E316" s="245">
        <v>54017</v>
      </c>
      <c r="F316" s="244" t="s">
        <v>737</v>
      </c>
      <c r="G316" s="244" t="s">
        <v>720</v>
      </c>
      <c r="H316" s="254">
        <v>0</v>
      </c>
      <c r="I316" s="254">
        <v>0</v>
      </c>
      <c r="J316" s="254">
        <v>0</v>
      </c>
      <c r="K316" s="255">
        <v>0</v>
      </c>
      <c r="L316" s="255">
        <v>-8904</v>
      </c>
      <c r="M316" s="255">
        <v>4004</v>
      </c>
      <c r="N316" s="254">
        <v>0</v>
      </c>
      <c r="O316" s="256">
        <v>0</v>
      </c>
      <c r="P316" s="256">
        <v>0</v>
      </c>
      <c r="Q316" s="256">
        <v>0</v>
      </c>
      <c r="R316" s="256">
        <v>-3250</v>
      </c>
      <c r="S316" s="256">
        <v>21</v>
      </c>
      <c r="T316" s="290">
        <f t="shared" si="4"/>
        <v>-8129</v>
      </c>
      <c r="U316" s="251"/>
      <c r="V316" s="250"/>
      <c r="W316" s="250"/>
      <c r="X316" s="251"/>
    </row>
    <row r="317" spans="1:24" s="252" customFormat="1" hidden="1">
      <c r="A317" s="292">
        <v>33360</v>
      </c>
      <c r="B317" s="293" t="s">
        <v>1678</v>
      </c>
      <c r="C317" s="294" t="s">
        <v>1679</v>
      </c>
      <c r="D317" s="294" t="s">
        <v>1680</v>
      </c>
      <c r="E317" s="245">
        <v>54016</v>
      </c>
      <c r="F317" s="244" t="s">
        <v>736</v>
      </c>
      <c r="G317" s="244" t="s">
        <v>720</v>
      </c>
      <c r="H317" s="254">
        <v>-10177.43</v>
      </c>
      <c r="I317" s="254">
        <v>-9968.34</v>
      </c>
      <c r="J317" s="254">
        <v>-13274.74</v>
      </c>
      <c r="K317" s="255">
        <v>0</v>
      </c>
      <c r="L317" s="255">
        <v>0</v>
      </c>
      <c r="M317" s="255">
        <v>0</v>
      </c>
      <c r="N317" s="254">
        <v>0</v>
      </c>
      <c r="O317" s="256">
        <v>0</v>
      </c>
      <c r="P317" s="256">
        <v>-3742.5</v>
      </c>
      <c r="Q317" s="256">
        <v>0</v>
      </c>
      <c r="R317" s="256">
        <v>-10265.65</v>
      </c>
      <c r="S317" s="256">
        <v>0</v>
      </c>
      <c r="T317" s="290">
        <f t="shared" si="4"/>
        <v>-47428.66</v>
      </c>
      <c r="U317" s="251"/>
      <c r="V317" s="250"/>
      <c r="W317" s="250"/>
      <c r="X317" s="251"/>
    </row>
    <row r="318" spans="1:24" s="252" customFormat="1" hidden="1">
      <c r="A318" s="292">
        <v>32820</v>
      </c>
      <c r="B318" s="293" t="s">
        <v>1681</v>
      </c>
      <c r="C318" s="294" t="s">
        <v>1682</v>
      </c>
      <c r="D318" s="294" t="s">
        <v>1683</v>
      </c>
      <c r="E318" s="245">
        <v>54030</v>
      </c>
      <c r="F318" s="244" t="s">
        <v>1684</v>
      </c>
      <c r="G318" s="244" t="s">
        <v>720</v>
      </c>
      <c r="H318" s="254">
        <v>-15720.14</v>
      </c>
      <c r="I318" s="254">
        <v>-15683.59</v>
      </c>
      <c r="J318" s="254">
        <v>-26409.34</v>
      </c>
      <c r="K318" s="255">
        <v>-16161.67</v>
      </c>
      <c r="L318" s="255">
        <v>-24002.600000000006</v>
      </c>
      <c r="M318" s="255">
        <v>-23866.66</v>
      </c>
      <c r="N318" s="254">
        <v>-16219.4</v>
      </c>
      <c r="O318" s="256">
        <v>-16807.189999999999</v>
      </c>
      <c r="P318" s="256">
        <v>-71823.72</v>
      </c>
      <c r="Q318" s="256">
        <v>-80624.37</v>
      </c>
      <c r="R318" s="256">
        <v>-121985.27</v>
      </c>
      <c r="S318" s="256">
        <v>-140435.44</v>
      </c>
      <c r="T318" s="290">
        <f t="shared" si="4"/>
        <v>-569739.39000000013</v>
      </c>
      <c r="U318" s="251"/>
      <c r="V318" s="250"/>
      <c r="W318" s="250"/>
      <c r="X318" s="251"/>
    </row>
    <row r="319" spans="1:24" s="252" customFormat="1" hidden="1">
      <c r="A319" s="292">
        <v>33380</v>
      </c>
      <c r="B319" s="293" t="s">
        <v>1685</v>
      </c>
      <c r="C319" s="294" t="s">
        <v>1686</v>
      </c>
      <c r="D319" s="294" t="s">
        <v>1687</v>
      </c>
      <c r="E319" s="245">
        <v>54021</v>
      </c>
      <c r="F319" s="244" t="s">
        <v>741</v>
      </c>
      <c r="G319" s="244" t="s">
        <v>720</v>
      </c>
      <c r="H319" s="254">
        <v>-340.52</v>
      </c>
      <c r="I319" s="254">
        <v>-284.47000000000003</v>
      </c>
      <c r="J319" s="254">
        <v>-1183.7000000000007</v>
      </c>
      <c r="K319" s="255">
        <v>-699.20000000000073</v>
      </c>
      <c r="L319" s="255">
        <v>-486.25</v>
      </c>
      <c r="M319" s="255">
        <v>-674</v>
      </c>
      <c r="N319" s="254">
        <v>-197</v>
      </c>
      <c r="O319" s="256">
        <v>-4015</v>
      </c>
      <c r="P319" s="256">
        <v>-2919.55</v>
      </c>
      <c r="Q319" s="256">
        <v>-2309.69</v>
      </c>
      <c r="R319" s="256">
        <v>-656.75</v>
      </c>
      <c r="S319" s="256">
        <v>-8194.86</v>
      </c>
      <c r="T319" s="290">
        <f t="shared" si="4"/>
        <v>-21960.990000000005</v>
      </c>
      <c r="U319" s="251"/>
      <c r="V319" s="250"/>
      <c r="W319" s="250"/>
      <c r="X319" s="251"/>
    </row>
    <row r="320" spans="1:24" s="252" customFormat="1" hidden="1">
      <c r="A320" s="292">
        <v>33410</v>
      </c>
      <c r="B320" s="293" t="s">
        <v>1688</v>
      </c>
      <c r="C320" s="294" t="s">
        <v>1689</v>
      </c>
      <c r="D320" s="294" t="s">
        <v>1690</v>
      </c>
      <c r="E320" s="245">
        <v>54019</v>
      </c>
      <c r="F320" s="244" t="s">
        <v>739</v>
      </c>
      <c r="G320" s="244" t="s">
        <v>720</v>
      </c>
      <c r="H320" s="254">
        <v>-23000</v>
      </c>
      <c r="I320" s="254">
        <v>0</v>
      </c>
      <c r="J320" s="254">
        <v>0</v>
      </c>
      <c r="K320" s="255">
        <v>852.31999999999971</v>
      </c>
      <c r="L320" s="255">
        <v>0</v>
      </c>
      <c r="M320" s="255">
        <v>0</v>
      </c>
      <c r="N320" s="254">
        <v>0</v>
      </c>
      <c r="O320" s="256">
        <v>-20932.599999999999</v>
      </c>
      <c r="P320" s="256">
        <v>0</v>
      </c>
      <c r="Q320" s="256">
        <v>0</v>
      </c>
      <c r="R320" s="256">
        <v>0</v>
      </c>
      <c r="S320" s="256">
        <v>0</v>
      </c>
      <c r="T320" s="290">
        <f t="shared" si="4"/>
        <v>-43080.28</v>
      </c>
      <c r="U320" s="251"/>
      <c r="V320" s="250"/>
      <c r="W320" s="250"/>
      <c r="X320" s="251"/>
    </row>
    <row r="321" spans="1:24" s="252" customFormat="1" hidden="1">
      <c r="A321" s="292">
        <v>33410</v>
      </c>
      <c r="B321" s="293" t="s">
        <v>1688</v>
      </c>
      <c r="C321" s="294" t="s">
        <v>1691</v>
      </c>
      <c r="D321" s="294" t="s">
        <v>1692</v>
      </c>
      <c r="E321" s="245">
        <v>54099</v>
      </c>
      <c r="F321" s="244" t="s">
        <v>752</v>
      </c>
      <c r="G321" s="244" t="s">
        <v>720</v>
      </c>
      <c r="H321" s="254">
        <v>0</v>
      </c>
      <c r="I321" s="254">
        <v>0</v>
      </c>
      <c r="J321" s="254">
        <v>0</v>
      </c>
      <c r="K321" s="255">
        <v>0</v>
      </c>
      <c r="L321" s="255">
        <v>0</v>
      </c>
      <c r="M321" s="255">
        <v>0</v>
      </c>
      <c r="N321" s="254">
        <v>0</v>
      </c>
      <c r="O321" s="256">
        <v>0</v>
      </c>
      <c r="P321" s="256">
        <v>0</v>
      </c>
      <c r="Q321" s="256">
        <v>0</v>
      </c>
      <c r="R321" s="256">
        <v>0</v>
      </c>
      <c r="S321" s="256">
        <v>0</v>
      </c>
      <c r="T321" s="290">
        <f t="shared" si="4"/>
        <v>0</v>
      </c>
      <c r="U321" s="251"/>
      <c r="V321" s="250"/>
      <c r="W321" s="250"/>
      <c r="X321" s="251"/>
    </row>
    <row r="322" spans="1:24" s="252" customFormat="1" hidden="1">
      <c r="A322" s="292">
        <v>33410</v>
      </c>
      <c r="B322" s="293" t="s">
        <v>1688</v>
      </c>
      <c r="C322" s="294" t="s">
        <v>1693</v>
      </c>
      <c r="D322" s="294" t="s">
        <v>1694</v>
      </c>
      <c r="E322" s="245">
        <v>54099</v>
      </c>
      <c r="F322" s="244" t="s">
        <v>752</v>
      </c>
      <c r="G322" s="244" t="s">
        <v>720</v>
      </c>
      <c r="H322" s="254">
        <v>0</v>
      </c>
      <c r="I322" s="254">
        <v>0</v>
      </c>
      <c r="J322" s="254">
        <v>0</v>
      </c>
      <c r="K322" s="255">
        <v>0</v>
      </c>
      <c r="L322" s="255">
        <v>0</v>
      </c>
      <c r="M322" s="255">
        <v>0</v>
      </c>
      <c r="N322" s="254">
        <v>0</v>
      </c>
      <c r="O322" s="256">
        <v>0</v>
      </c>
      <c r="P322" s="256">
        <v>0</v>
      </c>
      <c r="Q322" s="256">
        <v>0</v>
      </c>
      <c r="R322" s="256">
        <v>0</v>
      </c>
      <c r="S322" s="256">
        <v>0</v>
      </c>
      <c r="T322" s="290">
        <f t="shared" si="4"/>
        <v>0</v>
      </c>
      <c r="U322" s="251"/>
      <c r="V322" s="250"/>
      <c r="W322" s="250"/>
      <c r="X322" s="251"/>
    </row>
    <row r="323" spans="1:24" s="252" customFormat="1" hidden="1">
      <c r="A323" s="292">
        <v>33000</v>
      </c>
      <c r="B323" s="293" t="s">
        <v>1695</v>
      </c>
      <c r="C323" s="294" t="s">
        <v>1696</v>
      </c>
      <c r="D323" s="294" t="s">
        <v>1697</v>
      </c>
      <c r="E323" s="245">
        <v>54099</v>
      </c>
      <c r="F323" s="244" t="s">
        <v>752</v>
      </c>
      <c r="G323" s="244" t="s">
        <v>720</v>
      </c>
      <c r="H323" s="254">
        <v>-37153.760000000002</v>
      </c>
      <c r="I323" s="254">
        <v>-26538.400000000001</v>
      </c>
      <c r="J323" s="254">
        <v>-26538.400000000001</v>
      </c>
      <c r="K323" s="255">
        <v>-50422.96</v>
      </c>
      <c r="L323" s="255">
        <v>-13134.239999999998</v>
      </c>
      <c r="M323" s="255">
        <v>-17512.32</v>
      </c>
      <c r="N323" s="254">
        <v>-28457.52</v>
      </c>
      <c r="O323" s="256">
        <v>-21890.400000000001</v>
      </c>
      <c r="P323" s="256">
        <v>-8756.16</v>
      </c>
      <c r="Q323" s="256">
        <v>0</v>
      </c>
      <c r="R323" s="256">
        <v>0</v>
      </c>
      <c r="S323" s="256">
        <v>0</v>
      </c>
      <c r="T323" s="290">
        <f t="shared" si="4"/>
        <v>-230404.15999999997</v>
      </c>
      <c r="U323" s="251"/>
      <c r="V323" s="250"/>
      <c r="W323" s="250"/>
      <c r="X323" s="251"/>
    </row>
    <row r="324" spans="1:24" s="252" customFormat="1" hidden="1">
      <c r="A324" s="292">
        <v>32950</v>
      </c>
      <c r="B324" s="293" t="s">
        <v>1698</v>
      </c>
      <c r="C324" s="294" t="s">
        <v>1699</v>
      </c>
      <c r="D324" s="294" t="s">
        <v>1700</v>
      </c>
      <c r="E324" s="245">
        <v>54099</v>
      </c>
      <c r="F324" s="244" t="s">
        <v>752</v>
      </c>
      <c r="G324" s="244" t="s">
        <v>720</v>
      </c>
      <c r="H324" s="254">
        <v>0</v>
      </c>
      <c r="I324" s="254">
        <v>-725</v>
      </c>
      <c r="J324" s="254">
        <v>0</v>
      </c>
      <c r="K324" s="255">
        <v>0</v>
      </c>
      <c r="L324" s="255">
        <v>-16000</v>
      </c>
      <c r="M324" s="255">
        <v>0</v>
      </c>
      <c r="N324" s="254">
        <v>0</v>
      </c>
      <c r="O324" s="256">
        <v>-4340</v>
      </c>
      <c r="P324" s="256">
        <v>0</v>
      </c>
      <c r="Q324" s="256">
        <v>0</v>
      </c>
      <c r="R324" s="256">
        <v>-4000</v>
      </c>
      <c r="S324" s="256">
        <v>0</v>
      </c>
      <c r="T324" s="290">
        <f t="shared" si="4"/>
        <v>-25065</v>
      </c>
      <c r="U324" s="251"/>
      <c r="V324" s="250"/>
      <c r="W324" s="250"/>
      <c r="X324" s="251"/>
    </row>
    <row r="325" spans="1:24" s="252" customFormat="1" hidden="1">
      <c r="A325" s="292">
        <v>32951</v>
      </c>
      <c r="B325" s="293" t="s">
        <v>1701</v>
      </c>
      <c r="C325" s="294" t="s">
        <v>1702</v>
      </c>
      <c r="D325" s="294" t="s">
        <v>1703</v>
      </c>
      <c r="E325" s="245">
        <v>54099</v>
      </c>
      <c r="F325" s="244" t="s">
        <v>752</v>
      </c>
      <c r="G325" s="244" t="s">
        <v>720</v>
      </c>
      <c r="H325" s="254">
        <v>0</v>
      </c>
      <c r="I325" s="254">
        <v>0</v>
      </c>
      <c r="J325" s="254">
        <v>0</v>
      </c>
      <c r="K325" s="255">
        <v>0</v>
      </c>
      <c r="L325" s="255">
        <v>0</v>
      </c>
      <c r="M325" s="255">
        <v>0</v>
      </c>
      <c r="N325" s="254">
        <v>0</v>
      </c>
      <c r="O325" s="256">
        <v>0</v>
      </c>
      <c r="P325" s="256">
        <v>0</v>
      </c>
      <c r="Q325" s="256">
        <v>0</v>
      </c>
      <c r="R325" s="256">
        <v>0</v>
      </c>
      <c r="S325" s="256">
        <v>0</v>
      </c>
      <c r="T325" s="290">
        <f t="shared" si="4"/>
        <v>0</v>
      </c>
      <c r="U325" s="251"/>
      <c r="V325" s="250"/>
      <c r="W325" s="250"/>
      <c r="X325" s="251"/>
    </row>
    <row r="326" spans="1:24" s="252" customFormat="1" hidden="1">
      <c r="A326" s="292">
        <v>32952</v>
      </c>
      <c r="B326" s="293" t="s">
        <v>1704</v>
      </c>
      <c r="C326" s="294" t="s">
        <v>1705</v>
      </c>
      <c r="D326" s="294" t="s">
        <v>1706</v>
      </c>
      <c r="E326" s="245">
        <v>54099</v>
      </c>
      <c r="F326" s="244" t="s">
        <v>752</v>
      </c>
      <c r="G326" s="244" t="s">
        <v>720</v>
      </c>
      <c r="H326" s="254">
        <v>0</v>
      </c>
      <c r="I326" s="254"/>
      <c r="J326" s="254"/>
      <c r="K326" s="255"/>
      <c r="L326" s="255">
        <v>0</v>
      </c>
      <c r="M326" s="255"/>
      <c r="N326" s="254"/>
      <c r="O326" s="256"/>
      <c r="P326" s="256">
        <v>0</v>
      </c>
      <c r="Q326" s="256"/>
      <c r="R326" s="256"/>
      <c r="S326" s="256"/>
      <c r="T326" s="290">
        <f t="shared" si="4"/>
        <v>0</v>
      </c>
      <c r="U326" s="251"/>
      <c r="V326" s="250"/>
      <c r="W326" s="250"/>
      <c r="X326" s="251"/>
    </row>
    <row r="327" spans="1:24" s="252" customFormat="1" hidden="1">
      <c r="A327" s="292">
        <v>33000</v>
      </c>
      <c r="B327" s="293"/>
      <c r="C327" s="294" t="s">
        <v>1707</v>
      </c>
      <c r="D327" s="294" t="s">
        <v>1708</v>
      </c>
      <c r="E327" s="245">
        <v>54099</v>
      </c>
      <c r="F327" s="244" t="s">
        <v>752</v>
      </c>
      <c r="G327" s="244" t="s">
        <v>720</v>
      </c>
      <c r="H327" s="254">
        <v>-6084.61</v>
      </c>
      <c r="I327" s="254">
        <v>-5847.16</v>
      </c>
      <c r="J327" s="254">
        <v>3366.97</v>
      </c>
      <c r="K327" s="255">
        <v>-22474.5</v>
      </c>
      <c r="L327" s="255">
        <v>10388.469999999999</v>
      </c>
      <c r="M327" s="255">
        <v>-240.91</v>
      </c>
      <c r="N327" s="254">
        <v>0</v>
      </c>
      <c r="O327" s="256">
        <v>0</v>
      </c>
      <c r="P327" s="256">
        <v>-5193.6400000000003</v>
      </c>
      <c r="Q327" s="256">
        <v>-13491.97</v>
      </c>
      <c r="R327" s="256">
        <v>-191932.25</v>
      </c>
      <c r="S327" s="256">
        <v>68811.17</v>
      </c>
      <c r="T327" s="290">
        <f t="shared" si="4"/>
        <v>-162698.43</v>
      </c>
      <c r="U327" s="251"/>
      <c r="V327" s="250"/>
      <c r="W327" s="250"/>
      <c r="X327" s="251"/>
    </row>
    <row r="328" spans="1:24" s="252" customFormat="1" hidden="1">
      <c r="A328" s="292">
        <v>32900</v>
      </c>
      <c r="B328" s="293" t="s">
        <v>1709</v>
      </c>
      <c r="C328" s="294" t="s">
        <v>1710</v>
      </c>
      <c r="D328" s="294" t="s">
        <v>1711</v>
      </c>
      <c r="E328" s="245">
        <v>54099</v>
      </c>
      <c r="F328" s="244" t="s">
        <v>752</v>
      </c>
      <c r="G328" s="244" t="s">
        <v>720</v>
      </c>
      <c r="H328" s="254">
        <v>0</v>
      </c>
      <c r="I328" s="254">
        <v>0</v>
      </c>
      <c r="J328" s="254">
        <v>0</v>
      </c>
      <c r="K328" s="255">
        <v>0</v>
      </c>
      <c r="L328" s="255">
        <v>0</v>
      </c>
      <c r="M328" s="255">
        <v>0</v>
      </c>
      <c r="N328" s="254">
        <v>0</v>
      </c>
      <c r="O328" s="256">
        <v>-175945.61</v>
      </c>
      <c r="P328" s="256">
        <v>0</v>
      </c>
      <c r="Q328" s="256">
        <v>0</v>
      </c>
      <c r="R328" s="256">
        <v>0</v>
      </c>
      <c r="S328" s="256">
        <v>280744.06</v>
      </c>
      <c r="T328" s="290">
        <f t="shared" si="4"/>
        <v>104798.45000000001</v>
      </c>
      <c r="U328" s="251"/>
      <c r="V328" s="250"/>
      <c r="W328" s="250"/>
      <c r="X328" s="251"/>
    </row>
    <row r="329" spans="1:24" s="252" customFormat="1" hidden="1">
      <c r="A329" s="292">
        <v>32500</v>
      </c>
      <c r="B329" s="293" t="s">
        <v>1594</v>
      </c>
      <c r="C329" s="294" t="s">
        <v>1712</v>
      </c>
      <c r="D329" s="294" t="s">
        <v>1713</v>
      </c>
      <c r="E329" s="245">
        <v>65400</v>
      </c>
      <c r="F329" s="244" t="s">
        <v>1714</v>
      </c>
      <c r="G329" s="244" t="s">
        <v>794</v>
      </c>
      <c r="H329" s="254">
        <v>-47840</v>
      </c>
      <c r="I329" s="254">
        <v>-47840</v>
      </c>
      <c r="J329" s="254">
        <v>-47840</v>
      </c>
      <c r="K329" s="255">
        <v>-47840</v>
      </c>
      <c r="L329" s="255">
        <v>-49748</v>
      </c>
      <c r="M329" s="255">
        <v>-48794</v>
      </c>
      <c r="N329" s="254">
        <v>-42659</v>
      </c>
      <c r="O329" s="256">
        <v>-39387</v>
      </c>
      <c r="P329" s="256">
        <v>-39387</v>
      </c>
      <c r="Q329" s="256">
        <v>-28079.68</v>
      </c>
      <c r="R329" s="256">
        <v>-24754</v>
      </c>
      <c r="S329" s="256">
        <v>-39013.31</v>
      </c>
      <c r="T329" s="290">
        <f t="shared" si="4"/>
        <v>-503181.99</v>
      </c>
      <c r="U329" s="251"/>
      <c r="V329" s="250">
        <v>0</v>
      </c>
      <c r="W329" s="250"/>
      <c r="X329" s="251"/>
    </row>
    <row r="330" spans="1:24" s="252" customFormat="1" hidden="1">
      <c r="A330" s="292">
        <v>32500</v>
      </c>
      <c r="B330" s="293" t="s">
        <v>1594</v>
      </c>
      <c r="C330" s="294" t="s">
        <v>1715</v>
      </c>
      <c r="D330" s="294" t="s">
        <v>1716</v>
      </c>
      <c r="E330" s="245">
        <v>65400</v>
      </c>
      <c r="F330" s="244" t="s">
        <v>1714</v>
      </c>
      <c r="G330" s="244" t="s">
        <v>794</v>
      </c>
      <c r="H330" s="254">
        <v>-7973.33</v>
      </c>
      <c r="I330" s="254">
        <v>-7973.33</v>
      </c>
      <c r="J330" s="254">
        <v>-7973.33</v>
      </c>
      <c r="K330" s="255">
        <v>-7973.33</v>
      </c>
      <c r="L330" s="255">
        <v>-8132.33</v>
      </c>
      <c r="M330" s="255">
        <v>-8132.33</v>
      </c>
      <c r="N330" s="254">
        <v>0</v>
      </c>
      <c r="O330" s="256">
        <v>0</v>
      </c>
      <c r="P330" s="256">
        <v>0</v>
      </c>
      <c r="Q330" s="256">
        <v>0</v>
      </c>
      <c r="R330" s="256">
        <v>-8251.33</v>
      </c>
      <c r="S330" s="256">
        <v>-4125.67</v>
      </c>
      <c r="T330" s="290">
        <f t="shared" si="4"/>
        <v>-60534.98</v>
      </c>
      <c r="U330" s="251"/>
      <c r="V330" s="250">
        <v>0</v>
      </c>
      <c r="W330" s="250"/>
      <c r="X330" s="251"/>
    </row>
    <row r="331" spans="1:24" s="252" customFormat="1" hidden="1">
      <c r="A331" s="292">
        <v>32500</v>
      </c>
      <c r="B331" s="293" t="s">
        <v>1594</v>
      </c>
      <c r="C331" s="294" t="s">
        <v>1717</v>
      </c>
      <c r="D331" s="294" t="s">
        <v>1718</v>
      </c>
      <c r="E331" s="245">
        <v>65400</v>
      </c>
      <c r="F331" s="244" t="s">
        <v>1714</v>
      </c>
      <c r="G331" s="244" t="s">
        <v>794</v>
      </c>
      <c r="H331" s="254">
        <v>-3986.67</v>
      </c>
      <c r="I331" s="254">
        <v>-3986.67</v>
      </c>
      <c r="J331" s="254">
        <v>-3986.67</v>
      </c>
      <c r="K331" s="255">
        <v>-3986.67</v>
      </c>
      <c r="L331" s="255">
        <v>-4066.17</v>
      </c>
      <c r="M331" s="255">
        <v>-4066.17</v>
      </c>
      <c r="N331" s="254">
        <v>-3554.92</v>
      </c>
      <c r="O331" s="256">
        <v>-3282.25</v>
      </c>
      <c r="P331" s="256">
        <v>-2062.83</v>
      </c>
      <c r="Q331" s="256">
        <v>-2062.83</v>
      </c>
      <c r="R331" s="256">
        <v>-2062.83</v>
      </c>
      <c r="S331" s="256">
        <v>26753.68</v>
      </c>
      <c r="T331" s="290">
        <f t="shared" si="4"/>
        <v>-10351</v>
      </c>
      <c r="U331" s="251"/>
      <c r="V331" s="250">
        <v>0</v>
      </c>
      <c r="W331" s="250"/>
      <c r="X331" s="251"/>
    </row>
    <row r="332" spans="1:24" s="252" customFormat="1" hidden="1">
      <c r="A332" s="292">
        <v>32510</v>
      </c>
      <c r="B332" s="293" t="s">
        <v>1603</v>
      </c>
      <c r="C332" s="294" t="s">
        <v>1719</v>
      </c>
      <c r="D332" s="294" t="s">
        <v>1720</v>
      </c>
      <c r="E332" s="245">
        <v>65401</v>
      </c>
      <c r="F332" s="244" t="s">
        <v>1721</v>
      </c>
      <c r="G332" s="244" t="s">
        <v>794</v>
      </c>
      <c r="H332" s="254">
        <v>-18197.25</v>
      </c>
      <c r="I332" s="254">
        <v>-18197.25</v>
      </c>
      <c r="J332" s="254">
        <v>-18381.740000000002</v>
      </c>
      <c r="K332" s="255">
        <v>-18381.740000000002</v>
      </c>
      <c r="L332" s="255">
        <v>-18381.740000000002</v>
      </c>
      <c r="M332" s="255">
        <v>-18381.740000000002</v>
      </c>
      <c r="N332" s="254">
        <v>-18381.740000000002</v>
      </c>
      <c r="O332" s="256">
        <v>-14352.3</v>
      </c>
      <c r="P332" s="256">
        <v>-14352.3</v>
      </c>
      <c r="Q332" s="256">
        <v>-15865.41</v>
      </c>
      <c r="R332" s="256">
        <v>-8390.86</v>
      </c>
      <c r="S332" s="256">
        <v>-8490.86</v>
      </c>
      <c r="T332" s="290">
        <f t="shared" si="4"/>
        <v>-189754.93</v>
      </c>
      <c r="U332" s="251"/>
      <c r="V332" s="250">
        <v>0</v>
      </c>
      <c r="W332" s="250"/>
      <c r="X332" s="251"/>
    </row>
    <row r="333" spans="1:24" s="252" customFormat="1" hidden="1">
      <c r="A333" s="292">
        <v>32510</v>
      </c>
      <c r="B333" s="293" t="s">
        <v>1603</v>
      </c>
      <c r="C333" s="294" t="s">
        <v>1722</v>
      </c>
      <c r="D333" s="294" t="s">
        <v>1723</v>
      </c>
      <c r="E333" s="245">
        <v>65401</v>
      </c>
      <c r="F333" s="244" t="s">
        <v>1721</v>
      </c>
      <c r="G333" s="244" t="s">
        <v>794</v>
      </c>
      <c r="H333" s="254">
        <v>-3362.7799999999988</v>
      </c>
      <c r="I333" s="254">
        <v>-3100</v>
      </c>
      <c r="J333" s="254">
        <v>-3100</v>
      </c>
      <c r="K333" s="255">
        <v>-3100</v>
      </c>
      <c r="L333" s="255">
        <v>-3100</v>
      </c>
      <c r="M333" s="255">
        <v>-3100</v>
      </c>
      <c r="N333" s="254">
        <v>-2578.2600000000002</v>
      </c>
      <c r="O333" s="256">
        <v>-2300</v>
      </c>
      <c r="P333" s="256">
        <v>-2300</v>
      </c>
      <c r="Q333" s="256">
        <v>-1721.82</v>
      </c>
      <c r="R333" s="256">
        <v>-1500</v>
      </c>
      <c r="S333" s="256">
        <v>-1500</v>
      </c>
      <c r="T333" s="290">
        <f t="shared" si="4"/>
        <v>-30762.86</v>
      </c>
      <c r="U333" s="251"/>
      <c r="V333" s="250" t="s">
        <v>1499</v>
      </c>
      <c r="W333" s="250"/>
      <c r="X333" s="251"/>
    </row>
    <row r="334" spans="1:24" s="252" customFormat="1" hidden="1">
      <c r="A334" s="292">
        <v>32700</v>
      </c>
      <c r="B334" s="293" t="s">
        <v>1609</v>
      </c>
      <c r="C334" s="294" t="s">
        <v>1724</v>
      </c>
      <c r="D334" s="294" t="s">
        <v>1725</v>
      </c>
      <c r="E334" s="245">
        <v>65401</v>
      </c>
      <c r="F334" s="244" t="s">
        <v>1721</v>
      </c>
      <c r="G334" s="244" t="s">
        <v>794</v>
      </c>
      <c r="H334" s="254">
        <v>0</v>
      </c>
      <c r="I334" s="254">
        <v>0</v>
      </c>
      <c r="J334" s="254">
        <v>0</v>
      </c>
      <c r="K334" s="255">
        <v>0</v>
      </c>
      <c r="L334" s="255">
        <v>0</v>
      </c>
      <c r="M334" s="255">
        <v>0</v>
      </c>
      <c r="N334" s="254">
        <v>0</v>
      </c>
      <c r="O334" s="256">
        <v>0</v>
      </c>
      <c r="P334" s="256">
        <v>0</v>
      </c>
      <c r="Q334" s="256">
        <v>0</v>
      </c>
      <c r="R334" s="256">
        <v>0</v>
      </c>
      <c r="S334" s="256">
        <v>0</v>
      </c>
      <c r="T334" s="290">
        <f t="shared" si="4"/>
        <v>0</v>
      </c>
      <c r="U334" s="251"/>
      <c r="V334" s="250">
        <v>0</v>
      </c>
      <c r="W334" s="250"/>
      <c r="X334" s="251"/>
    </row>
    <row r="335" spans="1:24" s="252" customFormat="1" hidden="1">
      <c r="A335" s="292">
        <v>32700</v>
      </c>
      <c r="B335" s="293" t="s">
        <v>1609</v>
      </c>
      <c r="C335" s="294" t="s">
        <v>1726</v>
      </c>
      <c r="D335" s="294" t="s">
        <v>1727</v>
      </c>
      <c r="E335" s="245">
        <v>65401</v>
      </c>
      <c r="F335" s="244" t="s">
        <v>1721</v>
      </c>
      <c r="G335" s="244" t="s">
        <v>794</v>
      </c>
      <c r="H335" s="254">
        <v>0</v>
      </c>
      <c r="I335" s="254">
        <v>0</v>
      </c>
      <c r="J335" s="254">
        <v>0</v>
      </c>
      <c r="K335" s="255">
        <v>0</v>
      </c>
      <c r="L335" s="255">
        <v>0</v>
      </c>
      <c r="M335" s="255">
        <v>0</v>
      </c>
      <c r="N335" s="254">
        <v>0</v>
      </c>
      <c r="O335" s="256">
        <v>0</v>
      </c>
      <c r="P335" s="256">
        <v>0</v>
      </c>
      <c r="Q335" s="256">
        <v>0</v>
      </c>
      <c r="R335" s="256">
        <v>0</v>
      </c>
      <c r="S335" s="256">
        <v>0</v>
      </c>
      <c r="T335" s="290">
        <f t="shared" si="4"/>
        <v>0</v>
      </c>
      <c r="U335" s="251"/>
      <c r="V335" s="250" t="s">
        <v>1499</v>
      </c>
      <c r="W335" s="250"/>
      <c r="X335" s="251"/>
    </row>
    <row r="336" spans="1:24" s="252" customFormat="1" hidden="1">
      <c r="A336" s="292">
        <v>32540</v>
      </c>
      <c r="B336" s="293" t="s">
        <v>1503</v>
      </c>
      <c r="C336" s="294" t="s">
        <v>1728</v>
      </c>
      <c r="D336" s="294" t="s">
        <v>1729</v>
      </c>
      <c r="E336" s="245">
        <v>65401</v>
      </c>
      <c r="F336" s="244" t="s">
        <v>1721</v>
      </c>
      <c r="G336" s="244" t="s">
        <v>794</v>
      </c>
      <c r="H336" s="254">
        <v>-1216.6400000000001</v>
      </c>
      <c r="I336" s="254">
        <v>-975.72000000000025</v>
      </c>
      <c r="J336" s="254">
        <v>-1415.8400000000001</v>
      </c>
      <c r="K336" s="255">
        <v>-1010.19</v>
      </c>
      <c r="L336" s="255">
        <v>-1287.96</v>
      </c>
      <c r="M336" s="255">
        <v>-1264.4199999999998</v>
      </c>
      <c r="N336" s="254">
        <v>-853.99</v>
      </c>
      <c r="O336" s="256">
        <v>-1140</v>
      </c>
      <c r="P336" s="256">
        <v>-1044.5999999999999</v>
      </c>
      <c r="Q336" s="256">
        <v>-487.21000000000004</v>
      </c>
      <c r="R336" s="256">
        <v>-438.49000000000007</v>
      </c>
      <c r="S336" s="256">
        <v>-590.67999999999984</v>
      </c>
      <c r="T336" s="290">
        <f t="shared" si="4"/>
        <v>-11725.740000000003</v>
      </c>
      <c r="U336" s="251"/>
      <c r="V336" s="250" t="s">
        <v>1499</v>
      </c>
      <c r="W336" s="250"/>
      <c r="X336" s="251"/>
    </row>
    <row r="337" spans="1:24" s="252" customFormat="1" hidden="1">
      <c r="A337" s="292">
        <v>33361</v>
      </c>
      <c r="B337" s="293" t="s">
        <v>1614</v>
      </c>
      <c r="C337" s="294" t="s">
        <v>1730</v>
      </c>
      <c r="D337" s="294" t="s">
        <v>1731</v>
      </c>
      <c r="E337" s="245">
        <v>65726</v>
      </c>
      <c r="F337" s="244" t="s">
        <v>1732</v>
      </c>
      <c r="G337" s="244" t="s">
        <v>804</v>
      </c>
      <c r="H337" s="254">
        <v>0</v>
      </c>
      <c r="I337" s="254">
        <v>0</v>
      </c>
      <c r="J337" s="254">
        <v>0</v>
      </c>
      <c r="K337" s="255">
        <v>0</v>
      </c>
      <c r="L337" s="255">
        <v>0</v>
      </c>
      <c r="M337" s="255">
        <v>0</v>
      </c>
      <c r="N337" s="254">
        <v>0</v>
      </c>
      <c r="O337" s="256">
        <v>0</v>
      </c>
      <c r="P337" s="256">
        <v>0</v>
      </c>
      <c r="Q337" s="256">
        <v>0</v>
      </c>
      <c r="R337" s="256">
        <v>0</v>
      </c>
      <c r="S337" s="256">
        <v>0</v>
      </c>
      <c r="T337" s="290">
        <f t="shared" si="4"/>
        <v>0</v>
      </c>
      <c r="U337" s="251"/>
      <c r="V337" s="250"/>
      <c r="W337" s="250"/>
      <c r="X337" s="251"/>
    </row>
    <row r="338" spans="1:24" s="252" customFormat="1" hidden="1">
      <c r="A338" s="292">
        <v>32700</v>
      </c>
      <c r="B338" s="293" t="s">
        <v>1609</v>
      </c>
      <c r="C338" s="294" t="s">
        <v>1733</v>
      </c>
      <c r="D338" s="294" t="s">
        <v>1734</v>
      </c>
      <c r="E338" s="245">
        <v>65401</v>
      </c>
      <c r="F338" s="244" t="s">
        <v>1721</v>
      </c>
      <c r="G338" s="244" t="s">
        <v>794</v>
      </c>
      <c r="H338" s="254">
        <v>-1950</v>
      </c>
      <c r="I338" s="254">
        <v>-4225.57</v>
      </c>
      <c r="J338" s="254">
        <v>-426.95000000000005</v>
      </c>
      <c r="K338" s="255">
        <v>-450</v>
      </c>
      <c r="L338" s="255">
        <v>-1000</v>
      </c>
      <c r="M338" s="255">
        <v>-444.48</v>
      </c>
      <c r="N338" s="254">
        <v>-52252.17</v>
      </c>
      <c r="O338" s="256">
        <v>-900</v>
      </c>
      <c r="P338" s="256">
        <v>-900</v>
      </c>
      <c r="Q338" s="256">
        <v>415.90999999999997</v>
      </c>
      <c r="R338" s="256">
        <v>-150</v>
      </c>
      <c r="S338" s="256">
        <v>-150</v>
      </c>
      <c r="T338" s="290">
        <f t="shared" si="4"/>
        <v>-62433.259999999995</v>
      </c>
      <c r="U338" s="251"/>
      <c r="V338" s="250" t="s">
        <v>1499</v>
      </c>
      <c r="W338" s="250"/>
      <c r="X338" s="251"/>
    </row>
    <row r="339" spans="1:24" s="252" customFormat="1" hidden="1">
      <c r="A339" s="292">
        <v>32700</v>
      </c>
      <c r="B339" s="293" t="s">
        <v>1609</v>
      </c>
      <c r="C339" s="294" t="s">
        <v>1735</v>
      </c>
      <c r="D339" s="294" t="s">
        <v>1736</v>
      </c>
      <c r="E339" s="245">
        <v>65401</v>
      </c>
      <c r="F339" s="244" t="s">
        <v>1721</v>
      </c>
      <c r="G339" s="244" t="s">
        <v>794</v>
      </c>
      <c r="H339" s="254">
        <v>-2196.7199999999998</v>
      </c>
      <c r="I339" s="254">
        <v>-1743.7499999999998</v>
      </c>
      <c r="J339" s="254">
        <v>-2405.4900000000002</v>
      </c>
      <c r="K339" s="255">
        <v>-1922.73</v>
      </c>
      <c r="L339" s="255">
        <v>-2161.2600000000002</v>
      </c>
      <c r="M339" s="255">
        <v>-2035.3600000000001</v>
      </c>
      <c r="N339" s="254">
        <v>-1312.6799999999998</v>
      </c>
      <c r="O339" s="256">
        <v>-1296.0399999999997</v>
      </c>
      <c r="P339" s="256">
        <v>-1677.0500000000002</v>
      </c>
      <c r="Q339" s="256">
        <v>-636.82999999999993</v>
      </c>
      <c r="R339" s="256">
        <v>-716.8</v>
      </c>
      <c r="S339" s="256">
        <v>-876.97</v>
      </c>
      <c r="T339" s="290">
        <f t="shared" si="4"/>
        <v>-18981.679999999997</v>
      </c>
      <c r="U339" s="251"/>
      <c r="V339" s="250" t="s">
        <v>1499</v>
      </c>
      <c r="W339" s="250"/>
      <c r="X339" s="251"/>
    </row>
    <row r="340" spans="1:24" s="252" customFormat="1" hidden="1">
      <c r="A340" s="292">
        <v>33290</v>
      </c>
      <c r="B340" s="293" t="s">
        <v>1625</v>
      </c>
      <c r="C340" s="294" t="s">
        <v>1737</v>
      </c>
      <c r="D340" s="294" t="s">
        <v>1738</v>
      </c>
      <c r="E340" s="245">
        <v>65714</v>
      </c>
      <c r="F340" s="244" t="s">
        <v>851</v>
      </c>
      <c r="G340" s="244" t="s">
        <v>804</v>
      </c>
      <c r="H340" s="254">
        <v>0</v>
      </c>
      <c r="I340" s="254">
        <v>-843</v>
      </c>
      <c r="J340" s="254">
        <v>-2541.6</v>
      </c>
      <c r="K340" s="255">
        <v>-217.52999999999997</v>
      </c>
      <c r="L340" s="255">
        <v>0</v>
      </c>
      <c r="M340" s="255">
        <v>0</v>
      </c>
      <c r="N340" s="254">
        <v>0</v>
      </c>
      <c r="O340" s="256">
        <v>0</v>
      </c>
      <c r="P340" s="256">
        <v>0</v>
      </c>
      <c r="Q340" s="256">
        <v>0</v>
      </c>
      <c r="R340" s="256">
        <v>0</v>
      </c>
      <c r="S340" s="256">
        <v>0</v>
      </c>
      <c r="T340" s="290">
        <f t="shared" si="4"/>
        <v>-3602.13</v>
      </c>
      <c r="U340" s="251"/>
      <c r="V340" s="250"/>
      <c r="W340" s="250"/>
      <c r="X340" s="251"/>
    </row>
    <row r="341" spans="1:24" s="252" customFormat="1" hidden="1">
      <c r="A341" s="292">
        <v>33290</v>
      </c>
      <c r="B341" s="293" t="s">
        <v>1625</v>
      </c>
      <c r="C341" s="294" t="s">
        <v>1739</v>
      </c>
      <c r="D341" s="294" t="s">
        <v>1740</v>
      </c>
      <c r="E341" s="245">
        <v>65715</v>
      </c>
      <c r="F341" s="244" t="s">
        <v>852</v>
      </c>
      <c r="G341" s="244" t="s">
        <v>804</v>
      </c>
      <c r="H341" s="254">
        <v>-394.32</v>
      </c>
      <c r="I341" s="254">
        <v>-1208</v>
      </c>
      <c r="J341" s="254">
        <v>-4093.75</v>
      </c>
      <c r="K341" s="255">
        <v>-3241.58</v>
      </c>
      <c r="L341" s="255">
        <v>-668.80000000000007</v>
      </c>
      <c r="M341" s="255">
        <v>-35.56</v>
      </c>
      <c r="N341" s="254">
        <v>0</v>
      </c>
      <c r="O341" s="256">
        <v>-491.54</v>
      </c>
      <c r="P341" s="256">
        <v>-1719.8</v>
      </c>
      <c r="Q341" s="256">
        <v>-10023</v>
      </c>
      <c r="R341" s="256">
        <v>0</v>
      </c>
      <c r="S341" s="256">
        <v>0</v>
      </c>
      <c r="T341" s="290">
        <f t="shared" si="4"/>
        <v>-21876.35</v>
      </c>
      <c r="U341" s="251"/>
      <c r="V341" s="250"/>
      <c r="W341" s="250"/>
      <c r="X341" s="251"/>
    </row>
    <row r="342" spans="1:24" s="252" customFormat="1" hidden="1">
      <c r="A342" s="292">
        <v>33290</v>
      </c>
      <c r="B342" s="293" t="s">
        <v>1625</v>
      </c>
      <c r="C342" s="294" t="s">
        <v>1741</v>
      </c>
      <c r="D342" s="294" t="s">
        <v>1742</v>
      </c>
      <c r="E342" s="245">
        <v>65714</v>
      </c>
      <c r="F342" s="244" t="s">
        <v>851</v>
      </c>
      <c r="G342" s="244" t="s">
        <v>804</v>
      </c>
      <c r="H342" s="254">
        <v>0</v>
      </c>
      <c r="I342" s="254">
        <v>0</v>
      </c>
      <c r="J342" s="254">
        <v>0</v>
      </c>
      <c r="K342" s="255">
        <v>0</v>
      </c>
      <c r="L342" s="255">
        <v>0</v>
      </c>
      <c r="M342" s="255">
        <v>0</v>
      </c>
      <c r="N342" s="254">
        <v>0</v>
      </c>
      <c r="O342" s="256">
        <v>0</v>
      </c>
      <c r="P342" s="256">
        <v>0</v>
      </c>
      <c r="Q342" s="256">
        <v>0</v>
      </c>
      <c r="R342" s="256">
        <v>0</v>
      </c>
      <c r="S342" s="256">
        <v>0</v>
      </c>
      <c r="T342" s="290">
        <f t="shared" si="4"/>
        <v>0</v>
      </c>
      <c r="U342" s="251"/>
      <c r="V342" s="250"/>
      <c r="W342" s="250"/>
      <c r="X342" s="251"/>
    </row>
    <row r="343" spans="1:24" s="252" customFormat="1" hidden="1">
      <c r="A343" s="292">
        <v>33300</v>
      </c>
      <c r="B343" s="293" t="s">
        <v>1632</v>
      </c>
      <c r="C343" s="294" t="s">
        <v>1743</v>
      </c>
      <c r="D343" s="294" t="s">
        <v>1744</v>
      </c>
      <c r="E343" s="245"/>
      <c r="F343" s="244"/>
      <c r="G343" s="244"/>
      <c r="H343" s="254">
        <v>0</v>
      </c>
      <c r="I343" s="254">
        <v>0</v>
      </c>
      <c r="J343" s="254">
        <v>0</v>
      </c>
      <c r="K343" s="255">
        <v>0</v>
      </c>
      <c r="L343" s="255">
        <v>0</v>
      </c>
      <c r="M343" s="255">
        <v>0</v>
      </c>
      <c r="N343" s="254">
        <v>0</v>
      </c>
      <c r="O343" s="256">
        <v>0</v>
      </c>
      <c r="P343" s="256">
        <v>0</v>
      </c>
      <c r="Q343" s="256">
        <v>0</v>
      </c>
      <c r="R343" s="256">
        <v>0</v>
      </c>
      <c r="S343" s="256">
        <v>0</v>
      </c>
      <c r="T343" s="290">
        <f t="shared" si="4"/>
        <v>0</v>
      </c>
      <c r="U343" s="251"/>
      <c r="V343" s="250"/>
      <c r="W343" s="250"/>
      <c r="X343" s="251"/>
    </row>
    <row r="344" spans="1:24" s="252" customFormat="1" hidden="1">
      <c r="A344" s="292">
        <v>33370</v>
      </c>
      <c r="B344" s="293" t="s">
        <v>1635</v>
      </c>
      <c r="C344" s="294" t="s">
        <v>1745</v>
      </c>
      <c r="D344" s="294" t="s">
        <v>1746</v>
      </c>
      <c r="E344" s="245">
        <v>65713</v>
      </c>
      <c r="F344" s="244" t="s">
        <v>850</v>
      </c>
      <c r="G344" s="244" t="s">
        <v>804</v>
      </c>
      <c r="H344" s="254">
        <v>0</v>
      </c>
      <c r="I344" s="254">
        <v>0</v>
      </c>
      <c r="J344" s="254">
        <v>0</v>
      </c>
      <c r="K344" s="255">
        <v>0</v>
      </c>
      <c r="L344" s="255">
        <v>0</v>
      </c>
      <c r="M344" s="255">
        <v>0</v>
      </c>
      <c r="N344" s="254">
        <v>0</v>
      </c>
      <c r="O344" s="256">
        <v>0</v>
      </c>
      <c r="P344" s="256">
        <v>0</v>
      </c>
      <c r="Q344" s="256">
        <v>0</v>
      </c>
      <c r="R344" s="256">
        <v>0</v>
      </c>
      <c r="S344" s="256">
        <v>0</v>
      </c>
      <c r="T344" s="290">
        <f t="shared" si="4"/>
        <v>0</v>
      </c>
      <c r="U344" s="251"/>
      <c r="V344" s="250"/>
      <c r="W344" s="250"/>
      <c r="X344" s="251"/>
    </row>
    <row r="345" spans="1:24" s="252" customFormat="1" hidden="1">
      <c r="A345" s="292">
        <v>33350</v>
      </c>
      <c r="B345" s="293" t="s">
        <v>1747</v>
      </c>
      <c r="C345" s="294" t="s">
        <v>1748</v>
      </c>
      <c r="D345" s="294" t="s">
        <v>1749</v>
      </c>
      <c r="E345" s="245">
        <v>65711</v>
      </c>
      <c r="F345" s="244" t="s">
        <v>848</v>
      </c>
      <c r="G345" s="244" t="s">
        <v>804</v>
      </c>
      <c r="H345" s="254">
        <v>0</v>
      </c>
      <c r="I345" s="254">
        <v>0</v>
      </c>
      <c r="J345" s="254">
        <v>0</v>
      </c>
      <c r="K345" s="255">
        <v>0</v>
      </c>
      <c r="L345" s="255">
        <v>0</v>
      </c>
      <c r="M345" s="255">
        <v>0</v>
      </c>
      <c r="N345" s="254">
        <v>0</v>
      </c>
      <c r="O345" s="256">
        <v>0</v>
      </c>
      <c r="P345" s="256">
        <v>0</v>
      </c>
      <c r="Q345" s="256">
        <v>0</v>
      </c>
      <c r="R345" s="256">
        <v>0</v>
      </c>
      <c r="S345" s="256">
        <v>0</v>
      </c>
      <c r="T345" s="290">
        <f t="shared" si="4"/>
        <v>0</v>
      </c>
      <c r="U345" s="251"/>
      <c r="V345" s="250"/>
      <c r="W345" s="250"/>
      <c r="X345" s="251"/>
    </row>
    <row r="346" spans="1:24" s="252" customFormat="1" hidden="1">
      <c r="A346" s="292">
        <v>33220</v>
      </c>
      <c r="B346" s="293" t="s">
        <v>1644</v>
      </c>
      <c r="C346" s="294" t="s">
        <v>1750</v>
      </c>
      <c r="D346" s="294" t="s">
        <v>1751</v>
      </c>
      <c r="E346" s="245"/>
      <c r="F346" s="244"/>
      <c r="G346" s="244"/>
      <c r="H346" s="254">
        <v>0</v>
      </c>
      <c r="I346" s="254">
        <v>0</v>
      </c>
      <c r="J346" s="254">
        <v>0</v>
      </c>
      <c r="K346" s="255">
        <v>0</v>
      </c>
      <c r="L346" s="255">
        <v>0</v>
      </c>
      <c r="M346" s="255">
        <v>0</v>
      </c>
      <c r="N346" s="254">
        <v>0</v>
      </c>
      <c r="O346" s="256">
        <v>0</v>
      </c>
      <c r="P346" s="256">
        <v>0</v>
      </c>
      <c r="Q346" s="256">
        <v>0</v>
      </c>
      <c r="R346" s="256">
        <v>0</v>
      </c>
      <c r="S346" s="256">
        <v>0</v>
      </c>
      <c r="T346" s="290">
        <f t="shared" si="4"/>
        <v>0</v>
      </c>
      <c r="U346" s="251"/>
      <c r="V346" s="250"/>
      <c r="W346" s="250"/>
      <c r="X346" s="251"/>
    </row>
    <row r="347" spans="1:24" s="252" customFormat="1" hidden="1">
      <c r="A347" s="292">
        <v>33220</v>
      </c>
      <c r="B347" s="293" t="s">
        <v>1644</v>
      </c>
      <c r="C347" s="294" t="s">
        <v>1752</v>
      </c>
      <c r="D347" s="294" t="s">
        <v>1753</v>
      </c>
      <c r="E347" s="245"/>
      <c r="F347" s="244"/>
      <c r="G347" s="244"/>
      <c r="H347" s="254">
        <v>0</v>
      </c>
      <c r="I347" s="254">
        <v>0</v>
      </c>
      <c r="J347" s="254">
        <v>0</v>
      </c>
      <c r="K347" s="255">
        <v>0</v>
      </c>
      <c r="L347" s="255">
        <v>0</v>
      </c>
      <c r="M347" s="255">
        <v>0</v>
      </c>
      <c r="N347" s="254">
        <v>0</v>
      </c>
      <c r="O347" s="256">
        <v>0</v>
      </c>
      <c r="P347" s="256">
        <v>0</v>
      </c>
      <c r="Q347" s="256">
        <v>0</v>
      </c>
      <c r="R347" s="256">
        <v>0</v>
      </c>
      <c r="S347" s="256">
        <v>0</v>
      </c>
      <c r="T347" s="290">
        <f t="shared" si="4"/>
        <v>0</v>
      </c>
      <c r="U347" s="251"/>
      <c r="V347" s="250"/>
      <c r="W347" s="250"/>
      <c r="X347" s="251"/>
    </row>
    <row r="348" spans="1:24" s="252" customFormat="1" hidden="1">
      <c r="A348" s="292">
        <v>33230</v>
      </c>
      <c r="B348" s="293" t="s">
        <v>1649</v>
      </c>
      <c r="C348" s="294" t="s">
        <v>1754</v>
      </c>
      <c r="D348" s="294" t="s">
        <v>1755</v>
      </c>
      <c r="E348" s="245"/>
      <c r="F348" s="244"/>
      <c r="G348" s="244"/>
      <c r="H348" s="254">
        <v>0</v>
      </c>
      <c r="I348" s="254">
        <v>0</v>
      </c>
      <c r="J348" s="254">
        <v>0</v>
      </c>
      <c r="K348" s="255">
        <v>0</v>
      </c>
      <c r="L348" s="255">
        <v>0</v>
      </c>
      <c r="M348" s="255">
        <v>0</v>
      </c>
      <c r="N348" s="254">
        <v>0</v>
      </c>
      <c r="O348" s="256">
        <v>0</v>
      </c>
      <c r="P348" s="256">
        <v>0</v>
      </c>
      <c r="Q348" s="256">
        <v>0</v>
      </c>
      <c r="R348" s="256">
        <v>0</v>
      </c>
      <c r="S348" s="256">
        <v>0</v>
      </c>
      <c r="T348" s="290">
        <f t="shared" si="4"/>
        <v>0</v>
      </c>
      <c r="U348" s="251"/>
      <c r="V348" s="250"/>
      <c r="W348" s="250"/>
      <c r="X348" s="251"/>
    </row>
    <row r="349" spans="1:24" s="252" customFormat="1" hidden="1">
      <c r="A349" s="292">
        <v>33230</v>
      </c>
      <c r="B349" s="293" t="s">
        <v>1649</v>
      </c>
      <c r="C349" s="294" t="s">
        <v>1756</v>
      </c>
      <c r="D349" s="294" t="s">
        <v>1757</v>
      </c>
      <c r="E349" s="245"/>
      <c r="F349" s="244"/>
      <c r="G349" s="244"/>
      <c r="H349" s="254">
        <v>0</v>
      </c>
      <c r="I349" s="254">
        <v>0</v>
      </c>
      <c r="J349" s="254">
        <v>0</v>
      </c>
      <c r="K349" s="255">
        <v>0</v>
      </c>
      <c r="L349" s="255">
        <v>0</v>
      </c>
      <c r="M349" s="255">
        <v>0</v>
      </c>
      <c r="N349" s="254">
        <v>0</v>
      </c>
      <c r="O349" s="256">
        <v>0</v>
      </c>
      <c r="P349" s="256">
        <v>0</v>
      </c>
      <c r="Q349" s="256">
        <v>0</v>
      </c>
      <c r="R349" s="256">
        <v>0</v>
      </c>
      <c r="S349" s="256">
        <v>0</v>
      </c>
      <c r="T349" s="290">
        <f t="shared" si="4"/>
        <v>0</v>
      </c>
      <c r="U349" s="251"/>
      <c r="V349" s="250"/>
      <c r="W349" s="250"/>
      <c r="X349" s="251"/>
    </row>
    <row r="350" spans="1:24" s="252" customFormat="1" hidden="1">
      <c r="A350" s="292">
        <v>33240</v>
      </c>
      <c r="B350" s="293" t="s">
        <v>1652</v>
      </c>
      <c r="C350" s="294" t="s">
        <v>1758</v>
      </c>
      <c r="D350" s="294" t="s">
        <v>1759</v>
      </c>
      <c r="E350" s="245"/>
      <c r="F350" s="244"/>
      <c r="G350" s="244"/>
      <c r="H350" s="254">
        <v>0</v>
      </c>
      <c r="I350" s="254">
        <v>0</v>
      </c>
      <c r="J350" s="254">
        <v>0</v>
      </c>
      <c r="K350" s="255">
        <v>0</v>
      </c>
      <c r="L350" s="255">
        <v>0</v>
      </c>
      <c r="M350" s="255">
        <v>0</v>
      </c>
      <c r="N350" s="254">
        <v>0</v>
      </c>
      <c r="O350" s="256">
        <v>0</v>
      </c>
      <c r="P350" s="256">
        <v>0</v>
      </c>
      <c r="Q350" s="256">
        <v>0</v>
      </c>
      <c r="R350" s="256">
        <v>0</v>
      </c>
      <c r="S350" s="256">
        <v>0</v>
      </c>
      <c r="T350" s="290">
        <f t="shared" si="4"/>
        <v>0</v>
      </c>
      <c r="U350" s="251"/>
      <c r="V350" s="250"/>
      <c r="W350" s="250"/>
      <c r="X350" s="251"/>
    </row>
    <row r="351" spans="1:24" s="252" customFormat="1" hidden="1">
      <c r="A351" s="292">
        <v>33240</v>
      </c>
      <c r="B351" s="293" t="s">
        <v>1652</v>
      </c>
      <c r="C351" s="294" t="s">
        <v>1760</v>
      </c>
      <c r="D351" s="294" t="s">
        <v>1761</v>
      </c>
      <c r="E351" s="245"/>
      <c r="F351" s="244"/>
      <c r="G351" s="244"/>
      <c r="H351" s="254">
        <v>0</v>
      </c>
      <c r="I351" s="254">
        <v>0</v>
      </c>
      <c r="J351" s="254">
        <v>0</v>
      </c>
      <c r="K351" s="255">
        <v>0</v>
      </c>
      <c r="L351" s="255">
        <v>0</v>
      </c>
      <c r="M351" s="255">
        <v>0</v>
      </c>
      <c r="N351" s="254">
        <v>0</v>
      </c>
      <c r="O351" s="256">
        <v>0</v>
      </c>
      <c r="P351" s="256">
        <v>0</v>
      </c>
      <c r="Q351" s="256">
        <v>0</v>
      </c>
      <c r="R351" s="256">
        <v>0</v>
      </c>
      <c r="S351" s="256">
        <v>0</v>
      </c>
      <c r="T351" s="290">
        <f t="shared" si="4"/>
        <v>0</v>
      </c>
      <c r="U351" s="251"/>
      <c r="V351" s="250"/>
      <c r="W351" s="250"/>
      <c r="X351" s="251"/>
    </row>
    <row r="352" spans="1:24" s="252" customFormat="1" hidden="1">
      <c r="A352" s="296">
        <v>33240</v>
      </c>
      <c r="B352" s="293" t="s">
        <v>1652</v>
      </c>
      <c r="C352" s="294" t="s">
        <v>1762</v>
      </c>
      <c r="D352" s="294" t="s">
        <v>1763</v>
      </c>
      <c r="E352" s="245"/>
      <c r="F352" s="244"/>
      <c r="G352" s="244"/>
      <c r="H352" s="254">
        <v>0</v>
      </c>
      <c r="I352" s="254">
        <v>0</v>
      </c>
      <c r="J352" s="254">
        <v>0</v>
      </c>
      <c r="K352" s="255">
        <v>0</v>
      </c>
      <c r="L352" s="255">
        <v>0</v>
      </c>
      <c r="M352" s="255">
        <v>0</v>
      </c>
      <c r="N352" s="254">
        <v>0</v>
      </c>
      <c r="O352" s="256">
        <v>0</v>
      </c>
      <c r="P352" s="256">
        <v>0</v>
      </c>
      <c r="Q352" s="256">
        <v>0</v>
      </c>
      <c r="R352" s="256">
        <v>0</v>
      </c>
      <c r="S352" s="256">
        <v>0</v>
      </c>
      <c r="T352" s="290">
        <f t="shared" si="4"/>
        <v>0</v>
      </c>
      <c r="U352" s="251"/>
      <c r="V352" s="250"/>
      <c r="W352" s="250"/>
      <c r="X352" s="251"/>
    </row>
    <row r="353" spans="1:24" s="307" customFormat="1" hidden="1">
      <c r="A353" s="301">
        <v>33360</v>
      </c>
      <c r="B353" s="302" t="s">
        <v>1678</v>
      </c>
      <c r="C353" s="303" t="s">
        <v>1764</v>
      </c>
      <c r="D353" s="303" t="s">
        <v>1765</v>
      </c>
      <c r="E353" s="297">
        <v>65312</v>
      </c>
      <c r="F353" s="298" t="s">
        <v>816</v>
      </c>
      <c r="G353" s="298" t="s">
        <v>804</v>
      </c>
      <c r="H353" s="300">
        <v>0</v>
      </c>
      <c r="I353" s="300">
        <v>0</v>
      </c>
      <c r="J353" s="300">
        <v>0</v>
      </c>
      <c r="K353" s="299">
        <v>0</v>
      </c>
      <c r="L353" s="299">
        <v>0</v>
      </c>
      <c r="M353" s="299">
        <v>0</v>
      </c>
      <c r="N353" s="300">
        <v>0</v>
      </c>
      <c r="O353" s="304">
        <v>0</v>
      </c>
      <c r="P353" s="304">
        <v>0</v>
      </c>
      <c r="Q353" s="256">
        <v>0</v>
      </c>
      <c r="R353" s="304">
        <v>0</v>
      </c>
      <c r="S353" s="304">
        <v>0</v>
      </c>
      <c r="T353" s="290">
        <f t="shared" si="4"/>
        <v>0</v>
      </c>
      <c r="U353" s="305"/>
      <c r="V353" s="306"/>
      <c r="W353" s="250"/>
      <c r="X353" s="251"/>
    </row>
    <row r="354" spans="1:24" s="307" customFormat="1" hidden="1">
      <c r="A354" s="301">
        <v>33360</v>
      </c>
      <c r="B354" s="302" t="s">
        <v>1678</v>
      </c>
      <c r="C354" s="303" t="s">
        <v>1766</v>
      </c>
      <c r="D354" s="303" t="s">
        <v>1767</v>
      </c>
      <c r="E354" s="297">
        <v>65312</v>
      </c>
      <c r="F354" s="298" t="s">
        <v>816</v>
      </c>
      <c r="G354" s="298" t="s">
        <v>804</v>
      </c>
      <c r="H354" s="300">
        <v>0</v>
      </c>
      <c r="I354" s="300">
        <v>0</v>
      </c>
      <c r="J354" s="300">
        <v>0</v>
      </c>
      <c r="K354" s="299">
        <v>0</v>
      </c>
      <c r="L354" s="299">
        <v>0</v>
      </c>
      <c r="M354" s="299">
        <v>0</v>
      </c>
      <c r="N354" s="300">
        <v>0</v>
      </c>
      <c r="O354" s="304">
        <v>0</v>
      </c>
      <c r="P354" s="304">
        <v>0</v>
      </c>
      <c r="Q354" s="256">
        <v>0</v>
      </c>
      <c r="R354" s="304">
        <v>0</v>
      </c>
      <c r="S354" s="304">
        <v>0</v>
      </c>
      <c r="T354" s="290">
        <f t="shared" si="4"/>
        <v>0</v>
      </c>
      <c r="U354" s="305"/>
      <c r="V354" s="306"/>
      <c r="W354" s="250"/>
      <c r="X354" s="251"/>
    </row>
    <row r="355" spans="1:24" s="252" customFormat="1" hidden="1">
      <c r="A355" s="296">
        <v>33360</v>
      </c>
      <c r="B355" s="293" t="s">
        <v>1678</v>
      </c>
      <c r="C355" s="294" t="s">
        <v>1768</v>
      </c>
      <c r="D355" s="294" t="s">
        <v>1769</v>
      </c>
      <c r="E355" s="245"/>
      <c r="F355" s="244"/>
      <c r="G355" s="244"/>
      <c r="H355" s="254">
        <v>0</v>
      </c>
      <c r="I355" s="254">
        <v>0</v>
      </c>
      <c r="J355" s="254">
        <v>0</v>
      </c>
      <c r="K355" s="255">
        <v>0</v>
      </c>
      <c r="L355" s="255">
        <v>0</v>
      </c>
      <c r="M355" s="255">
        <v>0</v>
      </c>
      <c r="N355" s="254">
        <v>0</v>
      </c>
      <c r="O355" s="256">
        <v>0</v>
      </c>
      <c r="P355" s="256">
        <v>0</v>
      </c>
      <c r="Q355" s="256">
        <v>0</v>
      </c>
      <c r="R355" s="256">
        <v>0</v>
      </c>
      <c r="S355" s="256">
        <v>0</v>
      </c>
      <c r="T355" s="290">
        <f t="shared" si="4"/>
        <v>0</v>
      </c>
      <c r="U355" s="251"/>
      <c r="V355" s="250"/>
      <c r="W355" s="250"/>
      <c r="X355" s="251"/>
    </row>
    <row r="356" spans="1:24" s="307" customFormat="1" hidden="1">
      <c r="A356" s="301">
        <v>33310</v>
      </c>
      <c r="B356" s="302" t="s">
        <v>1662</v>
      </c>
      <c r="C356" s="303" t="s">
        <v>1770</v>
      </c>
      <c r="D356" s="303" t="s">
        <v>1771</v>
      </c>
      <c r="E356" s="297">
        <v>54003</v>
      </c>
      <c r="F356" s="298" t="s">
        <v>723</v>
      </c>
      <c r="G356" s="298" t="s">
        <v>720</v>
      </c>
      <c r="H356" s="300">
        <v>0</v>
      </c>
      <c r="I356" s="300">
        <v>0</v>
      </c>
      <c r="J356" s="300">
        <v>0</v>
      </c>
      <c r="K356" s="299">
        <v>0</v>
      </c>
      <c r="L356" s="299">
        <v>0</v>
      </c>
      <c r="M356" s="299">
        <v>0</v>
      </c>
      <c r="N356" s="300">
        <v>0</v>
      </c>
      <c r="O356" s="304">
        <v>0</v>
      </c>
      <c r="P356" s="304">
        <v>0</v>
      </c>
      <c r="Q356" s="256">
        <v>0</v>
      </c>
      <c r="R356" s="304">
        <v>0</v>
      </c>
      <c r="S356" s="304">
        <v>-5678.53</v>
      </c>
      <c r="T356" s="290">
        <f t="shared" si="4"/>
        <v>-5678.53</v>
      </c>
      <c r="U356" s="305"/>
      <c r="V356" s="306"/>
      <c r="W356" s="250"/>
      <c r="X356" s="251"/>
    </row>
    <row r="357" spans="1:24" s="252" customFormat="1" hidden="1">
      <c r="A357" s="292">
        <v>33310</v>
      </c>
      <c r="B357" s="293" t="s">
        <v>1662</v>
      </c>
      <c r="C357" s="294" t="s">
        <v>1772</v>
      </c>
      <c r="D357" s="294" t="s">
        <v>1773</v>
      </c>
      <c r="E357" s="245"/>
      <c r="F357" s="244"/>
      <c r="G357" s="244"/>
      <c r="H357" s="254">
        <v>0</v>
      </c>
      <c r="I357" s="254">
        <v>0</v>
      </c>
      <c r="J357" s="254">
        <v>0</v>
      </c>
      <c r="K357" s="255">
        <v>0</v>
      </c>
      <c r="L357" s="255">
        <v>0</v>
      </c>
      <c r="M357" s="255">
        <v>0</v>
      </c>
      <c r="N357" s="254">
        <v>0</v>
      </c>
      <c r="O357" s="256">
        <v>0</v>
      </c>
      <c r="P357" s="256">
        <v>0</v>
      </c>
      <c r="Q357" s="256">
        <v>0</v>
      </c>
      <c r="R357" s="256">
        <v>0</v>
      </c>
      <c r="S357" s="256">
        <v>0</v>
      </c>
      <c r="T357" s="290">
        <f t="shared" si="4"/>
        <v>0</v>
      </c>
      <c r="U357" s="251"/>
      <c r="V357" s="250"/>
      <c r="W357" s="250"/>
      <c r="X357" s="251"/>
    </row>
    <row r="358" spans="1:24" s="307" customFormat="1" hidden="1">
      <c r="A358" s="301">
        <v>33310</v>
      </c>
      <c r="B358" s="302" t="s">
        <v>1662</v>
      </c>
      <c r="C358" s="303" t="s">
        <v>1774</v>
      </c>
      <c r="D358" s="303" t="s">
        <v>1775</v>
      </c>
      <c r="E358" s="297">
        <v>54003</v>
      </c>
      <c r="F358" s="298" t="s">
        <v>723</v>
      </c>
      <c r="G358" s="298" t="s">
        <v>720</v>
      </c>
      <c r="H358" s="300">
        <v>0</v>
      </c>
      <c r="I358" s="300">
        <v>0</v>
      </c>
      <c r="J358" s="300">
        <v>0</v>
      </c>
      <c r="K358" s="299">
        <v>0</v>
      </c>
      <c r="L358" s="299">
        <v>0</v>
      </c>
      <c r="M358" s="299">
        <v>0</v>
      </c>
      <c r="N358" s="300">
        <v>0</v>
      </c>
      <c r="O358" s="304">
        <v>0</v>
      </c>
      <c r="P358" s="304">
        <v>0</v>
      </c>
      <c r="Q358" s="256">
        <v>0</v>
      </c>
      <c r="R358" s="304">
        <v>0</v>
      </c>
      <c r="S358" s="304">
        <v>0</v>
      </c>
      <c r="T358" s="290">
        <f t="shared" si="4"/>
        <v>0</v>
      </c>
      <c r="U358" s="305"/>
      <c r="V358" s="306"/>
      <c r="W358" s="250"/>
      <c r="X358" s="251"/>
    </row>
    <row r="359" spans="1:24" s="307" customFormat="1" hidden="1">
      <c r="A359" s="301">
        <v>33380</v>
      </c>
      <c r="B359" s="302" t="s">
        <v>1685</v>
      </c>
      <c r="C359" s="303" t="s">
        <v>1776</v>
      </c>
      <c r="D359" s="303" t="s">
        <v>1777</v>
      </c>
      <c r="E359" s="297">
        <v>65716</v>
      </c>
      <c r="F359" s="298" t="s">
        <v>853</v>
      </c>
      <c r="G359" s="298" t="s">
        <v>804</v>
      </c>
      <c r="H359" s="300">
        <v>0</v>
      </c>
      <c r="I359" s="300">
        <v>0</v>
      </c>
      <c r="J359" s="300">
        <v>0</v>
      </c>
      <c r="K359" s="299">
        <v>0</v>
      </c>
      <c r="L359" s="299">
        <v>0</v>
      </c>
      <c r="M359" s="299">
        <v>0</v>
      </c>
      <c r="N359" s="300">
        <v>0</v>
      </c>
      <c r="O359" s="304">
        <v>0</v>
      </c>
      <c r="P359" s="304">
        <v>0</v>
      </c>
      <c r="Q359" s="256">
        <v>0</v>
      </c>
      <c r="R359" s="304">
        <v>0</v>
      </c>
      <c r="S359" s="304">
        <v>0</v>
      </c>
      <c r="T359" s="290">
        <f t="shared" si="4"/>
        <v>0</v>
      </c>
      <c r="U359" s="305"/>
      <c r="V359" s="306"/>
      <c r="W359" s="250"/>
      <c r="X359" s="251"/>
    </row>
    <row r="360" spans="1:24" s="252" customFormat="1" hidden="1">
      <c r="A360" s="292">
        <v>33410</v>
      </c>
      <c r="B360" s="293" t="s">
        <v>1688</v>
      </c>
      <c r="C360" s="294" t="s">
        <v>1778</v>
      </c>
      <c r="D360" s="294" t="s">
        <v>1779</v>
      </c>
      <c r="E360" s="245"/>
      <c r="F360" s="244"/>
      <c r="G360" s="244"/>
      <c r="H360" s="254">
        <v>0</v>
      </c>
      <c r="I360" s="254">
        <v>0</v>
      </c>
      <c r="J360" s="254">
        <v>0</v>
      </c>
      <c r="K360" s="255">
        <v>0</v>
      </c>
      <c r="L360" s="255">
        <v>0</v>
      </c>
      <c r="M360" s="255">
        <v>0</v>
      </c>
      <c r="N360" s="254">
        <v>0</v>
      </c>
      <c r="O360" s="256">
        <v>0</v>
      </c>
      <c r="P360" s="256">
        <v>0</v>
      </c>
      <c r="Q360" s="256">
        <v>0</v>
      </c>
      <c r="R360" s="256">
        <v>0</v>
      </c>
      <c r="S360" s="256">
        <v>0</v>
      </c>
      <c r="T360" s="290">
        <f t="shared" si="4"/>
        <v>0</v>
      </c>
      <c r="U360" s="251"/>
      <c r="V360" s="250"/>
      <c r="W360" s="250"/>
      <c r="X360" s="251"/>
    </row>
    <row r="361" spans="1:24" s="252" customFormat="1" hidden="1">
      <c r="A361" s="292">
        <v>33410</v>
      </c>
      <c r="B361" s="293" t="s">
        <v>1688</v>
      </c>
      <c r="C361" s="294" t="s">
        <v>1780</v>
      </c>
      <c r="D361" s="294" t="s">
        <v>1781</v>
      </c>
      <c r="E361" s="245"/>
      <c r="F361" s="244"/>
      <c r="G361" s="244"/>
      <c r="H361" s="254">
        <v>0</v>
      </c>
      <c r="I361" s="254">
        <v>0</v>
      </c>
      <c r="J361" s="254">
        <v>0</v>
      </c>
      <c r="K361" s="255">
        <v>0</v>
      </c>
      <c r="L361" s="255">
        <v>0</v>
      </c>
      <c r="M361" s="255">
        <v>0</v>
      </c>
      <c r="N361" s="254">
        <v>0</v>
      </c>
      <c r="O361" s="256">
        <v>0</v>
      </c>
      <c r="P361" s="256">
        <v>0</v>
      </c>
      <c r="Q361" s="256">
        <v>0</v>
      </c>
      <c r="R361" s="256">
        <v>0</v>
      </c>
      <c r="S361" s="256">
        <v>0</v>
      </c>
      <c r="T361" s="290">
        <f t="shared" si="4"/>
        <v>0</v>
      </c>
      <c r="U361" s="251"/>
      <c r="V361" s="250"/>
      <c r="W361" s="250"/>
      <c r="X361" s="251"/>
    </row>
    <row r="362" spans="1:24" s="252" customFormat="1" hidden="1">
      <c r="A362" s="292">
        <v>33100</v>
      </c>
      <c r="B362" s="293" t="s">
        <v>1782</v>
      </c>
      <c r="C362" s="294" t="s">
        <v>1783</v>
      </c>
      <c r="D362" s="294" t="s">
        <v>1784</v>
      </c>
      <c r="E362" s="245">
        <v>65799</v>
      </c>
      <c r="F362" s="244" t="s">
        <v>1785</v>
      </c>
      <c r="G362" s="244" t="s">
        <v>804</v>
      </c>
      <c r="H362" s="254">
        <v>79615.199999999997</v>
      </c>
      <c r="I362" s="254">
        <v>63692.160000000003</v>
      </c>
      <c r="J362" s="254">
        <v>50422.96</v>
      </c>
      <c r="K362" s="255">
        <v>34499.919999999998</v>
      </c>
      <c r="L362" s="255">
        <v>30646.560000000001</v>
      </c>
      <c r="M362" s="255">
        <v>43780.800000000003</v>
      </c>
      <c r="N362" s="254">
        <v>45969.84</v>
      </c>
      <c r="O362" s="256">
        <v>45969.84</v>
      </c>
      <c r="P362" s="256">
        <v>59104.08</v>
      </c>
      <c r="Q362" s="256">
        <v>32835.599999999999</v>
      </c>
      <c r="R362" s="256">
        <v>32835.599999999999</v>
      </c>
      <c r="S362" s="256">
        <v>17512.32</v>
      </c>
      <c r="T362" s="290">
        <f t="shared" si="4"/>
        <v>536884.87999999989</v>
      </c>
      <c r="U362" s="251"/>
      <c r="V362" s="250"/>
      <c r="W362" s="250"/>
      <c r="X362" s="251"/>
    </row>
    <row r="363" spans="1:24" s="252" customFormat="1" hidden="1">
      <c r="A363" s="292">
        <v>33200</v>
      </c>
      <c r="B363" s="293" t="s">
        <v>1786</v>
      </c>
      <c r="C363" s="294" t="s">
        <v>1787</v>
      </c>
      <c r="D363" s="294" t="s">
        <v>1788</v>
      </c>
      <c r="E363" s="245">
        <v>65799</v>
      </c>
      <c r="F363" s="244" t="s">
        <v>1785</v>
      </c>
      <c r="G363" s="244" t="s">
        <v>804</v>
      </c>
      <c r="H363" s="254">
        <v>55730.64</v>
      </c>
      <c r="I363" s="254">
        <v>55730.64</v>
      </c>
      <c r="J363" s="254">
        <v>71653.679999999993</v>
      </c>
      <c r="K363" s="255">
        <v>74307.520000000004</v>
      </c>
      <c r="L363" s="255">
        <v>35024.639999999999</v>
      </c>
      <c r="M363" s="255">
        <v>17512.32</v>
      </c>
      <c r="N363" s="254">
        <v>28457.52</v>
      </c>
      <c r="O363" s="256">
        <v>21890.400000000001</v>
      </c>
      <c r="P363" s="256">
        <v>8756.16</v>
      </c>
      <c r="Q363" s="256">
        <v>0</v>
      </c>
      <c r="R363" s="256">
        <v>0</v>
      </c>
      <c r="S363" s="256">
        <v>0</v>
      </c>
      <c r="T363" s="290">
        <f t="shared" si="4"/>
        <v>369063.52</v>
      </c>
      <c r="U363" s="251"/>
      <c r="V363" s="250"/>
      <c r="W363" s="250"/>
      <c r="X363" s="251"/>
    </row>
    <row r="364" spans="1:24" s="252" customFormat="1" hidden="1">
      <c r="A364" s="292">
        <v>32500</v>
      </c>
      <c r="B364" s="293" t="s">
        <v>1594</v>
      </c>
      <c r="C364" s="294" t="s">
        <v>1789</v>
      </c>
      <c r="D364" s="294" t="s">
        <v>1790</v>
      </c>
      <c r="E364" s="245">
        <v>65000</v>
      </c>
      <c r="F364" s="244" t="s">
        <v>793</v>
      </c>
      <c r="G364" s="244" t="s">
        <v>794</v>
      </c>
      <c r="H364" s="254">
        <v>-163123.92000000001</v>
      </c>
      <c r="I364" s="254">
        <v>-160106</v>
      </c>
      <c r="J364" s="254">
        <v>-157106</v>
      </c>
      <c r="K364" s="255">
        <v>-168106</v>
      </c>
      <c r="L364" s="255">
        <v>-173120</v>
      </c>
      <c r="M364" s="255">
        <v>-169213</v>
      </c>
      <c r="N364" s="254">
        <v>-163649</v>
      </c>
      <c r="O364" s="256">
        <v>-163649</v>
      </c>
      <c r="P364" s="256">
        <v>-163649</v>
      </c>
      <c r="Q364" s="256">
        <v>-163649</v>
      </c>
      <c r="R364" s="256">
        <v>-163649</v>
      </c>
      <c r="S364" s="256">
        <v>-107697.59000000003</v>
      </c>
      <c r="T364" s="290">
        <f t="shared" si="4"/>
        <v>-1916717.51</v>
      </c>
      <c r="U364" s="251"/>
      <c r="V364" s="250">
        <v>0</v>
      </c>
      <c r="W364" s="250"/>
      <c r="X364" s="251"/>
    </row>
    <row r="365" spans="1:24" s="252" customFormat="1" hidden="1">
      <c r="A365" s="292">
        <v>32500</v>
      </c>
      <c r="B365" s="293" t="s">
        <v>1594</v>
      </c>
      <c r="C365" s="294" t="s">
        <v>1791</v>
      </c>
      <c r="D365" s="294" t="s">
        <v>1792</v>
      </c>
      <c r="E365" s="245">
        <v>65000</v>
      </c>
      <c r="F365" s="244" t="s">
        <v>793</v>
      </c>
      <c r="G365" s="244" t="s">
        <v>794</v>
      </c>
      <c r="H365" s="254"/>
      <c r="I365" s="254"/>
      <c r="J365" s="254"/>
      <c r="K365" s="255"/>
      <c r="L365" s="255"/>
      <c r="M365" s="255"/>
      <c r="N365" s="254"/>
      <c r="O365" s="256"/>
      <c r="P365" s="256"/>
      <c r="Q365" s="256">
        <v>-3982.76</v>
      </c>
      <c r="R365" s="256">
        <v>-2378.84</v>
      </c>
      <c r="S365" s="256">
        <v>0</v>
      </c>
      <c r="T365" s="290">
        <f t="shared" si="4"/>
        <v>-6361.6</v>
      </c>
      <c r="U365" s="251"/>
      <c r="V365" s="250" t="e">
        <v>#N/A</v>
      </c>
      <c r="W365" s="250"/>
      <c r="X365" s="251"/>
    </row>
    <row r="366" spans="1:24" s="252" customFormat="1" hidden="1">
      <c r="A366" s="292">
        <v>32500</v>
      </c>
      <c r="B366" s="293" t="s">
        <v>1594</v>
      </c>
      <c r="C366" s="294" t="s">
        <v>1793</v>
      </c>
      <c r="D366" s="294" t="s">
        <v>1794</v>
      </c>
      <c r="E366" s="245">
        <v>65000</v>
      </c>
      <c r="F366" s="244" t="s">
        <v>793</v>
      </c>
      <c r="G366" s="244" t="s">
        <v>794</v>
      </c>
      <c r="H366" s="254">
        <v>-26184.33</v>
      </c>
      <c r="I366" s="254">
        <v>-26184.33</v>
      </c>
      <c r="J366" s="254">
        <v>-26184.33</v>
      </c>
      <c r="K366" s="255">
        <v>-28017.66</v>
      </c>
      <c r="L366" s="255">
        <v>-14410.2</v>
      </c>
      <c r="M366" s="255">
        <v>-26108.16</v>
      </c>
      <c r="N366" s="254">
        <v>0</v>
      </c>
      <c r="O366" s="256">
        <v>0</v>
      </c>
      <c r="P366" s="256">
        <v>0</v>
      </c>
      <c r="Q366" s="256">
        <v>0</v>
      </c>
      <c r="R366" s="256">
        <v>-54549.66</v>
      </c>
      <c r="S366" s="256">
        <v>-27274.84</v>
      </c>
      <c r="T366" s="290">
        <f t="shared" si="4"/>
        <v>-228913.51</v>
      </c>
      <c r="U366" s="251"/>
      <c r="V366" s="250">
        <v>0</v>
      </c>
      <c r="W366" s="250"/>
      <c r="X366" s="251"/>
    </row>
    <row r="367" spans="1:24" s="252" customFormat="1" hidden="1">
      <c r="A367" s="292">
        <v>32500</v>
      </c>
      <c r="B367" s="293" t="s">
        <v>1594</v>
      </c>
      <c r="C367" s="294" t="s">
        <v>1795</v>
      </c>
      <c r="D367" s="294" t="s">
        <v>1796</v>
      </c>
      <c r="E367" s="245">
        <v>65000</v>
      </c>
      <c r="F367" s="244" t="s">
        <v>793</v>
      </c>
      <c r="G367" s="244" t="s">
        <v>794</v>
      </c>
      <c r="H367" s="254">
        <v>-13092.16</v>
      </c>
      <c r="I367" s="254">
        <v>-13092.16</v>
      </c>
      <c r="J367" s="254">
        <v>-13092.16</v>
      </c>
      <c r="K367" s="255">
        <v>-14008.83</v>
      </c>
      <c r="L367" s="255">
        <v>-7205.08</v>
      </c>
      <c r="M367" s="255">
        <v>-13054.08</v>
      </c>
      <c r="N367" s="254">
        <v>-13637.41</v>
      </c>
      <c r="O367" s="256">
        <v>-13637.41</v>
      </c>
      <c r="P367" s="256">
        <v>-13637.41</v>
      </c>
      <c r="Q367" s="256">
        <v>-13637.41</v>
      </c>
      <c r="R367" s="256">
        <v>-13637.41</v>
      </c>
      <c r="S367" s="256">
        <v>-70098.48000000001</v>
      </c>
      <c r="T367" s="290">
        <f t="shared" si="4"/>
        <v>-211830.00000000003</v>
      </c>
      <c r="U367" s="251"/>
      <c r="V367" s="250">
        <v>0</v>
      </c>
      <c r="W367" s="250"/>
      <c r="X367" s="251"/>
    </row>
    <row r="368" spans="1:24" s="252" customFormat="1" hidden="1">
      <c r="A368" s="292">
        <v>32510</v>
      </c>
      <c r="B368" s="293" t="s">
        <v>1603</v>
      </c>
      <c r="C368" s="294" t="s">
        <v>1797</v>
      </c>
      <c r="D368" s="294" t="s">
        <v>1798</v>
      </c>
      <c r="E368" s="245">
        <v>65001</v>
      </c>
      <c r="F368" s="244" t="s">
        <v>796</v>
      </c>
      <c r="G368" s="244" t="s">
        <v>794</v>
      </c>
      <c r="H368" s="254">
        <v>-62524.52</v>
      </c>
      <c r="I368" s="254">
        <v>-57019.040000000001</v>
      </c>
      <c r="J368" s="254">
        <v>-57422.67</v>
      </c>
      <c r="K368" s="255">
        <v>-61385.87</v>
      </c>
      <c r="L368" s="255">
        <v>-61285.87</v>
      </c>
      <c r="M368" s="255">
        <v>-59666.35</v>
      </c>
      <c r="N368" s="254">
        <v>-62025.53</v>
      </c>
      <c r="O368" s="256">
        <v>-58513.53</v>
      </c>
      <c r="P368" s="256">
        <v>-58513.53</v>
      </c>
      <c r="Q368" s="256">
        <v>-61689.75</v>
      </c>
      <c r="R368" s="256">
        <v>-58980.81</v>
      </c>
      <c r="S368" s="256">
        <v>-60080.81</v>
      </c>
      <c r="T368" s="290">
        <f t="shared" si="4"/>
        <v>-719108.28</v>
      </c>
      <c r="U368" s="251"/>
      <c r="V368" s="250">
        <v>0</v>
      </c>
      <c r="W368" s="250"/>
      <c r="X368" s="251"/>
    </row>
    <row r="369" spans="1:24" s="252" customFormat="1" hidden="1">
      <c r="A369" s="292">
        <v>32510</v>
      </c>
      <c r="B369" s="293" t="s">
        <v>1603</v>
      </c>
      <c r="C369" s="294" t="s">
        <v>1799</v>
      </c>
      <c r="D369" s="294" t="s">
        <v>1800</v>
      </c>
      <c r="E369" s="245">
        <v>65001</v>
      </c>
      <c r="F369" s="244" t="s">
        <v>796</v>
      </c>
      <c r="G369" s="244" t="s">
        <v>794</v>
      </c>
      <c r="H369" s="254">
        <v>-7251.12</v>
      </c>
      <c r="I369" s="254">
        <v>-6200</v>
      </c>
      <c r="J369" s="254">
        <v>-6200</v>
      </c>
      <c r="K369" s="255">
        <v>-6200</v>
      </c>
      <c r="L369" s="255">
        <v>-6200</v>
      </c>
      <c r="M369" s="255">
        <v>-6200</v>
      </c>
      <c r="N369" s="254">
        <v>-6200</v>
      </c>
      <c r="O369" s="256">
        <v>-6200</v>
      </c>
      <c r="P369" s="256">
        <v>-6200</v>
      </c>
      <c r="Q369" s="256">
        <v>-6200</v>
      </c>
      <c r="R369" s="256">
        <v>-6200</v>
      </c>
      <c r="S369" s="256">
        <v>-6200</v>
      </c>
      <c r="T369" s="290">
        <f t="shared" si="4"/>
        <v>-75451.12</v>
      </c>
      <c r="U369" s="251"/>
      <c r="V369" s="250" t="s">
        <v>1499</v>
      </c>
      <c r="W369" s="250"/>
      <c r="X369" s="251"/>
    </row>
    <row r="370" spans="1:24" s="252" customFormat="1" hidden="1">
      <c r="A370" s="292">
        <v>32510</v>
      </c>
      <c r="B370" s="293" t="s">
        <v>1603</v>
      </c>
      <c r="C370" s="294" t="s">
        <v>1801</v>
      </c>
      <c r="D370" s="294" t="s">
        <v>1802</v>
      </c>
      <c r="E370" s="245">
        <v>65001</v>
      </c>
      <c r="F370" s="244" t="s">
        <v>796</v>
      </c>
      <c r="G370" s="244" t="s">
        <v>794</v>
      </c>
      <c r="H370" s="254">
        <v>0</v>
      </c>
      <c r="I370" s="254"/>
      <c r="J370" s="254"/>
      <c r="K370" s="255"/>
      <c r="L370" s="255">
        <v>0</v>
      </c>
      <c r="M370" s="255"/>
      <c r="N370" s="254"/>
      <c r="O370" s="256"/>
      <c r="P370" s="256">
        <v>0</v>
      </c>
      <c r="Q370" s="256"/>
      <c r="R370" s="256"/>
      <c r="S370" s="256"/>
      <c r="T370" s="290">
        <f t="shared" si="4"/>
        <v>0</v>
      </c>
      <c r="U370" s="251"/>
      <c r="V370" s="250" t="s">
        <v>1499</v>
      </c>
      <c r="W370" s="250"/>
      <c r="X370" s="251"/>
    </row>
    <row r="371" spans="1:24" s="252" customFormat="1" hidden="1">
      <c r="A371" s="292">
        <v>32700</v>
      </c>
      <c r="B371" s="293" t="s">
        <v>1609</v>
      </c>
      <c r="C371" s="294" t="s">
        <v>1803</v>
      </c>
      <c r="D371" s="294" t="s">
        <v>1804</v>
      </c>
      <c r="E371" s="245">
        <v>65001</v>
      </c>
      <c r="F371" s="244" t="s">
        <v>796</v>
      </c>
      <c r="G371" s="244" t="s">
        <v>794</v>
      </c>
      <c r="H371" s="254">
        <v>0</v>
      </c>
      <c r="I371" s="254">
        <v>0</v>
      </c>
      <c r="J371" s="254">
        <v>-637</v>
      </c>
      <c r="K371" s="255">
        <v>0</v>
      </c>
      <c r="L371" s="255">
        <v>-1137</v>
      </c>
      <c r="M371" s="255">
        <v>0</v>
      </c>
      <c r="N371" s="254">
        <v>0</v>
      </c>
      <c r="O371" s="256">
        <v>0</v>
      </c>
      <c r="P371" s="256">
        <v>0</v>
      </c>
      <c r="Q371" s="256">
        <v>0</v>
      </c>
      <c r="R371" s="256">
        <v>0</v>
      </c>
      <c r="S371" s="256">
        <v>0</v>
      </c>
      <c r="T371" s="290">
        <f t="shared" si="4"/>
        <v>-1774</v>
      </c>
      <c r="U371" s="251"/>
      <c r="V371" s="250" t="s">
        <v>1499</v>
      </c>
      <c r="W371" s="250"/>
      <c r="X371" s="251"/>
    </row>
    <row r="372" spans="1:24" s="252" customFormat="1" hidden="1">
      <c r="A372" s="292">
        <v>32540</v>
      </c>
      <c r="B372" s="293" t="s">
        <v>1503</v>
      </c>
      <c r="C372" s="294" t="s">
        <v>1805</v>
      </c>
      <c r="D372" s="294" t="s">
        <v>1806</v>
      </c>
      <c r="E372" s="245">
        <v>65001</v>
      </c>
      <c r="F372" s="244" t="s">
        <v>796</v>
      </c>
      <c r="G372" s="244" t="s">
        <v>794</v>
      </c>
      <c r="H372" s="254">
        <v>-4866.58</v>
      </c>
      <c r="I372" s="254">
        <v>-3611.12</v>
      </c>
      <c r="J372" s="254">
        <v>-5191.369999999999</v>
      </c>
      <c r="K372" s="255">
        <v>-3987.51</v>
      </c>
      <c r="L372" s="255">
        <v>-5151.8799999999992</v>
      </c>
      <c r="M372" s="255">
        <v>-5057.72</v>
      </c>
      <c r="N372" s="254">
        <v>-4696.9500000000007</v>
      </c>
      <c r="O372" s="256">
        <v>-6270.0000000000009</v>
      </c>
      <c r="P372" s="256">
        <v>-5745.32</v>
      </c>
      <c r="Q372" s="256">
        <v>-5358.6999999999989</v>
      </c>
      <c r="R372" s="256">
        <v>-5043.88</v>
      </c>
      <c r="S372" s="256">
        <v>-6497.5</v>
      </c>
      <c r="T372" s="290">
        <f t="shared" si="4"/>
        <v>-61478.53</v>
      </c>
      <c r="U372" s="251"/>
      <c r="V372" s="250" t="s">
        <v>1499</v>
      </c>
      <c r="W372" s="250"/>
      <c r="X372" s="251"/>
    </row>
    <row r="373" spans="1:24" s="252" customFormat="1" hidden="1">
      <c r="A373" s="292">
        <v>33361</v>
      </c>
      <c r="B373" s="293" t="s">
        <v>1614</v>
      </c>
      <c r="C373" s="294" t="s">
        <v>1807</v>
      </c>
      <c r="D373" s="294" t="s">
        <v>1808</v>
      </c>
      <c r="E373" s="245">
        <v>65399</v>
      </c>
      <c r="F373" s="244" t="s">
        <v>830</v>
      </c>
      <c r="G373" s="244" t="s">
        <v>804</v>
      </c>
      <c r="H373" s="254">
        <v>0</v>
      </c>
      <c r="I373" s="254">
        <v>0</v>
      </c>
      <c r="J373" s="254">
        <v>0</v>
      </c>
      <c r="K373" s="255">
        <v>0</v>
      </c>
      <c r="L373" s="255">
        <v>0</v>
      </c>
      <c r="M373" s="255">
        <v>0</v>
      </c>
      <c r="N373" s="254">
        <v>0</v>
      </c>
      <c r="O373" s="256">
        <v>0</v>
      </c>
      <c r="P373" s="256">
        <v>0</v>
      </c>
      <c r="Q373" s="256">
        <v>0</v>
      </c>
      <c r="R373" s="256">
        <v>0</v>
      </c>
      <c r="S373" s="256">
        <v>0</v>
      </c>
      <c r="T373" s="290">
        <f t="shared" si="4"/>
        <v>0</v>
      </c>
      <c r="U373" s="251"/>
      <c r="V373" s="250"/>
      <c r="W373" s="250"/>
      <c r="X373" s="251"/>
    </row>
    <row r="374" spans="1:24" s="252" customFormat="1" hidden="1">
      <c r="A374" s="292">
        <v>32700</v>
      </c>
      <c r="B374" s="293" t="s">
        <v>1609</v>
      </c>
      <c r="C374" s="294" t="s">
        <v>1809</v>
      </c>
      <c r="D374" s="294" t="s">
        <v>1810</v>
      </c>
      <c r="E374" s="245">
        <v>65001</v>
      </c>
      <c r="F374" s="244" t="s">
        <v>796</v>
      </c>
      <c r="G374" s="244" t="s">
        <v>794</v>
      </c>
      <c r="H374" s="254">
        <v>0</v>
      </c>
      <c r="I374" s="254"/>
      <c r="J374" s="254"/>
      <c r="K374" s="255"/>
      <c r="L374" s="255">
        <v>0</v>
      </c>
      <c r="M374" s="255"/>
      <c r="N374" s="254"/>
      <c r="O374" s="256"/>
      <c r="P374" s="256">
        <v>0</v>
      </c>
      <c r="Q374" s="256"/>
      <c r="R374" s="256"/>
      <c r="S374" s="256"/>
      <c r="T374" s="290">
        <f t="shared" si="4"/>
        <v>0</v>
      </c>
      <c r="U374" s="251"/>
      <c r="V374" s="250" t="s">
        <v>1499</v>
      </c>
      <c r="W374" s="250"/>
      <c r="X374" s="251"/>
    </row>
    <row r="375" spans="1:24" s="252" customFormat="1" hidden="1">
      <c r="A375" s="292">
        <v>32700</v>
      </c>
      <c r="B375" s="293" t="s">
        <v>1609</v>
      </c>
      <c r="C375" s="294" t="s">
        <v>1811</v>
      </c>
      <c r="D375" s="294" t="s">
        <v>1725</v>
      </c>
      <c r="E375" s="245">
        <v>65001</v>
      </c>
      <c r="F375" s="244" t="s">
        <v>796</v>
      </c>
      <c r="G375" s="244" t="s">
        <v>794</v>
      </c>
      <c r="H375" s="254">
        <v>0</v>
      </c>
      <c r="I375" s="254">
        <v>0</v>
      </c>
      <c r="J375" s="254">
        <v>0</v>
      </c>
      <c r="K375" s="255">
        <v>0</v>
      </c>
      <c r="L375" s="255">
        <v>0</v>
      </c>
      <c r="M375" s="255">
        <v>-60000</v>
      </c>
      <c r="N375" s="254">
        <v>60000</v>
      </c>
      <c r="O375" s="256">
        <v>-5280</v>
      </c>
      <c r="P375" s="256">
        <v>298.86999999999989</v>
      </c>
      <c r="Q375" s="256">
        <v>0</v>
      </c>
      <c r="R375" s="256">
        <v>0</v>
      </c>
      <c r="S375" s="256">
        <v>0</v>
      </c>
      <c r="T375" s="290">
        <f t="shared" si="4"/>
        <v>-4981.13</v>
      </c>
      <c r="U375" s="251"/>
      <c r="V375" s="250">
        <v>0</v>
      </c>
      <c r="W375" s="250"/>
      <c r="X375" s="251"/>
    </row>
    <row r="376" spans="1:24" s="252" customFormat="1" hidden="1">
      <c r="A376" s="292">
        <v>32700</v>
      </c>
      <c r="B376" s="293" t="s">
        <v>1609</v>
      </c>
      <c r="C376" s="294" t="s">
        <v>1812</v>
      </c>
      <c r="D376" s="294" t="s">
        <v>1725</v>
      </c>
      <c r="E376" s="245">
        <v>65001</v>
      </c>
      <c r="F376" s="244" t="s">
        <v>796</v>
      </c>
      <c r="G376" s="244" t="s">
        <v>794</v>
      </c>
      <c r="H376" s="254">
        <v>0</v>
      </c>
      <c r="I376" s="254"/>
      <c r="J376" s="254"/>
      <c r="K376" s="255"/>
      <c r="L376" s="255">
        <v>0</v>
      </c>
      <c r="M376" s="255"/>
      <c r="N376" s="254"/>
      <c r="O376" s="256"/>
      <c r="P376" s="256">
        <v>0</v>
      </c>
      <c r="Q376" s="256"/>
      <c r="R376" s="256"/>
      <c r="S376" s="256"/>
      <c r="T376" s="290">
        <f t="shared" si="4"/>
        <v>0</v>
      </c>
      <c r="U376" s="250"/>
      <c r="V376" s="250">
        <v>0</v>
      </c>
      <c r="W376" s="250"/>
      <c r="X376" s="251"/>
    </row>
    <row r="377" spans="1:24" s="252" customFormat="1" hidden="1">
      <c r="A377" s="292">
        <v>32700</v>
      </c>
      <c r="B377" s="293" t="s">
        <v>1609</v>
      </c>
      <c r="C377" s="294" t="s">
        <v>1813</v>
      </c>
      <c r="D377" s="294" t="s">
        <v>1814</v>
      </c>
      <c r="E377" s="245">
        <v>65001</v>
      </c>
      <c r="F377" s="244" t="s">
        <v>796</v>
      </c>
      <c r="G377" s="244" t="s">
        <v>794</v>
      </c>
      <c r="H377" s="254">
        <v>-9133.84</v>
      </c>
      <c r="I377" s="254">
        <v>-12791.48</v>
      </c>
      <c r="J377" s="254">
        <v>-3727.1099999999997</v>
      </c>
      <c r="K377" s="255">
        <v>-3215.09</v>
      </c>
      <c r="L377" s="255">
        <v>-5115.09</v>
      </c>
      <c r="M377" s="255">
        <v>-3118.01</v>
      </c>
      <c r="N377" s="254">
        <v>-3065.09</v>
      </c>
      <c r="O377" s="256">
        <v>-6365.09</v>
      </c>
      <c r="P377" s="256">
        <v>-6365.09</v>
      </c>
      <c r="Q377" s="256">
        <v>234.90999999999985</v>
      </c>
      <c r="R377" s="256">
        <v>-3065.09</v>
      </c>
      <c r="S377" s="256">
        <v>-3165.09</v>
      </c>
      <c r="T377" s="290">
        <f t="shared" si="4"/>
        <v>-58891.159999999989</v>
      </c>
      <c r="U377" s="251"/>
      <c r="V377" s="250" t="s">
        <v>1499</v>
      </c>
      <c r="W377" s="250"/>
      <c r="X377" s="251"/>
    </row>
    <row r="378" spans="1:24" s="252" customFormat="1" hidden="1">
      <c r="A378" s="292">
        <v>32700</v>
      </c>
      <c r="B378" s="293" t="s">
        <v>1609</v>
      </c>
      <c r="C378" s="294" t="s">
        <v>1815</v>
      </c>
      <c r="D378" s="294" t="s">
        <v>1816</v>
      </c>
      <c r="E378" s="245">
        <v>65001</v>
      </c>
      <c r="F378" s="244" t="s">
        <v>796</v>
      </c>
      <c r="G378" s="244" t="s">
        <v>794</v>
      </c>
      <c r="H378" s="254">
        <v>-8492.35</v>
      </c>
      <c r="I378" s="254">
        <v>-6454.380000000001</v>
      </c>
      <c r="J378" s="254">
        <v>-8086.79</v>
      </c>
      <c r="K378" s="255">
        <v>-7935.28</v>
      </c>
      <c r="L378" s="255">
        <v>-8245.07</v>
      </c>
      <c r="M378" s="255">
        <v>-7661.42</v>
      </c>
      <c r="N378" s="254">
        <v>-6807.2500000000009</v>
      </c>
      <c r="O378" s="256">
        <v>-6873.1900000000005</v>
      </c>
      <c r="P378" s="256">
        <v>-8743.7599999999984</v>
      </c>
      <c r="Q378" s="256">
        <v>-7272.88</v>
      </c>
      <c r="R378" s="256">
        <v>-6964.8799999999992</v>
      </c>
      <c r="S378" s="256">
        <v>-8726.61</v>
      </c>
      <c r="T378" s="290">
        <f t="shared" ref="T378:T441" si="5">SUM(H378:S378)</f>
        <v>-92263.86</v>
      </c>
      <c r="U378" s="251"/>
      <c r="V378" s="250" t="s">
        <v>1499</v>
      </c>
      <c r="W378" s="250"/>
      <c r="X378" s="251"/>
    </row>
    <row r="379" spans="1:24" s="252" customFormat="1" hidden="1">
      <c r="A379" s="292">
        <v>32600</v>
      </c>
      <c r="B379" s="293" t="s">
        <v>1817</v>
      </c>
      <c r="C379" s="294" t="s">
        <v>1818</v>
      </c>
      <c r="D379" s="294" t="s">
        <v>1819</v>
      </c>
      <c r="E379" s="245"/>
      <c r="F379" s="244"/>
      <c r="G379" s="244"/>
      <c r="H379" s="254">
        <v>0</v>
      </c>
      <c r="I379" s="254"/>
      <c r="J379" s="254"/>
      <c r="K379" s="255"/>
      <c r="L379" s="255">
        <v>0</v>
      </c>
      <c r="M379" s="255"/>
      <c r="N379" s="254"/>
      <c r="O379" s="256"/>
      <c r="P379" s="256">
        <v>0</v>
      </c>
      <c r="Q379" s="256"/>
      <c r="R379" s="256"/>
      <c r="S379" s="256"/>
      <c r="T379" s="290">
        <f t="shared" si="5"/>
        <v>0</v>
      </c>
      <c r="U379" s="251"/>
      <c r="V379" s="250"/>
      <c r="W379" s="250"/>
      <c r="X379" s="251"/>
    </row>
    <row r="380" spans="1:24" s="252" customFormat="1" hidden="1">
      <c r="A380" s="296">
        <v>33290</v>
      </c>
      <c r="B380" s="293" t="s">
        <v>1625</v>
      </c>
      <c r="C380" s="294" t="s">
        <v>1820</v>
      </c>
      <c r="D380" s="294" t="s">
        <v>1821</v>
      </c>
      <c r="E380" s="245">
        <v>65308</v>
      </c>
      <c r="F380" s="244" t="s">
        <v>812</v>
      </c>
      <c r="G380" s="244" t="s">
        <v>804</v>
      </c>
      <c r="H380" s="254">
        <v>-6841.5300000000007</v>
      </c>
      <c r="I380" s="254">
        <v>-2833.4400000000005</v>
      </c>
      <c r="J380" s="254">
        <v>-641.35</v>
      </c>
      <c r="K380" s="255">
        <v>0</v>
      </c>
      <c r="L380" s="255">
        <v>0</v>
      </c>
      <c r="M380" s="255">
        <v>-398.72</v>
      </c>
      <c r="N380" s="254">
        <v>-4246.2</v>
      </c>
      <c r="O380" s="256">
        <v>1530</v>
      </c>
      <c r="P380" s="256">
        <v>0</v>
      </c>
      <c r="Q380" s="256">
        <v>0</v>
      </c>
      <c r="R380" s="256">
        <v>-3067</v>
      </c>
      <c r="S380" s="256">
        <v>0</v>
      </c>
      <c r="T380" s="290">
        <f t="shared" si="5"/>
        <v>-16498.240000000002</v>
      </c>
      <c r="U380" s="251"/>
      <c r="V380" s="250"/>
      <c r="W380" s="250"/>
      <c r="X380" s="251"/>
    </row>
    <row r="381" spans="1:24" s="252" customFormat="1" hidden="1">
      <c r="A381" s="292">
        <v>33290</v>
      </c>
      <c r="B381" s="293" t="s">
        <v>1625</v>
      </c>
      <c r="C381" s="294" t="s">
        <v>1822</v>
      </c>
      <c r="D381" s="294" t="s">
        <v>1823</v>
      </c>
      <c r="E381" s="245">
        <v>65309</v>
      </c>
      <c r="F381" s="244" t="s">
        <v>813</v>
      </c>
      <c r="G381" s="244" t="s">
        <v>804</v>
      </c>
      <c r="H381" s="254">
        <v>-3148</v>
      </c>
      <c r="I381" s="254">
        <v>-3532</v>
      </c>
      <c r="J381" s="254">
        <v>-6337.91</v>
      </c>
      <c r="K381" s="255">
        <v>-3700.9700000000003</v>
      </c>
      <c r="L381" s="255">
        <v>-2553.11</v>
      </c>
      <c r="M381" s="255">
        <v>-1519</v>
      </c>
      <c r="N381" s="254">
        <v>975.56</v>
      </c>
      <c r="O381" s="256">
        <v>-318</v>
      </c>
      <c r="P381" s="256">
        <v>-7713.2</v>
      </c>
      <c r="Q381" s="256">
        <v>-2217</v>
      </c>
      <c r="R381" s="256">
        <v>-9358</v>
      </c>
      <c r="S381" s="256">
        <v>-32307</v>
      </c>
      <c r="T381" s="290">
        <f t="shared" si="5"/>
        <v>-71728.63</v>
      </c>
      <c r="U381" s="251"/>
      <c r="V381" s="250"/>
      <c r="W381" s="250"/>
      <c r="X381" s="251"/>
    </row>
    <row r="382" spans="1:24" s="252" customFormat="1" hidden="1">
      <c r="A382" s="292">
        <v>33290</v>
      </c>
      <c r="B382" s="293" t="s">
        <v>1625</v>
      </c>
      <c r="C382" s="294" t="s">
        <v>1824</v>
      </c>
      <c r="D382" s="294" t="s">
        <v>1825</v>
      </c>
      <c r="E382" s="245">
        <v>65308</v>
      </c>
      <c r="F382" s="244" t="s">
        <v>812</v>
      </c>
      <c r="G382" s="244" t="s">
        <v>804</v>
      </c>
      <c r="H382" s="254">
        <v>-131.30000000000001</v>
      </c>
      <c r="I382" s="254">
        <v>0</v>
      </c>
      <c r="J382" s="254">
        <v>0</v>
      </c>
      <c r="K382" s="255">
        <v>-31.31</v>
      </c>
      <c r="L382" s="255">
        <v>-84.2</v>
      </c>
      <c r="M382" s="255">
        <v>-29.070000000000007</v>
      </c>
      <c r="N382" s="254">
        <v>0</v>
      </c>
      <c r="O382" s="256">
        <v>0</v>
      </c>
      <c r="P382" s="256">
        <v>-86.3</v>
      </c>
      <c r="Q382" s="256">
        <v>-212.56</v>
      </c>
      <c r="R382" s="256">
        <v>-1283.8399999999999</v>
      </c>
      <c r="S382" s="256">
        <v>-30.7</v>
      </c>
      <c r="T382" s="290">
        <f t="shared" si="5"/>
        <v>-1889.28</v>
      </c>
      <c r="U382" s="251"/>
      <c r="V382" s="250"/>
      <c r="W382" s="250"/>
      <c r="X382" s="251"/>
    </row>
    <row r="383" spans="1:24" s="252" customFormat="1" hidden="1">
      <c r="A383" s="292">
        <v>33300</v>
      </c>
      <c r="B383" s="293" t="s">
        <v>1632</v>
      </c>
      <c r="C383" s="294" t="s">
        <v>1826</v>
      </c>
      <c r="D383" s="294" t="s">
        <v>1827</v>
      </c>
      <c r="E383" s="245">
        <v>65327</v>
      </c>
      <c r="F383" s="244" t="s">
        <v>824</v>
      </c>
      <c r="G383" s="244" t="s">
        <v>804</v>
      </c>
      <c r="H383" s="254">
        <v>0</v>
      </c>
      <c r="I383" s="254">
        <v>0</v>
      </c>
      <c r="J383" s="254">
        <v>0</v>
      </c>
      <c r="K383" s="255">
        <v>0</v>
      </c>
      <c r="L383" s="255">
        <v>0</v>
      </c>
      <c r="M383" s="255">
        <v>0</v>
      </c>
      <c r="N383" s="254">
        <v>0</v>
      </c>
      <c r="O383" s="256">
        <v>0</v>
      </c>
      <c r="P383" s="256">
        <v>0</v>
      </c>
      <c r="Q383" s="256">
        <v>0</v>
      </c>
      <c r="R383" s="256">
        <v>0</v>
      </c>
      <c r="S383" s="256">
        <v>0</v>
      </c>
      <c r="T383" s="290">
        <f t="shared" si="5"/>
        <v>0</v>
      </c>
      <c r="U383" s="251"/>
      <c r="V383" s="250"/>
      <c r="W383" s="250"/>
      <c r="X383" s="251"/>
    </row>
    <row r="384" spans="1:24" s="252" customFormat="1" hidden="1">
      <c r="A384" s="292">
        <v>33370</v>
      </c>
      <c r="B384" s="293" t="s">
        <v>1635</v>
      </c>
      <c r="C384" s="294" t="s">
        <v>1828</v>
      </c>
      <c r="D384" s="294" t="s">
        <v>1829</v>
      </c>
      <c r="E384" s="245">
        <v>65307</v>
      </c>
      <c r="F384" s="244" t="s">
        <v>811</v>
      </c>
      <c r="G384" s="244" t="s">
        <v>804</v>
      </c>
      <c r="H384" s="254">
        <v>-843.56</v>
      </c>
      <c r="I384" s="254">
        <v>-1834.86</v>
      </c>
      <c r="J384" s="254">
        <v>-1834.86</v>
      </c>
      <c r="K384" s="255">
        <v>-1834.86</v>
      </c>
      <c r="L384" s="255">
        <v>-1834.86</v>
      </c>
      <c r="M384" s="255">
        <v>0</v>
      </c>
      <c r="N384" s="254">
        <v>0</v>
      </c>
      <c r="O384" s="256">
        <v>0</v>
      </c>
      <c r="P384" s="256">
        <v>0</v>
      </c>
      <c r="Q384" s="256">
        <v>9174.31</v>
      </c>
      <c r="R384" s="256">
        <v>0</v>
      </c>
      <c r="S384" s="256">
        <v>0</v>
      </c>
      <c r="T384" s="290">
        <f t="shared" si="5"/>
        <v>991.3100000000004</v>
      </c>
      <c r="U384" s="251"/>
      <c r="V384" s="250"/>
      <c r="W384" s="250"/>
      <c r="X384" s="251"/>
    </row>
    <row r="385" spans="1:24" s="252" customFormat="1" hidden="1">
      <c r="A385" s="296">
        <v>33220</v>
      </c>
      <c r="B385" s="293" t="s">
        <v>1644</v>
      </c>
      <c r="C385" s="294" t="s">
        <v>1830</v>
      </c>
      <c r="D385" s="294" t="s">
        <v>1831</v>
      </c>
      <c r="E385" s="245">
        <v>65300</v>
      </c>
      <c r="F385" s="244" t="s">
        <v>803</v>
      </c>
      <c r="G385" s="244" t="s">
        <v>804</v>
      </c>
      <c r="H385" s="254">
        <v>0</v>
      </c>
      <c r="I385" s="254"/>
      <c r="J385" s="254"/>
      <c r="K385" s="255"/>
      <c r="L385" s="255">
        <v>0</v>
      </c>
      <c r="M385" s="255"/>
      <c r="N385" s="254"/>
      <c r="O385" s="256"/>
      <c r="P385" s="256">
        <v>0</v>
      </c>
      <c r="Q385" s="256"/>
      <c r="R385" s="256"/>
      <c r="S385" s="256"/>
      <c r="T385" s="290">
        <f t="shared" si="5"/>
        <v>0</v>
      </c>
      <c r="U385" s="251"/>
      <c r="V385" s="250"/>
      <c r="W385" s="250"/>
      <c r="X385" s="251"/>
    </row>
    <row r="386" spans="1:24" s="252" customFormat="1" hidden="1">
      <c r="A386" s="292">
        <v>33390</v>
      </c>
      <c r="B386" s="293" t="s">
        <v>1832</v>
      </c>
      <c r="C386" s="294" t="s">
        <v>1833</v>
      </c>
      <c r="D386" s="294" t="s">
        <v>1832</v>
      </c>
      <c r="E386" s="245">
        <v>65300</v>
      </c>
      <c r="F386" s="244" t="s">
        <v>803</v>
      </c>
      <c r="G386" s="244" t="s">
        <v>804</v>
      </c>
      <c r="H386" s="254">
        <v>-11638.45</v>
      </c>
      <c r="I386" s="254">
        <v>-11638.45</v>
      </c>
      <c r="J386" s="254">
        <v>-11638.45</v>
      </c>
      <c r="K386" s="255">
        <v>-11640.849999999999</v>
      </c>
      <c r="L386" s="255">
        <v>-13400.41</v>
      </c>
      <c r="M386" s="255">
        <v>-14638.45</v>
      </c>
      <c r="N386" s="254">
        <v>-30365.65</v>
      </c>
      <c r="O386" s="256">
        <v>-5839.65</v>
      </c>
      <c r="P386" s="256">
        <v>-7839.65</v>
      </c>
      <c r="Q386" s="256">
        <v>-5839.65</v>
      </c>
      <c r="R386" s="256">
        <v>-5839.65</v>
      </c>
      <c r="S386" s="256">
        <v>-2722.2700000000004</v>
      </c>
      <c r="T386" s="290">
        <f t="shared" si="5"/>
        <v>-133041.57999999996</v>
      </c>
      <c r="U386" s="251"/>
      <c r="V386" s="250"/>
      <c r="W386" s="250"/>
      <c r="X386" s="251"/>
    </row>
    <row r="387" spans="1:24" s="252" customFormat="1" hidden="1">
      <c r="A387" s="292">
        <v>33230</v>
      </c>
      <c r="B387" s="293" t="s">
        <v>1649</v>
      </c>
      <c r="C387" s="294" t="s">
        <v>1834</v>
      </c>
      <c r="D387" s="294" t="s">
        <v>1835</v>
      </c>
      <c r="E387" s="245">
        <v>65301</v>
      </c>
      <c r="F387" s="244" t="s">
        <v>805</v>
      </c>
      <c r="G387" s="244" t="s">
        <v>804</v>
      </c>
      <c r="H387" s="254">
        <v>0</v>
      </c>
      <c r="I387" s="254">
        <v>0</v>
      </c>
      <c r="J387" s="254">
        <v>-913.11</v>
      </c>
      <c r="K387" s="255">
        <v>-523.71</v>
      </c>
      <c r="L387" s="255">
        <v>-2973.21</v>
      </c>
      <c r="M387" s="255">
        <v>0</v>
      </c>
      <c r="N387" s="254">
        <v>-1168.1500000000015</v>
      </c>
      <c r="O387" s="256">
        <v>-1510.66</v>
      </c>
      <c r="P387" s="256">
        <v>0</v>
      </c>
      <c r="Q387" s="256">
        <v>-578.20000000000005</v>
      </c>
      <c r="R387" s="256">
        <v>-2479.19</v>
      </c>
      <c r="S387" s="256">
        <v>-20405.66</v>
      </c>
      <c r="T387" s="290">
        <f t="shared" si="5"/>
        <v>-30551.89</v>
      </c>
      <c r="U387" s="251"/>
      <c r="V387" s="250"/>
      <c r="W387" s="250"/>
      <c r="X387" s="251"/>
    </row>
    <row r="388" spans="1:24" s="252" customFormat="1" hidden="1">
      <c r="A388" s="292">
        <v>33230</v>
      </c>
      <c r="B388" s="293" t="s">
        <v>1649</v>
      </c>
      <c r="C388" s="294" t="s">
        <v>1836</v>
      </c>
      <c r="D388" s="294" t="s">
        <v>1837</v>
      </c>
      <c r="E388" s="245">
        <v>65304</v>
      </c>
      <c r="F388" s="244" t="s">
        <v>808</v>
      </c>
      <c r="G388" s="244" t="s">
        <v>804</v>
      </c>
      <c r="H388" s="254">
        <v>0</v>
      </c>
      <c r="I388" s="254"/>
      <c r="J388" s="254"/>
      <c r="K388" s="255"/>
      <c r="L388" s="255">
        <v>0</v>
      </c>
      <c r="M388" s="255"/>
      <c r="N388" s="254"/>
      <c r="O388" s="256"/>
      <c r="P388" s="256">
        <v>0</v>
      </c>
      <c r="Q388" s="256"/>
      <c r="R388" s="256"/>
      <c r="S388" s="256"/>
      <c r="T388" s="290">
        <f t="shared" si="5"/>
        <v>0</v>
      </c>
      <c r="U388" s="251"/>
      <c r="V388" s="250"/>
      <c r="W388" s="250"/>
      <c r="X388" s="251"/>
    </row>
    <row r="389" spans="1:24" s="252" customFormat="1" hidden="1">
      <c r="A389" s="292">
        <v>33240</v>
      </c>
      <c r="B389" s="293" t="s">
        <v>1652</v>
      </c>
      <c r="C389" s="294" t="s">
        <v>1838</v>
      </c>
      <c r="D389" s="294" t="s">
        <v>1839</v>
      </c>
      <c r="E389" s="245">
        <v>65302</v>
      </c>
      <c r="F389" s="244" t="s">
        <v>806</v>
      </c>
      <c r="G389" s="244" t="s">
        <v>804</v>
      </c>
      <c r="H389" s="254">
        <v>0</v>
      </c>
      <c r="I389" s="254">
        <v>0</v>
      </c>
      <c r="J389" s="254">
        <v>0</v>
      </c>
      <c r="K389" s="255">
        <v>0</v>
      </c>
      <c r="L389" s="255">
        <v>0</v>
      </c>
      <c r="M389" s="255">
        <v>0</v>
      </c>
      <c r="N389" s="254">
        <v>0</v>
      </c>
      <c r="O389" s="256">
        <v>0</v>
      </c>
      <c r="P389" s="256">
        <v>0</v>
      </c>
      <c r="Q389" s="256">
        <v>0</v>
      </c>
      <c r="R389" s="256">
        <v>0</v>
      </c>
      <c r="S389" s="256">
        <v>0</v>
      </c>
      <c r="T389" s="290">
        <f t="shared" si="5"/>
        <v>0</v>
      </c>
      <c r="U389" s="251"/>
      <c r="V389" s="250"/>
      <c r="W389" s="250"/>
      <c r="X389" s="251"/>
    </row>
    <row r="390" spans="1:24" s="252" customFormat="1" hidden="1">
      <c r="A390" s="292">
        <v>33240</v>
      </c>
      <c r="B390" s="293" t="s">
        <v>1652</v>
      </c>
      <c r="C390" s="294" t="s">
        <v>1840</v>
      </c>
      <c r="D390" s="294" t="s">
        <v>1841</v>
      </c>
      <c r="E390" s="245">
        <v>65302</v>
      </c>
      <c r="F390" s="244" t="s">
        <v>806</v>
      </c>
      <c r="G390" s="244" t="s">
        <v>804</v>
      </c>
      <c r="H390" s="254">
        <v>0</v>
      </c>
      <c r="I390" s="254">
        <v>0</v>
      </c>
      <c r="J390" s="254">
        <v>0</v>
      </c>
      <c r="K390" s="255">
        <v>0</v>
      </c>
      <c r="L390" s="255">
        <v>0</v>
      </c>
      <c r="M390" s="255">
        <v>0</v>
      </c>
      <c r="N390" s="254">
        <v>0</v>
      </c>
      <c r="O390" s="256">
        <v>0</v>
      </c>
      <c r="P390" s="256">
        <v>0</v>
      </c>
      <c r="Q390" s="256">
        <v>0</v>
      </c>
      <c r="R390" s="256">
        <v>0</v>
      </c>
      <c r="S390" s="256">
        <v>0</v>
      </c>
      <c r="T390" s="290">
        <f t="shared" si="5"/>
        <v>0</v>
      </c>
      <c r="U390" s="251"/>
      <c r="V390" s="250"/>
      <c r="W390" s="250"/>
      <c r="X390" s="251"/>
    </row>
    <row r="391" spans="1:24" s="252" customFormat="1" hidden="1">
      <c r="A391" s="292">
        <v>33240</v>
      </c>
      <c r="B391" s="293" t="s">
        <v>1652</v>
      </c>
      <c r="C391" s="294" t="s">
        <v>1842</v>
      </c>
      <c r="D391" s="294" t="s">
        <v>1843</v>
      </c>
      <c r="E391" s="245">
        <v>65302</v>
      </c>
      <c r="F391" s="244" t="s">
        <v>806</v>
      </c>
      <c r="G391" s="244" t="s">
        <v>804</v>
      </c>
      <c r="H391" s="254">
        <v>0</v>
      </c>
      <c r="I391" s="254">
        <v>0</v>
      </c>
      <c r="J391" s="254">
        <v>0</v>
      </c>
      <c r="K391" s="255">
        <v>0</v>
      </c>
      <c r="L391" s="255">
        <v>0</v>
      </c>
      <c r="M391" s="255">
        <v>0</v>
      </c>
      <c r="N391" s="254">
        <v>0</v>
      </c>
      <c r="O391" s="256">
        <v>0</v>
      </c>
      <c r="P391" s="256">
        <v>0</v>
      </c>
      <c r="Q391" s="256">
        <v>0</v>
      </c>
      <c r="R391" s="256">
        <v>0</v>
      </c>
      <c r="S391" s="256">
        <v>0</v>
      </c>
      <c r="T391" s="290">
        <f t="shared" si="5"/>
        <v>0</v>
      </c>
      <c r="U391" s="251"/>
      <c r="V391" s="250"/>
      <c r="W391" s="250"/>
      <c r="X391" s="251"/>
    </row>
    <row r="392" spans="1:24" s="252" customFormat="1" hidden="1">
      <c r="A392" s="292">
        <v>33250</v>
      </c>
      <c r="B392" s="293" t="s">
        <v>1659</v>
      </c>
      <c r="C392" s="294" t="s">
        <v>1844</v>
      </c>
      <c r="D392" s="294" t="s">
        <v>1845</v>
      </c>
      <c r="E392" s="245">
        <v>65399</v>
      </c>
      <c r="F392" s="244" t="s">
        <v>830</v>
      </c>
      <c r="G392" s="244" t="s">
        <v>804</v>
      </c>
      <c r="H392" s="254">
        <v>-23618.23</v>
      </c>
      <c r="I392" s="254">
        <v>-25687.08</v>
      </c>
      <c r="J392" s="254">
        <v>-24939.439999999999</v>
      </c>
      <c r="K392" s="255">
        <v>-23618.23</v>
      </c>
      <c r="L392" s="255">
        <v>-23639.989999999998</v>
      </c>
      <c r="M392" s="255">
        <v>-23618.230000000003</v>
      </c>
      <c r="N392" s="254">
        <v>-23439.989999999998</v>
      </c>
      <c r="O392" s="256">
        <v>-23418.23</v>
      </c>
      <c r="P392" s="256">
        <v>-23418.23</v>
      </c>
      <c r="Q392" s="256">
        <v>-24023.99</v>
      </c>
      <c r="R392" s="256">
        <v>-23907.9</v>
      </c>
      <c r="S392" s="256">
        <v>-22765.32</v>
      </c>
      <c r="T392" s="290">
        <f t="shared" si="5"/>
        <v>-286094.86000000004</v>
      </c>
      <c r="U392" s="251"/>
      <c r="V392" s="250"/>
      <c r="W392" s="250"/>
      <c r="X392" s="251"/>
    </row>
    <row r="393" spans="1:24" s="252" customFormat="1" hidden="1">
      <c r="A393" s="292">
        <v>33250</v>
      </c>
      <c r="B393" s="293" t="s">
        <v>1659</v>
      </c>
      <c r="C393" s="294" t="s">
        <v>1846</v>
      </c>
      <c r="D393" s="294" t="s">
        <v>1847</v>
      </c>
      <c r="E393" s="245">
        <v>65399</v>
      </c>
      <c r="F393" s="244" t="s">
        <v>830</v>
      </c>
      <c r="G393" s="244" t="s">
        <v>804</v>
      </c>
      <c r="H393" s="254">
        <v>0</v>
      </c>
      <c r="I393" s="254"/>
      <c r="J393" s="254"/>
      <c r="K393" s="255"/>
      <c r="L393" s="255">
        <v>0</v>
      </c>
      <c r="M393" s="255"/>
      <c r="N393" s="254"/>
      <c r="O393" s="256"/>
      <c r="P393" s="256">
        <v>0</v>
      </c>
      <c r="Q393" s="256"/>
      <c r="R393" s="256"/>
      <c r="S393" s="256"/>
      <c r="T393" s="290">
        <f t="shared" si="5"/>
        <v>0</v>
      </c>
      <c r="U393" s="251"/>
      <c r="V393" s="250"/>
      <c r="W393" s="250"/>
      <c r="X393" s="251"/>
    </row>
    <row r="394" spans="1:24" s="252" customFormat="1" hidden="1">
      <c r="A394" s="292">
        <v>33250</v>
      </c>
      <c r="B394" s="293" t="s">
        <v>1659</v>
      </c>
      <c r="C394" s="294" t="s">
        <v>1848</v>
      </c>
      <c r="D394" s="294" t="s">
        <v>1849</v>
      </c>
      <c r="E394" s="245">
        <v>62004</v>
      </c>
      <c r="F394" s="244" t="s">
        <v>770</v>
      </c>
      <c r="G394" s="244" t="s">
        <v>1850</v>
      </c>
      <c r="H394" s="254">
        <v>0</v>
      </c>
      <c r="I394" s="254"/>
      <c r="J394" s="254"/>
      <c r="K394" s="255"/>
      <c r="L394" s="255">
        <v>0</v>
      </c>
      <c r="M394" s="255"/>
      <c r="N394" s="254"/>
      <c r="O394" s="256"/>
      <c r="P394" s="256">
        <v>0</v>
      </c>
      <c r="Q394" s="256"/>
      <c r="R394" s="256"/>
      <c r="S394" s="256"/>
      <c r="T394" s="290">
        <f t="shared" si="5"/>
        <v>0</v>
      </c>
      <c r="U394" s="251"/>
      <c r="V394" s="250"/>
      <c r="W394" s="250"/>
      <c r="X394" s="251"/>
    </row>
    <row r="395" spans="1:24" s="252" customFormat="1" hidden="1">
      <c r="A395" s="292">
        <v>33360</v>
      </c>
      <c r="B395" s="293" t="s">
        <v>1678</v>
      </c>
      <c r="C395" s="294" t="s">
        <v>1851</v>
      </c>
      <c r="D395" s="294" t="s">
        <v>1852</v>
      </c>
      <c r="E395" s="245">
        <v>62005</v>
      </c>
      <c r="F395" s="244" t="s">
        <v>771</v>
      </c>
      <c r="G395" s="244" t="s">
        <v>1850</v>
      </c>
      <c r="H395" s="254">
        <v>0</v>
      </c>
      <c r="I395" s="254"/>
      <c r="J395" s="254"/>
      <c r="K395" s="255"/>
      <c r="L395" s="255">
        <v>0</v>
      </c>
      <c r="M395" s="255"/>
      <c r="N395" s="254"/>
      <c r="O395" s="256"/>
      <c r="P395" s="256">
        <v>0</v>
      </c>
      <c r="Q395" s="256"/>
      <c r="R395" s="256"/>
      <c r="S395" s="256"/>
      <c r="T395" s="290">
        <f t="shared" si="5"/>
        <v>0</v>
      </c>
      <c r="U395" s="251"/>
      <c r="V395" s="250"/>
      <c r="W395" s="250"/>
      <c r="X395" s="251"/>
    </row>
    <row r="396" spans="1:24" s="252" customFormat="1" hidden="1">
      <c r="A396" s="292">
        <v>33360</v>
      </c>
      <c r="B396" s="293" t="s">
        <v>1678</v>
      </c>
      <c r="C396" s="294" t="s">
        <v>1853</v>
      </c>
      <c r="D396" s="294" t="s">
        <v>1854</v>
      </c>
      <c r="E396" s="245">
        <v>65311</v>
      </c>
      <c r="F396" s="244" t="s">
        <v>815</v>
      </c>
      <c r="G396" s="244" t="s">
        <v>804</v>
      </c>
      <c r="H396" s="254">
        <v>0</v>
      </c>
      <c r="I396" s="254">
        <v>0</v>
      </c>
      <c r="J396" s="254">
        <v>0</v>
      </c>
      <c r="K396" s="255">
        <v>-23190.11</v>
      </c>
      <c r="L396" s="255">
        <v>-33455.350000000006</v>
      </c>
      <c r="M396" s="255">
        <v>-6732.67</v>
      </c>
      <c r="N396" s="254">
        <v>0</v>
      </c>
      <c r="O396" s="256">
        <v>0</v>
      </c>
      <c r="P396" s="256">
        <v>0</v>
      </c>
      <c r="Q396" s="256">
        <v>-22125.57</v>
      </c>
      <c r="R396" s="256">
        <v>-18200.84</v>
      </c>
      <c r="S396" s="256">
        <v>-74349.609999999986</v>
      </c>
      <c r="T396" s="290">
        <f t="shared" si="5"/>
        <v>-178054.15</v>
      </c>
      <c r="U396" s="251"/>
      <c r="V396" s="250"/>
      <c r="W396" s="250"/>
      <c r="X396" s="251"/>
    </row>
    <row r="397" spans="1:24" s="252" customFormat="1" hidden="1">
      <c r="A397" s="292">
        <v>33360</v>
      </c>
      <c r="B397" s="293" t="s">
        <v>1678</v>
      </c>
      <c r="C397" s="294" t="s">
        <v>1855</v>
      </c>
      <c r="D397" s="294" t="s">
        <v>1856</v>
      </c>
      <c r="E397" s="245">
        <v>65312</v>
      </c>
      <c r="F397" s="244" t="s">
        <v>816</v>
      </c>
      <c r="G397" s="244" t="s">
        <v>804</v>
      </c>
      <c r="H397" s="254">
        <v>0</v>
      </c>
      <c r="I397" s="254">
        <v>0</v>
      </c>
      <c r="J397" s="254">
        <v>0</v>
      </c>
      <c r="K397" s="255">
        <v>0</v>
      </c>
      <c r="L397" s="255">
        <v>0</v>
      </c>
      <c r="M397" s="255">
        <v>0</v>
      </c>
      <c r="N397" s="254">
        <v>0</v>
      </c>
      <c r="O397" s="256">
        <v>0</v>
      </c>
      <c r="P397" s="256">
        <v>0</v>
      </c>
      <c r="Q397" s="256">
        <v>0</v>
      </c>
      <c r="R397" s="256">
        <v>-10000</v>
      </c>
      <c r="S397" s="256">
        <v>-60000</v>
      </c>
      <c r="T397" s="290">
        <f t="shared" si="5"/>
        <v>-70000</v>
      </c>
      <c r="U397" s="251"/>
      <c r="V397" s="250"/>
      <c r="W397" s="250"/>
      <c r="X397" s="251"/>
    </row>
    <row r="398" spans="1:24" hidden="1">
      <c r="A398" s="292">
        <v>33360</v>
      </c>
      <c r="B398" s="293" t="s">
        <v>1678</v>
      </c>
      <c r="C398" s="294" t="s">
        <v>1857</v>
      </c>
      <c r="D398" s="294" t="s">
        <v>1858</v>
      </c>
      <c r="E398" s="245">
        <v>65312</v>
      </c>
      <c r="F398" s="244" t="s">
        <v>816</v>
      </c>
      <c r="G398" s="244" t="s">
        <v>804</v>
      </c>
      <c r="H398" s="254">
        <v>0</v>
      </c>
      <c r="I398" s="254"/>
      <c r="J398" s="254"/>
      <c r="K398" s="255"/>
      <c r="L398" s="255">
        <v>0</v>
      </c>
      <c r="M398" s="255"/>
      <c r="N398" s="254"/>
      <c r="O398" s="256"/>
      <c r="P398" s="256">
        <v>0</v>
      </c>
      <c r="Q398" s="256"/>
      <c r="R398" s="256"/>
      <c r="S398" s="256"/>
      <c r="T398" s="290">
        <f t="shared" si="5"/>
        <v>0</v>
      </c>
      <c r="U398" s="251"/>
      <c r="V398" s="250"/>
      <c r="W398" s="250"/>
      <c r="X398" s="251"/>
    </row>
    <row r="399" spans="1:24" hidden="1">
      <c r="A399" s="292">
        <v>33380</v>
      </c>
      <c r="B399" s="293" t="s">
        <v>1685</v>
      </c>
      <c r="C399" s="294" t="s">
        <v>1859</v>
      </c>
      <c r="D399" s="294" t="s">
        <v>1860</v>
      </c>
      <c r="E399" s="245">
        <v>62006</v>
      </c>
      <c r="F399" s="244" t="s">
        <v>772</v>
      </c>
      <c r="G399" s="244" t="s">
        <v>1850</v>
      </c>
      <c r="H399" s="310">
        <v>0</v>
      </c>
      <c r="I399" s="254"/>
      <c r="J399" s="254"/>
      <c r="K399" s="255"/>
      <c r="L399" s="255">
        <v>0</v>
      </c>
      <c r="M399" s="255"/>
      <c r="N399" s="254"/>
      <c r="O399" s="256"/>
      <c r="P399" s="256">
        <v>0</v>
      </c>
      <c r="Q399" s="256"/>
      <c r="R399" s="256"/>
      <c r="S399" s="256"/>
      <c r="T399" s="290">
        <f t="shared" si="5"/>
        <v>0</v>
      </c>
      <c r="U399" s="251"/>
      <c r="V399" s="250"/>
      <c r="W399" s="250"/>
      <c r="X399" s="251"/>
    </row>
    <row r="400" spans="1:24" hidden="1">
      <c r="A400" s="292">
        <v>33380</v>
      </c>
      <c r="B400" s="293" t="s">
        <v>1685</v>
      </c>
      <c r="C400" s="294" t="s">
        <v>1861</v>
      </c>
      <c r="D400" s="294" t="s">
        <v>1862</v>
      </c>
      <c r="E400" s="245">
        <v>65310</v>
      </c>
      <c r="F400" s="244" t="s">
        <v>814</v>
      </c>
      <c r="G400" s="244" t="s">
        <v>804</v>
      </c>
      <c r="H400" s="310">
        <v>-11087.18</v>
      </c>
      <c r="I400" s="254">
        <v>-11147.11</v>
      </c>
      <c r="J400" s="254">
        <v>-10544.909999999998</v>
      </c>
      <c r="K400" s="255">
        <f>-11693.48-6000</f>
        <v>-17693.48</v>
      </c>
      <c r="L400" s="255">
        <v>-9349.7099999999991</v>
      </c>
      <c r="M400" s="255">
        <v>-11461.45</v>
      </c>
      <c r="N400" s="254">
        <v>-6015.67</v>
      </c>
      <c r="O400" s="256">
        <v>608.20999999999913</v>
      </c>
      <c r="P400" s="256">
        <v>-2686.1</v>
      </c>
      <c r="Q400" s="256">
        <v>-1953.28</v>
      </c>
      <c r="R400" s="256">
        <v>-2624.72</v>
      </c>
      <c r="S400" s="256">
        <v>-5444.07</v>
      </c>
      <c r="T400" s="290">
        <f t="shared" si="5"/>
        <v>-89399.47</v>
      </c>
      <c r="U400" s="251"/>
      <c r="V400" s="250"/>
      <c r="W400" s="250"/>
      <c r="X400" s="251"/>
    </row>
    <row r="401" spans="1:24" hidden="1">
      <c r="A401" s="292">
        <v>33270</v>
      </c>
      <c r="B401" s="293" t="s">
        <v>1863</v>
      </c>
      <c r="C401" s="294" t="s">
        <v>1864</v>
      </c>
      <c r="D401" s="294" t="s">
        <v>1865</v>
      </c>
      <c r="E401" s="245">
        <v>65325</v>
      </c>
      <c r="F401" s="244" t="s">
        <v>823</v>
      </c>
      <c r="G401" s="244" t="s">
        <v>804</v>
      </c>
      <c r="H401" s="310">
        <v>-47517.66</v>
      </c>
      <c r="I401" s="254">
        <v>-73478.11</v>
      </c>
      <c r="J401" s="254">
        <v>-141348.75</v>
      </c>
      <c r="K401" s="255">
        <v>-34530.86</v>
      </c>
      <c r="L401" s="255">
        <v>-21890.400000000001</v>
      </c>
      <c r="M401" s="255">
        <v>-25435.58</v>
      </c>
      <c r="N401" s="254">
        <v>-21841.200000000001</v>
      </c>
      <c r="O401" s="256">
        <v>-3586.91</v>
      </c>
      <c r="P401" s="256">
        <v>-2438.87</v>
      </c>
      <c r="Q401" s="256">
        <v>0</v>
      </c>
      <c r="R401" s="256">
        <v>-2438.89</v>
      </c>
      <c r="S401" s="256">
        <v>0</v>
      </c>
      <c r="T401" s="290">
        <f t="shared" si="5"/>
        <v>-374507.23000000004</v>
      </c>
      <c r="U401" s="251"/>
      <c r="V401" s="250"/>
      <c r="W401" s="250"/>
      <c r="X401" s="251"/>
    </row>
    <row r="402" spans="1:24" hidden="1">
      <c r="A402" s="292">
        <v>33270</v>
      </c>
      <c r="B402" s="293" t="s">
        <v>1863</v>
      </c>
      <c r="C402" s="294" t="s">
        <v>1866</v>
      </c>
      <c r="D402" s="294" t="s">
        <v>1867</v>
      </c>
      <c r="E402" s="245">
        <v>65325</v>
      </c>
      <c r="F402" s="244" t="s">
        <v>823</v>
      </c>
      <c r="G402" s="244" t="s">
        <v>804</v>
      </c>
      <c r="H402" s="310">
        <v>0</v>
      </c>
      <c r="I402" s="254">
        <v>0</v>
      </c>
      <c r="J402" s="254">
        <v>0</v>
      </c>
      <c r="K402" s="255">
        <v>0</v>
      </c>
      <c r="L402" s="255">
        <v>0</v>
      </c>
      <c r="M402" s="255">
        <v>0</v>
      </c>
      <c r="N402" s="254">
        <v>0</v>
      </c>
      <c r="O402" s="256">
        <v>0</v>
      </c>
      <c r="P402" s="256">
        <v>0</v>
      </c>
      <c r="Q402" s="256">
        <v>0</v>
      </c>
      <c r="R402" s="256">
        <v>0</v>
      </c>
      <c r="S402" s="256">
        <v>0</v>
      </c>
      <c r="T402" s="290">
        <f t="shared" si="5"/>
        <v>0</v>
      </c>
      <c r="U402" s="251"/>
      <c r="V402" s="250"/>
      <c r="W402" s="250"/>
      <c r="X402" s="251"/>
    </row>
    <row r="403" spans="1:24" hidden="1">
      <c r="A403" s="292">
        <v>33205</v>
      </c>
      <c r="B403" s="293" t="s">
        <v>1868</v>
      </c>
      <c r="C403" s="294" t="s">
        <v>1869</v>
      </c>
      <c r="D403" s="294" t="s">
        <v>1870</v>
      </c>
      <c r="E403" s="245">
        <v>65325</v>
      </c>
      <c r="F403" s="244" t="s">
        <v>823</v>
      </c>
      <c r="G403" s="244" t="s">
        <v>804</v>
      </c>
      <c r="H403" s="310">
        <v>-7882.92</v>
      </c>
      <c r="I403" s="254">
        <v>-8959.69</v>
      </c>
      <c r="J403" s="254">
        <v>-9444.83</v>
      </c>
      <c r="K403" s="255">
        <v>-13504.55</v>
      </c>
      <c r="L403" s="255">
        <v>-9175.7800000000007</v>
      </c>
      <c r="M403" s="255">
        <v>-9427.6</v>
      </c>
      <c r="N403" s="254">
        <v>-9269.4</v>
      </c>
      <c r="O403" s="256">
        <v>-6894.7</v>
      </c>
      <c r="P403" s="256">
        <v>-8188.55</v>
      </c>
      <c r="Q403" s="256">
        <v>-8815.7000000000007</v>
      </c>
      <c r="R403" s="256">
        <v>-17177.7</v>
      </c>
      <c r="S403" s="256">
        <v>-3619.43</v>
      </c>
      <c r="T403" s="290">
        <f t="shared" si="5"/>
        <v>-112360.84999999999</v>
      </c>
      <c r="U403" s="251"/>
      <c r="V403" s="251" t="s">
        <v>1871</v>
      </c>
      <c r="W403" s="250"/>
      <c r="X403" s="251"/>
    </row>
    <row r="404" spans="1:24" hidden="1">
      <c r="A404" s="292">
        <v>33410</v>
      </c>
      <c r="B404" s="293" t="s">
        <v>1688</v>
      </c>
      <c r="C404" s="294"/>
      <c r="D404" s="294" t="s">
        <v>1872</v>
      </c>
      <c r="E404" s="245"/>
      <c r="F404" s="244"/>
      <c r="G404" s="244"/>
      <c r="H404" s="310">
        <v>0</v>
      </c>
      <c r="I404" s="254">
        <v>0</v>
      </c>
      <c r="J404" s="254">
        <v>0</v>
      </c>
      <c r="K404" s="255">
        <v>0</v>
      </c>
      <c r="L404" s="255">
        <v>0</v>
      </c>
      <c r="M404" s="255">
        <v>0</v>
      </c>
      <c r="N404" s="254">
        <v>0</v>
      </c>
      <c r="O404" s="256"/>
      <c r="P404" s="256">
        <v>0</v>
      </c>
      <c r="Q404" s="256">
        <v>0</v>
      </c>
      <c r="R404" s="256">
        <v>0</v>
      </c>
      <c r="S404" s="256">
        <v>0</v>
      </c>
      <c r="T404" s="290">
        <f t="shared" si="5"/>
        <v>0</v>
      </c>
      <c r="U404" s="251"/>
      <c r="V404" s="250"/>
      <c r="W404" s="250"/>
      <c r="X404" s="251"/>
    </row>
    <row r="405" spans="1:24" hidden="1">
      <c r="A405" s="292">
        <v>33410</v>
      </c>
      <c r="B405" s="293" t="s">
        <v>1688</v>
      </c>
      <c r="C405" s="294" t="s">
        <v>1873</v>
      </c>
      <c r="D405" s="294" t="s">
        <v>1874</v>
      </c>
      <c r="E405" s="245">
        <v>65323</v>
      </c>
      <c r="F405" s="244" t="s">
        <v>821</v>
      </c>
      <c r="G405" s="244" t="s">
        <v>804</v>
      </c>
      <c r="H405" s="310">
        <v>0</v>
      </c>
      <c r="I405" s="254">
        <v>0</v>
      </c>
      <c r="J405" s="254">
        <v>0</v>
      </c>
      <c r="K405" s="255">
        <v>0</v>
      </c>
      <c r="L405" s="255">
        <v>0</v>
      </c>
      <c r="M405" s="255">
        <v>0</v>
      </c>
      <c r="N405" s="254">
        <v>0</v>
      </c>
      <c r="O405" s="256">
        <v>0</v>
      </c>
      <c r="P405" s="256">
        <v>0</v>
      </c>
      <c r="Q405" s="256">
        <v>-70006.33</v>
      </c>
      <c r="R405" s="256">
        <v>25267.489999999998</v>
      </c>
      <c r="S405" s="256">
        <v>0</v>
      </c>
      <c r="T405" s="290">
        <f t="shared" si="5"/>
        <v>-44738.840000000004</v>
      </c>
      <c r="U405" s="251"/>
      <c r="V405" s="250"/>
      <c r="W405" s="250"/>
      <c r="X405" s="251"/>
    </row>
    <row r="406" spans="1:24" hidden="1">
      <c r="A406" s="292">
        <v>33410</v>
      </c>
      <c r="B406" s="293" t="s">
        <v>1688</v>
      </c>
      <c r="C406" s="294" t="s">
        <v>1875</v>
      </c>
      <c r="D406" s="294" t="s">
        <v>1876</v>
      </c>
      <c r="E406" s="245"/>
      <c r="F406" s="244"/>
      <c r="G406" s="244"/>
      <c r="H406" s="310">
        <v>0</v>
      </c>
      <c r="I406" s="254"/>
      <c r="J406" s="254"/>
      <c r="K406" s="255"/>
      <c r="L406" s="255">
        <v>0</v>
      </c>
      <c r="M406" s="255"/>
      <c r="N406" s="254"/>
      <c r="O406" s="256"/>
      <c r="P406" s="256">
        <v>0</v>
      </c>
      <c r="Q406" s="256"/>
      <c r="R406" s="256"/>
      <c r="S406" s="256"/>
      <c r="T406" s="290">
        <f t="shared" si="5"/>
        <v>0</v>
      </c>
      <c r="U406" s="251"/>
      <c r="V406" s="250"/>
      <c r="W406" s="250"/>
      <c r="X406" s="251"/>
    </row>
    <row r="407" spans="1:24" hidden="1">
      <c r="A407" s="292">
        <v>33410</v>
      </c>
      <c r="B407" s="293" t="s">
        <v>1688</v>
      </c>
      <c r="C407" s="294" t="s">
        <v>1877</v>
      </c>
      <c r="D407" s="294" t="s">
        <v>1878</v>
      </c>
      <c r="E407" s="245">
        <v>65399</v>
      </c>
      <c r="F407" s="244" t="s">
        <v>830</v>
      </c>
      <c r="G407" s="244" t="s">
        <v>804</v>
      </c>
      <c r="H407" s="310">
        <v>0</v>
      </c>
      <c r="I407" s="254">
        <v>0</v>
      </c>
      <c r="J407" s="254">
        <v>0</v>
      </c>
      <c r="K407" s="255">
        <v>0</v>
      </c>
      <c r="L407" s="255">
        <v>0</v>
      </c>
      <c r="M407" s="255">
        <v>0</v>
      </c>
      <c r="N407" s="254">
        <v>0</v>
      </c>
      <c r="O407" s="256">
        <v>0</v>
      </c>
      <c r="P407" s="256">
        <v>0</v>
      </c>
      <c r="Q407" s="256">
        <v>0</v>
      </c>
      <c r="R407" s="256">
        <v>0</v>
      </c>
      <c r="S407" s="256">
        <v>0</v>
      </c>
      <c r="T407" s="290">
        <f t="shared" si="5"/>
        <v>0</v>
      </c>
      <c r="U407" s="251"/>
      <c r="V407" s="250"/>
      <c r="W407" s="250"/>
      <c r="X407" s="251"/>
    </row>
    <row r="408" spans="1:24" hidden="1">
      <c r="A408" s="292">
        <v>33410</v>
      </c>
      <c r="B408" s="293" t="s">
        <v>1688</v>
      </c>
      <c r="C408" s="294" t="s">
        <v>1879</v>
      </c>
      <c r="D408" s="294" t="s">
        <v>1880</v>
      </c>
      <c r="E408" s="245">
        <v>62001</v>
      </c>
      <c r="F408" s="244" t="s">
        <v>1881</v>
      </c>
      <c r="G408" s="244" t="s">
        <v>1850</v>
      </c>
      <c r="H408" s="311"/>
      <c r="I408" s="312"/>
      <c r="J408" s="312"/>
      <c r="K408" s="313"/>
      <c r="L408" s="313"/>
      <c r="M408" s="313"/>
      <c r="N408" s="312"/>
      <c r="O408" s="314"/>
      <c r="P408" s="314"/>
      <c r="Q408" s="314"/>
      <c r="R408" s="314"/>
      <c r="S408" s="314"/>
      <c r="T408" s="290">
        <f t="shared" si="5"/>
        <v>0</v>
      </c>
      <c r="U408" s="250" t="s">
        <v>1850</v>
      </c>
      <c r="V408" s="250"/>
      <c r="W408" s="250"/>
      <c r="X408" s="251"/>
    </row>
    <row r="409" spans="1:24" hidden="1">
      <c r="A409" s="292"/>
      <c r="B409" s="293"/>
      <c r="C409" s="294"/>
      <c r="D409" s="294"/>
      <c r="E409" s="245">
        <v>62005</v>
      </c>
      <c r="F409" s="244" t="s">
        <v>771</v>
      </c>
      <c r="G409" s="244" t="s">
        <v>1850</v>
      </c>
      <c r="H409" s="311">
        <v>0</v>
      </c>
      <c r="I409" s="312">
        <v>0</v>
      </c>
      <c r="J409" s="312">
        <v>-9573.25</v>
      </c>
      <c r="K409" s="313">
        <v>0</v>
      </c>
      <c r="L409" s="313">
        <v>0</v>
      </c>
      <c r="M409" s="313">
        <v>-9696.92</v>
      </c>
      <c r="N409" s="312">
        <v>0</v>
      </c>
      <c r="O409" s="314">
        <v>0</v>
      </c>
      <c r="P409" s="314">
        <v>-8254.67</v>
      </c>
      <c r="Q409" s="314">
        <v>0</v>
      </c>
      <c r="R409" s="314">
        <v>0</v>
      </c>
      <c r="S409" s="314">
        <v>-47600.75</v>
      </c>
      <c r="T409" s="290">
        <f t="shared" si="5"/>
        <v>-75125.59</v>
      </c>
      <c r="U409" s="250" t="s">
        <v>1850</v>
      </c>
      <c r="V409" s="250"/>
      <c r="W409" s="250"/>
      <c r="X409" s="251"/>
    </row>
    <row r="410" spans="1:24" hidden="1">
      <c r="A410" s="292"/>
      <c r="B410" s="293"/>
      <c r="C410" s="294"/>
      <c r="D410" s="294"/>
      <c r="E410" s="245">
        <v>65330</v>
      </c>
      <c r="F410" s="244" t="s">
        <v>1882</v>
      </c>
      <c r="G410" s="244" t="s">
        <v>804</v>
      </c>
      <c r="H410" s="311">
        <v>-3586.9599999999996</v>
      </c>
      <c r="I410" s="312">
        <v>-2672.35</v>
      </c>
      <c r="J410" s="312">
        <v>-4319.7299999999996</v>
      </c>
      <c r="K410" s="313">
        <v>-2917.73</v>
      </c>
      <c r="L410" s="313">
        <v>-3932.880000000001</v>
      </c>
      <c r="M410" s="313">
        <f>-10635.17-M409</f>
        <v>-938.25</v>
      </c>
      <c r="N410" s="312">
        <v>-2723.01</v>
      </c>
      <c r="O410" s="314">
        <v>-3.3599999999999</v>
      </c>
      <c r="P410" s="314">
        <v>-1522.12</v>
      </c>
      <c r="Q410" s="314">
        <v>-1625.76</v>
      </c>
      <c r="R410" s="314">
        <v>-855.6</v>
      </c>
      <c r="S410" s="314">
        <v>-2460.42</v>
      </c>
      <c r="T410" s="290">
        <f t="shared" si="5"/>
        <v>-27558.17</v>
      </c>
      <c r="U410" s="250" t="s">
        <v>1850</v>
      </c>
      <c r="V410" s="250"/>
      <c r="W410" s="250"/>
      <c r="X410" s="251"/>
    </row>
    <row r="411" spans="1:24" hidden="1">
      <c r="A411" s="292"/>
      <c r="B411" s="293"/>
      <c r="C411" s="294"/>
      <c r="D411" s="294"/>
      <c r="E411" s="245">
        <v>62002</v>
      </c>
      <c r="F411" s="244" t="s">
        <v>768</v>
      </c>
      <c r="G411" s="244" t="s">
        <v>1850</v>
      </c>
      <c r="H411" s="311">
        <v>0</v>
      </c>
      <c r="I411" s="312">
        <v>0</v>
      </c>
      <c r="J411" s="312">
        <v>0</v>
      </c>
      <c r="K411" s="313">
        <v>0</v>
      </c>
      <c r="L411" s="313">
        <v>0</v>
      </c>
      <c r="M411" s="313">
        <v>0</v>
      </c>
      <c r="N411" s="312">
        <v>0</v>
      </c>
      <c r="O411" s="314">
        <v>0</v>
      </c>
      <c r="P411" s="314">
        <v>0</v>
      </c>
      <c r="Q411" s="314"/>
      <c r="R411" s="314">
        <v>0</v>
      </c>
      <c r="S411" s="314">
        <v>0</v>
      </c>
      <c r="T411" s="290">
        <f t="shared" si="5"/>
        <v>0</v>
      </c>
      <c r="U411" s="250" t="s">
        <v>1850</v>
      </c>
      <c r="V411" s="250"/>
      <c r="W411" s="250"/>
      <c r="X411" s="251"/>
    </row>
    <row r="412" spans="1:24" hidden="1">
      <c r="A412" s="292"/>
      <c r="B412" s="293"/>
      <c r="C412" s="294"/>
      <c r="D412" s="294"/>
      <c r="E412" s="245">
        <v>62003</v>
      </c>
      <c r="F412" s="244" t="s">
        <v>769</v>
      </c>
      <c r="G412" s="244" t="s">
        <v>1850</v>
      </c>
      <c r="H412" s="311">
        <v>0</v>
      </c>
      <c r="I412" s="312">
        <v>0</v>
      </c>
      <c r="J412" s="312">
        <v>0</v>
      </c>
      <c r="K412" s="313">
        <v>0</v>
      </c>
      <c r="L412" s="313">
        <v>0</v>
      </c>
      <c r="M412" s="313">
        <v>0</v>
      </c>
      <c r="N412" s="312">
        <v>0</v>
      </c>
      <c r="O412" s="314">
        <v>0</v>
      </c>
      <c r="P412" s="314">
        <v>0</v>
      </c>
      <c r="Q412" s="314"/>
      <c r="R412" s="314">
        <v>0</v>
      </c>
      <c r="S412" s="314">
        <v>0</v>
      </c>
      <c r="T412" s="290">
        <f t="shared" si="5"/>
        <v>0</v>
      </c>
      <c r="U412" s="250" t="s">
        <v>1850</v>
      </c>
      <c r="V412" s="250"/>
      <c r="W412" s="250"/>
      <c r="X412" s="251"/>
    </row>
    <row r="413" spans="1:24" hidden="1">
      <c r="A413" s="292">
        <v>33410</v>
      </c>
      <c r="B413" s="293" t="s">
        <v>1688</v>
      </c>
      <c r="C413" s="294" t="s">
        <v>1883</v>
      </c>
      <c r="D413" s="294" t="s">
        <v>1884</v>
      </c>
      <c r="E413" s="245"/>
      <c r="F413" s="244"/>
      <c r="G413" s="244"/>
      <c r="H413" s="310">
        <v>0</v>
      </c>
      <c r="I413" s="254">
        <v>0</v>
      </c>
      <c r="J413" s="254">
        <v>0</v>
      </c>
      <c r="K413" s="255">
        <v>0</v>
      </c>
      <c r="L413" s="255">
        <v>0</v>
      </c>
      <c r="M413" s="255">
        <v>0</v>
      </c>
      <c r="N413" s="254">
        <v>0</v>
      </c>
      <c r="O413" s="256">
        <v>0</v>
      </c>
      <c r="P413" s="256">
        <v>0</v>
      </c>
      <c r="Q413" s="256">
        <v>0</v>
      </c>
      <c r="R413" s="256">
        <v>0</v>
      </c>
      <c r="S413" s="256">
        <v>0</v>
      </c>
      <c r="T413" s="290">
        <f t="shared" si="5"/>
        <v>0</v>
      </c>
      <c r="U413" s="251"/>
      <c r="V413" s="250"/>
      <c r="W413" s="250"/>
      <c r="X413" s="251"/>
    </row>
    <row r="414" spans="1:24" hidden="1">
      <c r="A414" s="292">
        <v>33410</v>
      </c>
      <c r="B414" s="293" t="s">
        <v>1688</v>
      </c>
      <c r="C414" s="294" t="s">
        <v>1885</v>
      </c>
      <c r="D414" s="294" t="s">
        <v>1886</v>
      </c>
      <c r="E414" s="245">
        <v>69005</v>
      </c>
      <c r="F414" s="244" t="s">
        <v>896</v>
      </c>
      <c r="G414" s="244" t="s">
        <v>891</v>
      </c>
      <c r="H414" s="310">
        <v>0</v>
      </c>
      <c r="I414" s="254">
        <v>0</v>
      </c>
      <c r="J414" s="254">
        <v>5049.8700000000008</v>
      </c>
      <c r="K414" s="255"/>
      <c r="L414" s="255">
        <v>0</v>
      </c>
      <c r="M414" s="255">
        <v>3452.79</v>
      </c>
      <c r="N414" s="254">
        <v>0</v>
      </c>
      <c r="O414" s="256">
        <v>0</v>
      </c>
      <c r="P414" s="256">
        <v>3422.04</v>
      </c>
      <c r="Q414" s="256">
        <v>0</v>
      </c>
      <c r="R414" s="256">
        <v>0</v>
      </c>
      <c r="S414" s="256">
        <v>5958.67</v>
      </c>
      <c r="T414" s="290">
        <f t="shared" si="5"/>
        <v>17883.370000000003</v>
      </c>
      <c r="U414" s="251"/>
      <c r="V414" s="250"/>
      <c r="W414" s="250"/>
      <c r="X414" s="251"/>
    </row>
    <row r="415" spans="1:24" hidden="1">
      <c r="A415" s="292">
        <v>33410</v>
      </c>
      <c r="B415" s="293" t="s">
        <v>1688</v>
      </c>
      <c r="C415" s="294" t="s">
        <v>1887</v>
      </c>
      <c r="D415" s="294" t="s">
        <v>1886</v>
      </c>
      <c r="E415" s="245">
        <v>65399</v>
      </c>
      <c r="F415" s="244" t="s">
        <v>830</v>
      </c>
      <c r="G415" s="244" t="s">
        <v>804</v>
      </c>
      <c r="H415" s="315"/>
      <c r="I415" s="316">
        <v>0</v>
      </c>
      <c r="J415" s="316"/>
      <c r="K415" s="317">
        <v>0</v>
      </c>
      <c r="L415" s="317">
        <v>0</v>
      </c>
      <c r="M415" s="317">
        <v>0</v>
      </c>
      <c r="N415" s="317">
        <v>0</v>
      </c>
      <c r="O415" s="318">
        <v>0</v>
      </c>
      <c r="P415" s="318">
        <v>0</v>
      </c>
      <c r="Q415" s="318">
        <v>0</v>
      </c>
      <c r="R415" s="318">
        <v>0</v>
      </c>
      <c r="S415" s="318">
        <v>0</v>
      </c>
      <c r="T415" s="290">
        <f t="shared" si="5"/>
        <v>0</v>
      </c>
      <c r="U415" s="251" t="s">
        <v>883</v>
      </c>
      <c r="V415" s="250"/>
      <c r="W415" s="250"/>
      <c r="X415" s="251"/>
    </row>
    <row r="416" spans="1:24" hidden="1">
      <c r="A416" s="292"/>
      <c r="B416" s="293"/>
      <c r="C416" s="294"/>
      <c r="D416" s="294"/>
      <c r="E416" s="245">
        <v>70001</v>
      </c>
      <c r="F416" s="244" t="s">
        <v>912</v>
      </c>
      <c r="G416" s="244" t="s">
        <v>883</v>
      </c>
      <c r="H416" s="315">
        <v>0</v>
      </c>
      <c r="I416" s="316"/>
      <c r="J416" s="316">
        <v>0</v>
      </c>
      <c r="K416" s="317"/>
      <c r="L416" s="317">
        <v>0</v>
      </c>
      <c r="M416" s="317">
        <v>0</v>
      </c>
      <c r="N416" s="317">
        <v>0</v>
      </c>
      <c r="O416" s="318"/>
      <c r="P416" s="318">
        <v>0</v>
      </c>
      <c r="Q416" s="318">
        <v>0</v>
      </c>
      <c r="R416" s="318">
        <v>0</v>
      </c>
      <c r="S416" s="318">
        <v>0</v>
      </c>
      <c r="T416" s="290">
        <f t="shared" si="5"/>
        <v>0</v>
      </c>
      <c r="U416" s="251" t="s">
        <v>883</v>
      </c>
      <c r="V416" s="250"/>
      <c r="W416" s="250"/>
      <c r="X416" s="251"/>
    </row>
    <row r="417" spans="1:24" hidden="1">
      <c r="A417" s="292"/>
      <c r="B417" s="293"/>
      <c r="C417" s="294"/>
      <c r="D417" s="294"/>
      <c r="E417" s="245">
        <v>70009</v>
      </c>
      <c r="F417" s="244" t="s">
        <v>918</v>
      </c>
      <c r="G417" s="244" t="s">
        <v>883</v>
      </c>
      <c r="H417" s="315">
        <v>0.83</v>
      </c>
      <c r="I417" s="316">
        <v>0</v>
      </c>
      <c r="J417" s="316">
        <v>0</v>
      </c>
      <c r="K417" s="317">
        <v>0</v>
      </c>
      <c r="L417" s="317">
        <v>0</v>
      </c>
      <c r="M417" s="317">
        <v>0</v>
      </c>
      <c r="N417" s="317">
        <v>0</v>
      </c>
      <c r="O417" s="318">
        <v>0</v>
      </c>
      <c r="P417" s="318">
        <v>0</v>
      </c>
      <c r="Q417" s="318">
        <v>0</v>
      </c>
      <c r="R417" s="318">
        <v>0</v>
      </c>
      <c r="S417" s="318">
        <v>0</v>
      </c>
      <c r="T417" s="290">
        <f t="shared" si="5"/>
        <v>0.83</v>
      </c>
      <c r="U417" s="251" t="s">
        <v>883</v>
      </c>
      <c r="V417" s="250"/>
      <c r="W417" s="250"/>
      <c r="X417" s="251"/>
    </row>
    <row r="418" spans="1:24" hidden="1">
      <c r="A418" s="292"/>
      <c r="B418" s="293"/>
      <c r="C418" s="294"/>
      <c r="D418" s="294"/>
      <c r="E418" s="245">
        <v>67399</v>
      </c>
      <c r="F418" s="244" t="s">
        <v>1888</v>
      </c>
      <c r="G418" s="244" t="s">
        <v>1888</v>
      </c>
      <c r="H418" s="315">
        <v>0</v>
      </c>
      <c r="I418" s="316">
        <v>0</v>
      </c>
      <c r="J418" s="316">
        <v>3705.34</v>
      </c>
      <c r="K418" s="317">
        <v>0</v>
      </c>
      <c r="L418" s="317">
        <v>0</v>
      </c>
      <c r="M418" s="317">
        <v>0</v>
      </c>
      <c r="N418" s="317">
        <v>0</v>
      </c>
      <c r="O418" s="318">
        <v>0</v>
      </c>
      <c r="P418" s="318">
        <v>0</v>
      </c>
      <c r="Q418" s="318">
        <v>0</v>
      </c>
      <c r="R418" s="318">
        <v>0</v>
      </c>
      <c r="S418" s="318">
        <v>0</v>
      </c>
      <c r="T418" s="290">
        <f t="shared" si="5"/>
        <v>3705.34</v>
      </c>
      <c r="U418" s="251" t="s">
        <v>883</v>
      </c>
      <c r="V418" s="250"/>
      <c r="W418" s="250"/>
      <c r="X418" s="251"/>
    </row>
    <row r="419" spans="1:24" hidden="1">
      <c r="A419" s="292"/>
      <c r="B419" s="293"/>
      <c r="C419" s="294"/>
      <c r="D419" s="294"/>
      <c r="E419" s="245">
        <v>71002</v>
      </c>
      <c r="F419" s="244" t="s">
        <v>921</v>
      </c>
      <c r="G419" s="244" t="s">
        <v>883</v>
      </c>
      <c r="H419" s="315">
        <v>0</v>
      </c>
      <c r="I419" s="316">
        <v>0</v>
      </c>
      <c r="J419" s="316">
        <v>0</v>
      </c>
      <c r="K419" s="317">
        <v>0</v>
      </c>
      <c r="L419" s="317">
        <v>0</v>
      </c>
      <c r="M419" s="317">
        <v>0</v>
      </c>
      <c r="N419" s="317">
        <v>0</v>
      </c>
      <c r="O419" s="318">
        <v>0</v>
      </c>
      <c r="P419" s="318">
        <v>0</v>
      </c>
      <c r="Q419" s="318"/>
      <c r="R419" s="318">
        <v>0</v>
      </c>
      <c r="S419" s="318">
        <v>0</v>
      </c>
      <c r="T419" s="290">
        <f t="shared" si="5"/>
        <v>0</v>
      </c>
      <c r="U419" s="251" t="s">
        <v>883</v>
      </c>
      <c r="V419" s="250"/>
      <c r="W419" s="250"/>
      <c r="X419" s="251"/>
    </row>
    <row r="420" spans="1:24" hidden="1">
      <c r="A420" s="292"/>
      <c r="B420" s="293"/>
      <c r="C420" s="294"/>
      <c r="D420" s="294"/>
      <c r="E420" s="245">
        <v>71006</v>
      </c>
      <c r="F420" s="244" t="s">
        <v>925</v>
      </c>
      <c r="G420" s="244" t="s">
        <v>883</v>
      </c>
      <c r="H420" s="315">
        <v>0</v>
      </c>
      <c r="I420" s="316">
        <v>0</v>
      </c>
      <c r="J420" s="316">
        <v>0</v>
      </c>
      <c r="K420" s="317">
        <v>0</v>
      </c>
      <c r="L420" s="317">
        <v>0</v>
      </c>
      <c r="M420" s="317">
        <v>0</v>
      </c>
      <c r="N420" s="317">
        <v>0</v>
      </c>
      <c r="O420" s="318">
        <v>0</v>
      </c>
      <c r="P420" s="318">
        <v>0</v>
      </c>
      <c r="Q420" s="318"/>
      <c r="R420" s="318">
        <v>0</v>
      </c>
      <c r="S420" s="318">
        <v>0</v>
      </c>
      <c r="T420" s="290">
        <f t="shared" si="5"/>
        <v>0</v>
      </c>
      <c r="U420" s="251" t="s">
        <v>883</v>
      </c>
      <c r="V420" s="250"/>
      <c r="W420" s="250"/>
      <c r="X420" s="251"/>
    </row>
    <row r="421" spans="1:24" hidden="1">
      <c r="A421" s="292">
        <v>33410</v>
      </c>
      <c r="B421" s="293" t="s">
        <v>1688</v>
      </c>
      <c r="C421" s="294" t="s">
        <v>1889</v>
      </c>
      <c r="D421" s="294" t="s">
        <v>1872</v>
      </c>
      <c r="E421" s="245">
        <v>65399</v>
      </c>
      <c r="F421" s="244" t="s">
        <v>830</v>
      </c>
      <c r="G421" s="244" t="s">
        <v>804</v>
      </c>
      <c r="H421" s="319">
        <f>-382101.3-H422+H448</f>
        <v>0</v>
      </c>
      <c r="I421" s="246">
        <f>-382101.3-I422+I448</f>
        <v>0</v>
      </c>
      <c r="J421" s="246">
        <f>-382101.3-J422+J448</f>
        <v>0</v>
      </c>
      <c r="K421" s="247">
        <f>-396535.26-K422+K448</f>
        <v>-14433.960000000021</v>
      </c>
      <c r="L421" s="247">
        <f>-384884.32-L422+L448</f>
        <v>-2783.0200000011246</v>
      </c>
      <c r="M421" s="247">
        <f>-387786.62-M422+M448</f>
        <v>-5685.320000000007</v>
      </c>
      <c r="N421" s="246">
        <f>-376415.98-N422+N448</f>
        <v>5685.320000000007</v>
      </c>
      <c r="O421" s="248">
        <f>-394139.04-O422+O448</f>
        <v>-12037.739999999991</v>
      </c>
      <c r="P421" s="248">
        <f>-385403.19-P422+P448</f>
        <v>-3301.890000000014</v>
      </c>
      <c r="Q421" s="248">
        <f>-389601.3+Q448</f>
        <v>-7500</v>
      </c>
      <c r="R421" s="248">
        <f>-382343.19+R448</f>
        <v>-241.89000000001397</v>
      </c>
      <c r="S421" s="248">
        <f>-382461.29+S448</f>
        <v>-359.98999999999069</v>
      </c>
      <c r="T421" s="290">
        <f t="shared" si="5"/>
        <v>-40658.490000001155</v>
      </c>
      <c r="U421" s="250" t="s">
        <v>945</v>
      </c>
      <c r="V421" s="250"/>
      <c r="W421" s="250"/>
      <c r="X421" s="251"/>
    </row>
    <row r="422" spans="1:24" hidden="1">
      <c r="A422" s="292">
        <v>33410</v>
      </c>
      <c r="B422" s="293" t="s">
        <v>1688</v>
      </c>
      <c r="C422" s="294" t="s">
        <v>1889</v>
      </c>
      <c r="D422" s="294" t="s">
        <v>1872</v>
      </c>
      <c r="E422" s="245">
        <v>65331</v>
      </c>
      <c r="F422" s="244" t="s">
        <v>1890</v>
      </c>
      <c r="G422" s="244" t="s">
        <v>804</v>
      </c>
      <c r="H422" s="319"/>
      <c r="I422" s="246"/>
      <c r="J422" s="246"/>
      <c r="K422" s="247"/>
      <c r="L422" s="247"/>
      <c r="M422" s="247"/>
      <c r="N422" s="246"/>
      <c r="O422" s="248"/>
      <c r="P422" s="248"/>
      <c r="Q422" s="248">
        <v>-134390.71</v>
      </c>
      <c r="R422" s="248"/>
      <c r="S422" s="248">
        <v>0</v>
      </c>
      <c r="T422" s="290">
        <f t="shared" si="5"/>
        <v>-134390.71</v>
      </c>
      <c r="U422" s="250" t="s">
        <v>945</v>
      </c>
      <c r="V422" s="250"/>
      <c r="W422" s="250"/>
      <c r="X422" s="251"/>
    </row>
    <row r="423" spans="1:24" hidden="1">
      <c r="A423" s="292">
        <v>33430</v>
      </c>
      <c r="B423" s="293" t="s">
        <v>1891</v>
      </c>
      <c r="C423" s="294" t="s">
        <v>1892</v>
      </c>
      <c r="D423" s="294" t="s">
        <v>1893</v>
      </c>
      <c r="E423" s="245">
        <v>65325</v>
      </c>
      <c r="F423" s="244" t="s">
        <v>823</v>
      </c>
      <c r="G423" s="244" t="s">
        <v>804</v>
      </c>
      <c r="H423" s="310">
        <v>-122338</v>
      </c>
      <c r="I423" s="254">
        <v>-122338</v>
      </c>
      <c r="J423" s="254">
        <v>-122338</v>
      </c>
      <c r="K423" s="255">
        <v>-121093</v>
      </c>
      <c r="L423" s="255">
        <v>-121093</v>
      </c>
      <c r="M423" s="255">
        <v>-121093</v>
      </c>
      <c r="N423" s="254">
        <v>-124067.21</v>
      </c>
      <c r="O423" s="256">
        <v>-124067.21</v>
      </c>
      <c r="P423" s="256">
        <v>-124067.21</v>
      </c>
      <c r="Q423" s="256">
        <v>-132049</v>
      </c>
      <c r="R423" s="256">
        <v>-132049</v>
      </c>
      <c r="S423" s="256">
        <v>30157.46</v>
      </c>
      <c r="T423" s="290">
        <f t="shared" si="5"/>
        <v>-1336435.17</v>
      </c>
      <c r="U423" s="251"/>
      <c r="V423" s="251" t="s">
        <v>1894</v>
      </c>
      <c r="W423" s="250"/>
      <c r="X423" s="251"/>
    </row>
    <row r="424" spans="1:24" hidden="1">
      <c r="A424" s="292">
        <v>33270</v>
      </c>
      <c r="B424" s="293" t="s">
        <v>1863</v>
      </c>
      <c r="C424" s="294" t="s">
        <v>1895</v>
      </c>
      <c r="D424" s="294" t="s">
        <v>1896</v>
      </c>
      <c r="E424" s="245"/>
      <c r="F424" s="244"/>
      <c r="G424" s="244"/>
      <c r="H424" s="310">
        <v>0</v>
      </c>
      <c r="I424" s="254"/>
      <c r="J424" s="254"/>
      <c r="K424" s="255"/>
      <c r="L424" s="255">
        <v>0</v>
      </c>
      <c r="M424" s="255"/>
      <c r="N424" s="254"/>
      <c r="O424" s="256"/>
      <c r="P424" s="256">
        <v>0</v>
      </c>
      <c r="Q424" s="256"/>
      <c r="R424" s="256"/>
      <c r="S424" s="256"/>
      <c r="T424" s="290">
        <f t="shared" si="5"/>
        <v>0</v>
      </c>
      <c r="U424" s="251"/>
      <c r="V424" s="250"/>
      <c r="W424" s="250"/>
      <c r="X424" s="251"/>
    </row>
    <row r="425" spans="1:24" hidden="1">
      <c r="A425" s="292">
        <v>33440</v>
      </c>
      <c r="B425" s="293" t="s">
        <v>1897</v>
      </c>
      <c r="C425" s="294" t="s">
        <v>1898</v>
      </c>
      <c r="D425" s="294" t="s">
        <v>1899</v>
      </c>
      <c r="E425" s="245">
        <v>65325</v>
      </c>
      <c r="F425" s="244" t="s">
        <v>823</v>
      </c>
      <c r="G425" s="244" t="s">
        <v>804</v>
      </c>
      <c r="H425" s="320">
        <v>0</v>
      </c>
      <c r="I425" s="254">
        <v>0</v>
      </c>
      <c r="J425" s="254">
        <v>0</v>
      </c>
      <c r="K425" s="255">
        <v>0</v>
      </c>
      <c r="L425" s="255">
        <v>0</v>
      </c>
      <c r="M425" s="255">
        <v>0</v>
      </c>
      <c r="N425" s="254">
        <v>0</v>
      </c>
      <c r="O425" s="256">
        <v>0</v>
      </c>
      <c r="P425" s="256">
        <v>0</v>
      </c>
      <c r="Q425" s="256">
        <v>0</v>
      </c>
      <c r="R425" s="256">
        <v>0</v>
      </c>
      <c r="S425" s="256">
        <v>0</v>
      </c>
      <c r="T425" s="290">
        <f t="shared" si="5"/>
        <v>0</v>
      </c>
      <c r="U425" s="251"/>
      <c r="V425" s="250"/>
      <c r="W425" s="250"/>
      <c r="X425" s="251"/>
    </row>
    <row r="426" spans="1:24" hidden="1">
      <c r="A426" s="292">
        <v>33420</v>
      </c>
      <c r="B426" s="293" t="s">
        <v>1900</v>
      </c>
      <c r="C426" s="294" t="s">
        <v>1901</v>
      </c>
      <c r="D426" s="294" t="s">
        <v>1902</v>
      </c>
      <c r="E426" s="245">
        <v>65325</v>
      </c>
      <c r="F426" s="244" t="s">
        <v>823</v>
      </c>
      <c r="G426" s="244" t="s">
        <v>804</v>
      </c>
      <c r="H426" s="320">
        <v>-143879.65</v>
      </c>
      <c r="I426" s="254">
        <v>-166161.51999999999</v>
      </c>
      <c r="J426" s="254">
        <v>-176200.47</v>
      </c>
      <c r="K426" s="255">
        <v>-37625.07</v>
      </c>
      <c r="L426" s="255">
        <v>-115534.05</v>
      </c>
      <c r="M426" s="255">
        <v>-118126.68</v>
      </c>
      <c r="N426" s="254">
        <v>-85033.09</v>
      </c>
      <c r="O426" s="256">
        <v>-104308.39</v>
      </c>
      <c r="P426" s="256">
        <v>-100412.91</v>
      </c>
      <c r="Q426" s="256">
        <v>-126016.34</v>
      </c>
      <c r="R426" s="256">
        <v>-103006.69</v>
      </c>
      <c r="S426" s="256">
        <v>-134655.47</v>
      </c>
      <c r="T426" s="290">
        <f t="shared" si="5"/>
        <v>-1410960.3299999998</v>
      </c>
      <c r="U426" s="251"/>
      <c r="V426" s="251" t="s">
        <v>1903</v>
      </c>
      <c r="W426" s="250"/>
      <c r="X426" s="251"/>
    </row>
    <row r="427" spans="1:24" hidden="1">
      <c r="A427" s="292">
        <v>33421</v>
      </c>
      <c r="B427" s="293" t="s">
        <v>1904</v>
      </c>
      <c r="C427" s="294" t="s">
        <v>1905</v>
      </c>
      <c r="D427" s="294" t="s">
        <v>1906</v>
      </c>
      <c r="E427" s="245">
        <v>65325</v>
      </c>
      <c r="F427" s="244" t="s">
        <v>823</v>
      </c>
      <c r="G427" s="244" t="s">
        <v>804</v>
      </c>
      <c r="H427" s="320">
        <v>0</v>
      </c>
      <c r="I427" s="254">
        <v>0</v>
      </c>
      <c r="J427" s="254">
        <v>0</v>
      </c>
      <c r="K427" s="255">
        <v>0</v>
      </c>
      <c r="L427" s="255">
        <v>0</v>
      </c>
      <c r="M427" s="255">
        <v>0</v>
      </c>
      <c r="N427" s="254">
        <v>0</v>
      </c>
      <c r="O427" s="256">
        <v>0</v>
      </c>
      <c r="P427" s="256">
        <v>0</v>
      </c>
      <c r="Q427" s="256">
        <v>0</v>
      </c>
      <c r="R427" s="256">
        <v>0</v>
      </c>
      <c r="S427" s="256">
        <v>0</v>
      </c>
      <c r="T427" s="290">
        <f t="shared" si="5"/>
        <v>0</v>
      </c>
      <c r="U427" s="251"/>
      <c r="V427" s="250"/>
      <c r="W427" s="250"/>
      <c r="X427" s="251"/>
    </row>
    <row r="428" spans="1:24" hidden="1">
      <c r="A428" s="292">
        <v>33420</v>
      </c>
      <c r="B428" s="293" t="s">
        <v>1900</v>
      </c>
      <c r="C428" s="294" t="s">
        <v>1907</v>
      </c>
      <c r="D428" s="294" t="s">
        <v>1908</v>
      </c>
      <c r="E428" s="245">
        <v>65325</v>
      </c>
      <c r="F428" s="244" t="s">
        <v>823</v>
      </c>
      <c r="G428" s="244" t="s">
        <v>804</v>
      </c>
      <c r="H428" s="320">
        <v>0</v>
      </c>
      <c r="I428" s="254">
        <v>0</v>
      </c>
      <c r="J428" s="254">
        <v>0</v>
      </c>
      <c r="K428" s="255">
        <v>0</v>
      </c>
      <c r="L428" s="255">
        <v>0</v>
      </c>
      <c r="M428" s="255">
        <v>0</v>
      </c>
      <c r="N428" s="254">
        <v>0</v>
      </c>
      <c r="O428" s="256">
        <v>0</v>
      </c>
      <c r="P428" s="256">
        <v>0</v>
      </c>
      <c r="Q428" s="256">
        <v>0</v>
      </c>
      <c r="R428" s="256">
        <v>0</v>
      </c>
      <c r="S428" s="256">
        <v>0</v>
      </c>
      <c r="T428" s="290">
        <f t="shared" si="5"/>
        <v>0</v>
      </c>
      <c r="U428" s="251"/>
      <c r="V428" s="250"/>
      <c r="W428" s="250"/>
      <c r="X428" s="251"/>
    </row>
    <row r="429" spans="1:24" hidden="1">
      <c r="A429" s="292">
        <v>38130</v>
      </c>
      <c r="B429" s="293" t="s">
        <v>1909</v>
      </c>
      <c r="C429" s="294" t="s">
        <v>1910</v>
      </c>
      <c r="D429" s="294" t="s">
        <v>1911</v>
      </c>
      <c r="E429" s="245">
        <v>66004</v>
      </c>
      <c r="F429" s="244" t="s">
        <v>872</v>
      </c>
      <c r="G429" s="244" t="s">
        <v>873</v>
      </c>
      <c r="H429" s="320">
        <v>0</v>
      </c>
      <c r="I429" s="254">
        <v>634.30999999999995</v>
      </c>
      <c r="J429" s="254">
        <v>-2795.04</v>
      </c>
      <c r="K429" s="255">
        <v>0</v>
      </c>
      <c r="L429" s="255">
        <v>-11590.56</v>
      </c>
      <c r="M429" s="255">
        <v>-3629.68</v>
      </c>
      <c r="N429" s="254">
        <v>-7804.13</v>
      </c>
      <c r="O429" s="256">
        <v>370.44000000000005</v>
      </c>
      <c r="P429" s="256">
        <v>-557.92999999999995</v>
      </c>
      <c r="Q429" s="256">
        <v>0</v>
      </c>
      <c r="R429" s="256">
        <v>773.28000000000009</v>
      </c>
      <c r="S429" s="256">
        <v>15912.29</v>
      </c>
      <c r="T429" s="290">
        <f t="shared" si="5"/>
        <v>-8687.02</v>
      </c>
      <c r="U429" s="251"/>
      <c r="V429" s="250"/>
      <c r="W429" s="250"/>
      <c r="X429" s="251"/>
    </row>
    <row r="430" spans="1:24" hidden="1">
      <c r="A430" s="292">
        <v>38130</v>
      </c>
      <c r="B430" s="293" t="s">
        <v>1909</v>
      </c>
      <c r="C430" s="294" t="s">
        <v>1912</v>
      </c>
      <c r="D430" s="294" t="s">
        <v>1913</v>
      </c>
      <c r="E430" s="245">
        <v>66004</v>
      </c>
      <c r="F430" s="244" t="s">
        <v>872</v>
      </c>
      <c r="G430" s="244" t="s">
        <v>873</v>
      </c>
      <c r="H430" s="320">
        <v>0</v>
      </c>
      <c r="I430" s="254">
        <v>0.08</v>
      </c>
      <c r="J430" s="254">
        <v>0</v>
      </c>
      <c r="K430" s="255">
        <v>-0.03</v>
      </c>
      <c r="L430" s="255">
        <v>0</v>
      </c>
      <c r="M430" s="255">
        <v>0</v>
      </c>
      <c r="N430" s="254">
        <v>0</v>
      </c>
      <c r="O430" s="256">
        <v>0.04</v>
      </c>
      <c r="P430" s="256">
        <v>0.04</v>
      </c>
      <c r="Q430" s="256">
        <v>-0.02</v>
      </c>
      <c r="R430" s="256">
        <v>-0.03</v>
      </c>
      <c r="S430" s="256">
        <v>-0.03</v>
      </c>
      <c r="T430" s="290">
        <f t="shared" si="5"/>
        <v>0.05</v>
      </c>
      <c r="U430" s="251"/>
      <c r="V430" s="250"/>
      <c r="W430" s="250"/>
      <c r="X430" s="251"/>
    </row>
    <row r="431" spans="1:24" hidden="1">
      <c r="A431" s="292">
        <v>38130</v>
      </c>
      <c r="B431" s="293" t="s">
        <v>1909</v>
      </c>
      <c r="C431" s="294" t="s">
        <v>1914</v>
      </c>
      <c r="D431" s="294" t="s">
        <v>1915</v>
      </c>
      <c r="E431" s="245">
        <v>66004</v>
      </c>
      <c r="F431" s="244" t="s">
        <v>872</v>
      </c>
      <c r="G431" s="244" t="s">
        <v>873</v>
      </c>
      <c r="H431" s="320">
        <v>0</v>
      </c>
      <c r="I431" s="254">
        <v>-1380.18</v>
      </c>
      <c r="J431" s="254">
        <v>1380.18</v>
      </c>
      <c r="K431" s="255">
        <v>0</v>
      </c>
      <c r="L431" s="255">
        <v>0</v>
      </c>
      <c r="M431" s="255">
        <v>175.95</v>
      </c>
      <c r="N431" s="254">
        <v>-175.95</v>
      </c>
      <c r="O431" s="256">
        <v>0</v>
      </c>
      <c r="P431" s="256">
        <v>0</v>
      </c>
      <c r="Q431" s="256">
        <v>946.94</v>
      </c>
      <c r="R431" s="256">
        <v>346.89999999999986</v>
      </c>
      <c r="S431" s="256">
        <v>-1293.8399999999999</v>
      </c>
      <c r="T431" s="290">
        <f t="shared" si="5"/>
        <v>0</v>
      </c>
      <c r="U431" s="251"/>
      <c r="V431" s="250"/>
      <c r="W431" s="250"/>
      <c r="X431" s="251"/>
    </row>
    <row r="432" spans="1:24" hidden="1">
      <c r="A432" s="292">
        <v>35000</v>
      </c>
      <c r="B432" s="293" t="s">
        <v>1916</v>
      </c>
      <c r="C432" s="294" t="s">
        <v>1917</v>
      </c>
      <c r="D432" s="294" t="s">
        <v>1918</v>
      </c>
      <c r="E432" s="245">
        <v>70000</v>
      </c>
      <c r="F432" s="244" t="s">
        <v>911</v>
      </c>
      <c r="G432" s="244" t="s">
        <v>883</v>
      </c>
      <c r="H432" s="320">
        <v>0</v>
      </c>
      <c r="I432" s="254">
        <v>0</v>
      </c>
      <c r="J432" s="254">
        <v>0</v>
      </c>
      <c r="K432" s="255">
        <v>0</v>
      </c>
      <c r="L432" s="255">
        <v>0</v>
      </c>
      <c r="M432" s="255">
        <v>0</v>
      </c>
      <c r="N432" s="254">
        <v>0</v>
      </c>
      <c r="O432" s="256">
        <v>0</v>
      </c>
      <c r="P432" s="256">
        <v>0</v>
      </c>
      <c r="Q432" s="256">
        <v>0</v>
      </c>
      <c r="R432" s="256">
        <v>0</v>
      </c>
      <c r="S432" s="256">
        <v>0</v>
      </c>
      <c r="T432" s="290">
        <f t="shared" si="5"/>
        <v>0</v>
      </c>
      <c r="U432" s="251"/>
      <c r="V432" s="250"/>
      <c r="W432" s="250"/>
      <c r="X432" s="251"/>
    </row>
    <row r="433" spans="1:24" hidden="1">
      <c r="A433" s="292">
        <v>38950</v>
      </c>
      <c r="B433" s="293" t="s">
        <v>1919</v>
      </c>
      <c r="C433" s="294" t="s">
        <v>1920</v>
      </c>
      <c r="D433" s="294" t="s">
        <v>1921</v>
      </c>
      <c r="E433" s="245">
        <v>66005</v>
      </c>
      <c r="F433" s="244" t="s">
        <v>874</v>
      </c>
      <c r="G433" s="244" t="s">
        <v>873</v>
      </c>
      <c r="H433" s="320">
        <v>-268.15000000000003</v>
      </c>
      <c r="I433" s="254">
        <v>-324.88</v>
      </c>
      <c r="J433" s="254">
        <v>-266.13</v>
      </c>
      <c r="K433" s="255">
        <v>-84.5</v>
      </c>
      <c r="L433" s="255">
        <v>-475.69</v>
      </c>
      <c r="M433" s="255">
        <v>-665.31</v>
      </c>
      <c r="N433" s="254">
        <v>-181.13</v>
      </c>
      <c r="O433" s="256">
        <v>-268.89</v>
      </c>
      <c r="P433" s="256">
        <v>-534.04999999999995</v>
      </c>
      <c r="Q433" s="256">
        <v>-15</v>
      </c>
      <c r="R433" s="256">
        <v>-973.58</v>
      </c>
      <c r="S433" s="256">
        <v>-947.65</v>
      </c>
      <c r="T433" s="290">
        <f t="shared" si="5"/>
        <v>-5004.9599999999991</v>
      </c>
      <c r="U433" s="251"/>
      <c r="V433" s="250"/>
      <c r="W433" s="250"/>
      <c r="X433" s="251"/>
    </row>
    <row r="434" spans="1:24" hidden="1">
      <c r="A434" s="292">
        <v>38600</v>
      </c>
      <c r="B434" s="293" t="s">
        <v>1922</v>
      </c>
      <c r="C434" s="294" t="s">
        <v>1923</v>
      </c>
      <c r="D434" s="294" t="s">
        <v>1924</v>
      </c>
      <c r="E434" s="245">
        <v>66001</v>
      </c>
      <c r="F434" s="244" t="s">
        <v>869</v>
      </c>
      <c r="G434" s="244" t="s">
        <v>869</v>
      </c>
      <c r="H434" s="320">
        <v>-105847.85</v>
      </c>
      <c r="I434" s="254">
        <v>-81583</v>
      </c>
      <c r="J434" s="254">
        <v>-82172.090000000026</v>
      </c>
      <c r="K434" s="255">
        <v>-70350.41</v>
      </c>
      <c r="L434" s="255">
        <v>-54177.760000000002</v>
      </c>
      <c r="M434" s="255">
        <v>-67270.62000000001</v>
      </c>
      <c r="N434" s="254">
        <v>-75010.36</v>
      </c>
      <c r="O434" s="256">
        <v>-79243.149999999994</v>
      </c>
      <c r="P434" s="256">
        <v>-74384.08</v>
      </c>
      <c r="Q434" s="256">
        <v>-90695.99</v>
      </c>
      <c r="R434" s="256">
        <v>-83925.35</v>
      </c>
      <c r="S434" s="256">
        <v>-83222.389999999985</v>
      </c>
      <c r="T434" s="290">
        <f t="shared" si="5"/>
        <v>-947883.05</v>
      </c>
      <c r="U434" s="251"/>
      <c r="V434" s="250"/>
      <c r="W434" s="250"/>
      <c r="X434" s="251"/>
    </row>
    <row r="435" spans="1:24" hidden="1">
      <c r="A435" s="292">
        <v>38500</v>
      </c>
      <c r="B435" s="293" t="s">
        <v>1925</v>
      </c>
      <c r="C435" s="294" t="s">
        <v>1926</v>
      </c>
      <c r="D435" s="294" t="s">
        <v>1927</v>
      </c>
      <c r="E435" s="245">
        <v>66000</v>
      </c>
      <c r="F435" s="244" t="s">
        <v>867</v>
      </c>
      <c r="G435" s="244" t="s">
        <v>867</v>
      </c>
      <c r="H435" s="320">
        <v>0</v>
      </c>
      <c r="I435" s="254">
        <v>0</v>
      </c>
      <c r="J435" s="254">
        <v>31411.78</v>
      </c>
      <c r="K435" s="255">
        <v>0</v>
      </c>
      <c r="L435" s="255">
        <v>0</v>
      </c>
      <c r="M435" s="255">
        <v>10042.290000000001</v>
      </c>
      <c r="N435" s="254">
        <v>0</v>
      </c>
      <c r="O435" s="256">
        <v>0</v>
      </c>
      <c r="P435" s="256">
        <v>6013.88</v>
      </c>
      <c r="Q435" s="256">
        <v>0</v>
      </c>
      <c r="R435" s="256">
        <v>0</v>
      </c>
      <c r="S435" s="256">
        <v>7360.49</v>
      </c>
      <c r="T435" s="290">
        <f t="shared" si="5"/>
        <v>54828.439999999995</v>
      </c>
      <c r="U435" s="251"/>
      <c r="V435" s="250"/>
      <c r="W435" s="250"/>
      <c r="X435" s="251"/>
    </row>
    <row r="436" spans="1:24" hidden="1">
      <c r="A436" s="292">
        <v>38520</v>
      </c>
      <c r="B436" s="293" t="s">
        <v>1928</v>
      </c>
      <c r="C436" s="294" t="s">
        <v>1929</v>
      </c>
      <c r="D436" s="294" t="s">
        <v>1930</v>
      </c>
      <c r="E436" s="245">
        <v>66000</v>
      </c>
      <c r="F436" s="244" t="s">
        <v>867</v>
      </c>
      <c r="G436" s="244" t="s">
        <v>867</v>
      </c>
      <c r="H436" s="320">
        <v>0</v>
      </c>
      <c r="I436" s="254">
        <v>0</v>
      </c>
      <c r="J436" s="254">
        <v>0</v>
      </c>
      <c r="K436" s="255">
        <v>0</v>
      </c>
      <c r="L436" s="255">
        <v>0</v>
      </c>
      <c r="M436" s="255">
        <v>0</v>
      </c>
      <c r="N436" s="254">
        <v>0</v>
      </c>
      <c r="O436" s="256">
        <v>0</v>
      </c>
      <c r="P436" s="256">
        <v>0</v>
      </c>
      <c r="Q436" s="256">
        <v>0</v>
      </c>
      <c r="R436" s="256">
        <v>0</v>
      </c>
      <c r="S436" s="256">
        <v>0</v>
      </c>
      <c r="T436" s="290">
        <f t="shared" si="5"/>
        <v>0</v>
      </c>
      <c r="U436" s="251"/>
      <c r="V436" s="250"/>
      <c r="W436" s="250"/>
      <c r="X436" s="251"/>
    </row>
    <row r="437" spans="1:24" hidden="1">
      <c r="A437" s="292">
        <v>38850</v>
      </c>
      <c r="B437" s="293" t="s">
        <v>1931</v>
      </c>
      <c r="C437" s="294" t="s">
        <v>1932</v>
      </c>
      <c r="D437" s="294" t="s">
        <v>1933</v>
      </c>
      <c r="E437" s="245">
        <v>66001</v>
      </c>
      <c r="F437" s="244" t="s">
        <v>869</v>
      </c>
      <c r="G437" s="244" t="s">
        <v>869</v>
      </c>
      <c r="H437" s="320">
        <v>0</v>
      </c>
      <c r="I437" s="254">
        <v>0</v>
      </c>
      <c r="J437" s="254">
        <v>0</v>
      </c>
      <c r="K437" s="255">
        <v>0</v>
      </c>
      <c r="L437" s="255">
        <v>0</v>
      </c>
      <c r="M437" s="255">
        <v>0</v>
      </c>
      <c r="N437" s="254">
        <v>0</v>
      </c>
      <c r="O437" s="256">
        <v>0</v>
      </c>
      <c r="P437" s="256">
        <v>0</v>
      </c>
      <c r="Q437" s="256">
        <v>0</v>
      </c>
      <c r="R437" s="256">
        <v>0</v>
      </c>
      <c r="S437" s="256">
        <v>0</v>
      </c>
      <c r="T437" s="290">
        <f t="shared" si="5"/>
        <v>0</v>
      </c>
      <c r="U437" s="251"/>
      <c r="V437" s="250"/>
      <c r="W437" s="250"/>
      <c r="X437" s="251"/>
    </row>
    <row r="438" spans="1:24" hidden="1">
      <c r="A438" s="292">
        <v>39800</v>
      </c>
      <c r="B438" s="293" t="s">
        <v>1934</v>
      </c>
      <c r="C438" s="294" t="s">
        <v>1935</v>
      </c>
      <c r="D438" s="294" t="s">
        <v>1936</v>
      </c>
      <c r="E438" s="245">
        <v>80000</v>
      </c>
      <c r="F438" s="244" t="s">
        <v>929</v>
      </c>
      <c r="G438" s="244" t="s">
        <v>930</v>
      </c>
      <c r="H438" s="264">
        <v>0</v>
      </c>
      <c r="I438" s="260">
        <v>0</v>
      </c>
      <c r="J438" s="260">
        <v>0</v>
      </c>
      <c r="K438" s="261">
        <v>0</v>
      </c>
      <c r="L438" s="261">
        <v>0</v>
      </c>
      <c r="M438" s="261">
        <v>0</v>
      </c>
      <c r="N438" s="260">
        <v>0</v>
      </c>
      <c r="O438" s="262">
        <v>0</v>
      </c>
      <c r="P438" s="262">
        <v>0</v>
      </c>
      <c r="Q438" s="276">
        <v>0</v>
      </c>
      <c r="R438" s="276">
        <v>0</v>
      </c>
      <c r="S438" s="276">
        <v>0</v>
      </c>
      <c r="T438" s="290">
        <f t="shared" si="5"/>
        <v>0</v>
      </c>
      <c r="U438" s="250" t="s">
        <v>1071</v>
      </c>
      <c r="V438" s="250"/>
      <c r="W438" s="250"/>
      <c r="X438" s="251"/>
    </row>
    <row r="439" spans="1:24" hidden="1">
      <c r="A439" s="292">
        <v>39820</v>
      </c>
      <c r="B439" s="293" t="s">
        <v>1937</v>
      </c>
      <c r="C439" s="294" t="s">
        <v>1938</v>
      </c>
      <c r="D439" s="294" t="s">
        <v>1939</v>
      </c>
      <c r="E439" s="245">
        <v>80001</v>
      </c>
      <c r="F439" s="244" t="s">
        <v>931</v>
      </c>
      <c r="G439" s="244" t="s">
        <v>930</v>
      </c>
      <c r="H439" s="264">
        <v>491858.33</v>
      </c>
      <c r="I439" s="260">
        <v>586898.24</v>
      </c>
      <c r="J439" s="260">
        <v>433896.06</v>
      </c>
      <c r="K439" s="261">
        <f>43293.47+653221.75</f>
        <v>696515.22</v>
      </c>
      <c r="L439" s="261">
        <v>451896.23</v>
      </c>
      <c r="M439" s="261">
        <v>468907.44</v>
      </c>
      <c r="N439" s="260">
        <v>581424.71</v>
      </c>
      <c r="O439" s="262">
        <v>552522.51</v>
      </c>
      <c r="P439" s="262">
        <v>451708.6</v>
      </c>
      <c r="Q439" s="276">
        <v>534300.24</v>
      </c>
      <c r="R439" s="276">
        <v>516735.89</v>
      </c>
      <c r="S439" s="276">
        <v>-245782.17</v>
      </c>
      <c r="T439" s="290">
        <f t="shared" si="5"/>
        <v>5520881.2999999998</v>
      </c>
      <c r="U439" s="250" t="s">
        <v>1071</v>
      </c>
      <c r="V439" s="250"/>
      <c r="W439" s="250"/>
      <c r="X439" s="251"/>
    </row>
    <row r="440" spans="1:24" hidden="1">
      <c r="A440" s="292">
        <v>39820</v>
      </c>
      <c r="B440" s="293" t="s">
        <v>1937</v>
      </c>
      <c r="C440" s="294" t="s">
        <v>1940</v>
      </c>
      <c r="D440" s="294" t="s">
        <v>1941</v>
      </c>
      <c r="E440" s="245"/>
      <c r="F440" s="244"/>
      <c r="G440" s="244"/>
      <c r="H440" s="320">
        <v>0</v>
      </c>
      <c r="I440" s="254"/>
      <c r="J440" s="254"/>
      <c r="K440" s="255"/>
      <c r="L440" s="255">
        <v>0</v>
      </c>
      <c r="M440" s="255"/>
      <c r="N440" s="254"/>
      <c r="O440" s="256"/>
      <c r="P440" s="256"/>
      <c r="Q440" s="256"/>
      <c r="R440" s="256"/>
      <c r="S440" s="256"/>
      <c r="T440" s="290">
        <f t="shared" si="5"/>
        <v>0</v>
      </c>
      <c r="U440" s="251"/>
      <c r="V440" s="250"/>
      <c r="W440" s="250"/>
    </row>
    <row r="441" spans="1:24" hidden="1">
      <c r="E441" s="322">
        <v>65201</v>
      </c>
      <c r="F441" s="321" t="s">
        <v>801</v>
      </c>
      <c r="G441" s="321" t="s">
        <v>802</v>
      </c>
      <c r="H441" s="319">
        <v>-382101.3</v>
      </c>
      <c r="I441" s="319">
        <v>-382101.3</v>
      </c>
      <c r="J441" s="319">
        <v>-382101.3</v>
      </c>
      <c r="K441" s="319">
        <v>-382101.3</v>
      </c>
      <c r="L441" s="319">
        <v>-382101.3</v>
      </c>
      <c r="M441" s="319">
        <v>-382101.3</v>
      </c>
      <c r="N441" s="319">
        <v>-382101.3</v>
      </c>
      <c r="O441" s="319">
        <v>-382101.3</v>
      </c>
      <c r="P441" s="319">
        <v>-382101.3</v>
      </c>
      <c r="Q441" s="319">
        <v>-382101.3</v>
      </c>
      <c r="R441" s="319">
        <v>-382101.3</v>
      </c>
      <c r="S441" s="319">
        <v>-382101.3</v>
      </c>
      <c r="T441" s="290">
        <f t="shared" si="5"/>
        <v>-4585215.5999999987</v>
      </c>
      <c r="U441" s="250" t="s">
        <v>945</v>
      </c>
      <c r="V441" s="250"/>
    </row>
    <row r="442" spans="1:24" hidden="1">
      <c r="E442" s="321"/>
      <c r="G442" s="321" t="s">
        <v>1942</v>
      </c>
      <c r="H442" s="276">
        <f t="shared" ref="H442:S442" si="6">8680000*3</f>
        <v>26040000</v>
      </c>
      <c r="I442" s="276">
        <f t="shared" si="6"/>
        <v>26040000</v>
      </c>
      <c r="J442" s="276">
        <f t="shared" si="6"/>
        <v>26040000</v>
      </c>
      <c r="K442" s="276">
        <f t="shared" si="6"/>
        <v>26040000</v>
      </c>
      <c r="L442" s="276">
        <f t="shared" si="6"/>
        <v>26040000</v>
      </c>
      <c r="M442" s="276">
        <f t="shared" si="6"/>
        <v>26040000</v>
      </c>
      <c r="N442" s="276">
        <f t="shared" si="6"/>
        <v>26040000</v>
      </c>
      <c r="O442" s="276">
        <f t="shared" si="6"/>
        <v>26040000</v>
      </c>
      <c r="P442" s="276">
        <f t="shared" si="6"/>
        <v>26040000</v>
      </c>
      <c r="Q442" s="276">
        <f t="shared" si="6"/>
        <v>26040000</v>
      </c>
      <c r="R442" s="276">
        <f t="shared" si="6"/>
        <v>26040000</v>
      </c>
      <c r="S442" s="276">
        <f t="shared" si="6"/>
        <v>26040000</v>
      </c>
      <c r="T442" s="290">
        <f t="shared" ref="T442:T448" si="7">SUM(H442:S442)</f>
        <v>312480000</v>
      </c>
      <c r="U442" s="250" t="s">
        <v>1071</v>
      </c>
      <c r="V442" s="250"/>
    </row>
    <row r="443" spans="1:24" hidden="1">
      <c r="E443" s="245">
        <v>69005</v>
      </c>
      <c r="F443" s="244" t="s">
        <v>896</v>
      </c>
      <c r="G443" s="244" t="s">
        <v>891</v>
      </c>
      <c r="H443" s="324"/>
      <c r="I443" s="264"/>
      <c r="J443" s="264"/>
      <c r="K443" s="264">
        <v>400000</v>
      </c>
      <c r="L443" s="264"/>
      <c r="M443" s="264"/>
      <c r="N443" s="264"/>
      <c r="O443" s="264"/>
      <c r="P443" s="264"/>
      <c r="Q443" s="276"/>
      <c r="R443" s="276"/>
      <c r="S443" s="248"/>
      <c r="T443" s="290">
        <f t="shared" si="7"/>
        <v>400000</v>
      </c>
      <c r="U443" s="250" t="s">
        <v>891</v>
      </c>
      <c r="V443" s="250"/>
    </row>
    <row r="444" spans="1:24" hidden="1">
      <c r="E444" s="321">
        <v>69105</v>
      </c>
      <c r="F444" s="321" t="s">
        <v>907</v>
      </c>
      <c r="G444" s="244" t="s">
        <v>891</v>
      </c>
      <c r="H444" s="276"/>
      <c r="I444" s="264"/>
      <c r="J444" s="264"/>
      <c r="K444" s="264">
        <v>-400000</v>
      </c>
      <c r="L444" s="264"/>
      <c r="M444" s="264"/>
      <c r="N444" s="264"/>
      <c r="O444" s="264"/>
      <c r="P444" s="264"/>
      <c r="Q444" s="276"/>
      <c r="R444" s="276"/>
      <c r="S444" s="276"/>
      <c r="T444" s="290">
        <f t="shared" si="7"/>
        <v>-400000</v>
      </c>
      <c r="U444" s="250" t="s">
        <v>891</v>
      </c>
      <c r="V444" s="250"/>
    </row>
    <row r="445" spans="1:24" hidden="1">
      <c r="E445" s="321">
        <v>17003</v>
      </c>
      <c r="F445" s="321" t="s">
        <v>500</v>
      </c>
      <c r="G445" s="321" t="s">
        <v>87</v>
      </c>
      <c r="H445" s="319">
        <v>22926078.260000002</v>
      </c>
      <c r="I445" s="246">
        <v>22926078.260000002</v>
      </c>
      <c r="J445" s="246">
        <v>22926078.260000002</v>
      </c>
      <c r="K445" s="246">
        <v>22926078.260000002</v>
      </c>
      <c r="L445" s="246">
        <v>22926078.260000002</v>
      </c>
      <c r="M445" s="246">
        <v>22926078.260000002</v>
      </c>
      <c r="N445" s="246">
        <v>22926078.260000002</v>
      </c>
      <c r="O445" s="246">
        <v>22926078.260000002</v>
      </c>
      <c r="P445" s="246">
        <v>22926078.260000002</v>
      </c>
      <c r="Q445" s="246">
        <v>22926078.260000002</v>
      </c>
      <c r="R445" s="246">
        <v>22926078.260000002</v>
      </c>
      <c r="S445" s="246">
        <v>22926078.260000002</v>
      </c>
      <c r="T445" s="290">
        <f t="shared" si="7"/>
        <v>275112939.11999995</v>
      </c>
      <c r="U445" s="250" t="s">
        <v>945</v>
      </c>
      <c r="V445" s="250"/>
    </row>
    <row r="446" spans="1:24" hidden="1">
      <c r="E446" s="321"/>
      <c r="G446" s="321" t="s">
        <v>57</v>
      </c>
      <c r="H446" s="319">
        <f>10042967.35-108333.33*1</f>
        <v>9934634.0199999996</v>
      </c>
      <c r="I446" s="246">
        <f>9769199.38-108333.33*2</f>
        <v>9552532.7200000007</v>
      </c>
      <c r="J446" s="246">
        <f>9495431.41-108333.33*3</f>
        <v>9170431.4199999999</v>
      </c>
      <c r="K446" s="246">
        <f>9244940.34-108333.33*4-23276.9</f>
        <v>8788330.1199999992</v>
      </c>
      <c r="L446" s="247">
        <f>8959533.92-108333.33*5-11638.45</f>
        <v>8406228.8200000003</v>
      </c>
      <c r="M446" s="247">
        <f>8674127.5-108333.33*6</f>
        <v>8024127.5199999996</v>
      </c>
      <c r="N446" s="246">
        <f>8400359.53-108333.33*7</f>
        <v>7642026.2199999988</v>
      </c>
      <c r="O446" s="248">
        <f>8018258.23-108333.33*7</f>
        <v>7259924.9199999999</v>
      </c>
      <c r="P446" s="248">
        <f>7641996.57-P112</f>
        <v>6877823.6200000001</v>
      </c>
      <c r="Q446" s="325">
        <f>+P446-Q448</f>
        <v>6495722.3200000003</v>
      </c>
      <c r="R446" s="325">
        <f>+Q446-R448</f>
        <v>6113621.0200000005</v>
      </c>
      <c r="S446" s="248">
        <f>+R446-S448</f>
        <v>5731519.7200000007</v>
      </c>
      <c r="T446" s="290">
        <f t="shared" si="7"/>
        <v>93996922.440000013</v>
      </c>
      <c r="U446" s="250" t="s">
        <v>945</v>
      </c>
      <c r="V446" s="250"/>
    </row>
    <row r="447" spans="1:24" hidden="1">
      <c r="E447" s="321"/>
      <c r="G447" s="321" t="s">
        <v>1943</v>
      </c>
      <c r="H447" s="276"/>
      <c r="I447" s="326"/>
      <c r="J447" s="326"/>
      <c r="L447" s="255"/>
      <c r="M447" s="255"/>
      <c r="N447" s="254"/>
      <c r="O447" s="256"/>
      <c r="P447" s="256"/>
      <c r="Q447" s="276"/>
      <c r="R447" s="276"/>
      <c r="S447" s="276"/>
      <c r="T447" s="290">
        <f t="shared" si="7"/>
        <v>0</v>
      </c>
      <c r="U447" s="250" t="s">
        <v>1071</v>
      </c>
      <c r="V447" s="250"/>
    </row>
    <row r="448" spans="1:24" hidden="1">
      <c r="C448" s="321" t="s">
        <v>1889</v>
      </c>
      <c r="E448" s="321"/>
      <c r="G448" s="321" t="s">
        <v>1944</v>
      </c>
      <c r="H448" s="319">
        <v>382101.3</v>
      </c>
      <c r="I448" s="319">
        <v>382101.3</v>
      </c>
      <c r="J448" s="319">
        <v>382101.3</v>
      </c>
      <c r="K448" s="319">
        <v>382101.3</v>
      </c>
      <c r="L448" s="319">
        <f>+K446-L446</f>
        <v>382101.29999999888</v>
      </c>
      <c r="M448" s="319">
        <v>382101.3</v>
      </c>
      <c r="N448" s="319">
        <v>382101.3</v>
      </c>
      <c r="O448" s="319">
        <v>382101.3</v>
      </c>
      <c r="P448" s="319">
        <v>382101.3</v>
      </c>
      <c r="Q448" s="248">
        <v>382101.3</v>
      </c>
      <c r="R448" s="248">
        <v>382101.3</v>
      </c>
      <c r="S448" s="248">
        <v>382101.3</v>
      </c>
      <c r="T448" s="290">
        <f t="shared" si="7"/>
        <v>4585215.5999999978</v>
      </c>
      <c r="U448" s="250" t="s">
        <v>945</v>
      </c>
      <c r="V448" s="250"/>
    </row>
    <row r="449" spans="1:22" hidden="1">
      <c r="E449" s="321">
        <v>18002</v>
      </c>
      <c r="F449" s="321" t="s">
        <v>511</v>
      </c>
      <c r="G449" s="321" t="s">
        <v>511</v>
      </c>
      <c r="H449" s="310"/>
      <c r="I449" s="327"/>
      <c r="J449" s="327"/>
      <c r="K449" s="327"/>
      <c r="L449" s="327"/>
      <c r="M449" s="327"/>
      <c r="N449" s="327"/>
      <c r="O449" s="327"/>
      <c r="P449" s="327"/>
      <c r="Q449" s="259"/>
      <c r="R449" s="259"/>
      <c r="S449" s="259"/>
      <c r="U449" s="250"/>
      <c r="V449" s="250"/>
    </row>
    <row r="450" spans="1:22" hidden="1">
      <c r="E450" s="321">
        <v>18102</v>
      </c>
      <c r="F450" s="321" t="s">
        <v>514</v>
      </c>
      <c r="G450" s="321" t="s">
        <v>514</v>
      </c>
      <c r="H450" s="310"/>
      <c r="I450" s="327"/>
      <c r="J450" s="327"/>
      <c r="K450" s="327"/>
      <c r="L450" s="327"/>
      <c r="M450" s="327"/>
      <c r="N450" s="327"/>
      <c r="O450" s="327"/>
      <c r="P450" s="327"/>
      <c r="Q450" s="259"/>
      <c r="R450" s="259"/>
      <c r="S450" s="259"/>
      <c r="U450" s="250"/>
      <c r="V450" s="250"/>
    </row>
    <row r="451" spans="1:22" hidden="1">
      <c r="C451" s="321" t="s">
        <v>1251</v>
      </c>
      <c r="E451" s="245">
        <v>29000</v>
      </c>
      <c r="F451" s="321" t="s">
        <v>638</v>
      </c>
      <c r="G451" s="321" t="s">
        <v>42</v>
      </c>
      <c r="H451" s="281">
        <f>-8375327.98+96888</f>
        <v>-8278439.9800000004</v>
      </c>
      <c r="I451" s="281">
        <v>-8265636.9800000004</v>
      </c>
      <c r="J451" s="281">
        <f>-30686176.54-J137</f>
        <v>-8902291.5099999979</v>
      </c>
      <c r="K451" s="281">
        <v>-6219217.6100000003</v>
      </c>
      <c r="L451" s="281">
        <v>-7831829.7199999997</v>
      </c>
      <c r="M451" s="281">
        <v>-7823565.5899999999</v>
      </c>
      <c r="N451" s="281">
        <f>-7585242.46+20000</f>
        <v>-7565242.46</v>
      </c>
      <c r="O451" s="281">
        <v>-7787224.5899999999</v>
      </c>
      <c r="P451" s="281">
        <f>-7787224.59+39089</f>
        <v>-7748135.5899999999</v>
      </c>
      <c r="Q451" s="281">
        <v>-7643903.5899999999</v>
      </c>
      <c r="R451" s="281">
        <f>-7643903.59+155000</f>
        <v>-7488903.5899999999</v>
      </c>
      <c r="S451" s="281">
        <v>-7468903.5899999999</v>
      </c>
      <c r="U451" s="250" t="s">
        <v>1253</v>
      </c>
      <c r="V451" s="250"/>
    </row>
    <row r="452" spans="1:22" hidden="1">
      <c r="E452" s="321"/>
      <c r="G452" s="321" t="s">
        <v>1945</v>
      </c>
      <c r="H452" s="276"/>
      <c r="I452" s="276"/>
      <c r="J452" s="276"/>
      <c r="K452" s="264"/>
      <c r="L452" s="264"/>
      <c r="M452" s="264"/>
      <c r="N452" s="264"/>
      <c r="O452" s="264"/>
      <c r="P452" s="264"/>
      <c r="Q452" s="276"/>
      <c r="R452" s="276"/>
      <c r="S452" s="276"/>
      <c r="U452" s="250" t="s">
        <v>1071</v>
      </c>
      <c r="V452" s="250"/>
    </row>
    <row r="453" spans="1:22" hidden="1">
      <c r="A453" s="329"/>
      <c r="B453" s="329"/>
      <c r="C453" s="329"/>
      <c r="D453" s="329"/>
      <c r="E453" s="330">
        <v>24000</v>
      </c>
      <c r="F453" s="329" t="s">
        <v>535</v>
      </c>
      <c r="G453" s="329" t="s">
        <v>533</v>
      </c>
      <c r="H453" s="289">
        <f>-44301544.5-7223056-3568901.28-4691856.8-4691857.72-624313.97-3568901.45</f>
        <v>-68670431.719999999</v>
      </c>
      <c r="I453" s="289">
        <f>-44301544.5-7223056-3568901.28-4691856.8-4691857.72-624313.97-3568901.45</f>
        <v>-68670431.719999999</v>
      </c>
      <c r="J453" s="289">
        <f>-44301544.5-7223056-3568901.28-4691856.8-4691857.72-624313.97-3568901.45</f>
        <v>-68670431.719999999</v>
      </c>
      <c r="K453" s="289">
        <f>-44301544.5-7223056-3568901.28-4691856.8-4691857.72-624313.97-3568901.45</f>
        <v>-68670431.719999999</v>
      </c>
      <c r="L453" s="289">
        <f t="shared" ref="L453:Q453" si="8">-44301544.5-7223056-3568901.28-4691856.8-4691857.72-624313.97-3568901.45-2720781.34-203146</f>
        <v>-71594359.060000002</v>
      </c>
      <c r="M453" s="289">
        <f t="shared" si="8"/>
        <v>-71594359.060000002</v>
      </c>
      <c r="N453" s="289">
        <f t="shared" si="8"/>
        <v>-71594359.060000002</v>
      </c>
      <c r="O453" s="289">
        <f t="shared" si="8"/>
        <v>-71594359.060000002</v>
      </c>
      <c r="P453" s="289">
        <f t="shared" si="8"/>
        <v>-71594359.060000002</v>
      </c>
      <c r="Q453" s="289">
        <f t="shared" si="8"/>
        <v>-71594359.060000002</v>
      </c>
      <c r="R453" s="289">
        <f>-44301544.5-7223056-3568901.28-4691856.8-4691857.72-624313.97-3568901.45-2720781.34-203146-3834805.63-231349.24</f>
        <v>-75660513.929999992</v>
      </c>
      <c r="S453" s="289">
        <f>-44301544.5-7223056-3568901.28-4691856.8-4691857.72-624313.97-3568901.45-2720781.34-203146-3834805.63-231349.24</f>
        <v>-75660513.929999992</v>
      </c>
      <c r="U453" s="250" t="s">
        <v>1308</v>
      </c>
      <c r="V453" s="250"/>
    </row>
    <row r="454" spans="1:22" hidden="1">
      <c r="A454" s="329"/>
      <c r="B454" s="329"/>
      <c r="C454" s="329"/>
      <c r="D454" s="329"/>
      <c r="E454" s="330">
        <v>24000</v>
      </c>
      <c r="F454" s="329" t="s">
        <v>535</v>
      </c>
      <c r="G454" s="329" t="s">
        <v>533</v>
      </c>
      <c r="H454" s="289">
        <f>-2720781.34-203146</f>
        <v>-2923927.34</v>
      </c>
      <c r="I454" s="289">
        <f>-2720781.34-203146</f>
        <v>-2923927.34</v>
      </c>
      <c r="J454" s="289">
        <f>-2720781.34-203146</f>
        <v>-2923927.34</v>
      </c>
      <c r="K454" s="289">
        <f>-2720781.34-203146</f>
        <v>-2923927.34</v>
      </c>
      <c r="L454" s="289">
        <v>0</v>
      </c>
      <c r="M454" s="289">
        <v>0</v>
      </c>
      <c r="N454" s="331">
        <v>0</v>
      </c>
      <c r="O454" s="331">
        <v>0</v>
      </c>
      <c r="P454" s="331">
        <v>0</v>
      </c>
      <c r="Q454" s="331">
        <v>0</v>
      </c>
      <c r="R454" s="289">
        <v>0</v>
      </c>
      <c r="S454" s="289">
        <v>0</v>
      </c>
      <c r="U454" s="250" t="s">
        <v>1308</v>
      </c>
      <c r="V454" s="250"/>
    </row>
    <row r="455" spans="1:22" hidden="1">
      <c r="E455" s="330">
        <v>24000</v>
      </c>
      <c r="F455" s="329" t="s">
        <v>535</v>
      </c>
      <c r="G455" s="329" t="s">
        <v>533</v>
      </c>
      <c r="H455" s="289">
        <v>0</v>
      </c>
      <c r="I455" s="332"/>
      <c r="J455" s="332"/>
      <c r="K455" s="332"/>
      <c r="L455" s="332"/>
      <c r="M455" s="332"/>
      <c r="N455" s="333"/>
      <c r="O455" s="331"/>
      <c r="P455" s="331"/>
      <c r="Q455" s="331"/>
      <c r="R455" s="331"/>
      <c r="S455" s="289"/>
      <c r="U455" s="250" t="s">
        <v>1308</v>
      </c>
      <c r="V455" s="250"/>
    </row>
    <row r="456" spans="1:22" hidden="1">
      <c r="E456" s="330">
        <v>24000</v>
      </c>
      <c r="F456" s="329" t="s">
        <v>535</v>
      </c>
      <c r="G456" s="329" t="s">
        <v>533</v>
      </c>
      <c r="H456" s="331">
        <v>-315724.77</v>
      </c>
      <c r="I456" s="289">
        <v>-315724.77</v>
      </c>
      <c r="J456" s="289">
        <v>-315724.77</v>
      </c>
      <c r="K456" s="289">
        <v>-315724.77</v>
      </c>
      <c r="L456" s="289">
        <v>-315724.77</v>
      </c>
      <c r="M456" s="289">
        <v>-315724.77</v>
      </c>
      <c r="N456" s="289">
        <v>-315724.77</v>
      </c>
      <c r="O456" s="289">
        <v>-315724.77</v>
      </c>
      <c r="P456" s="289">
        <v>-315724.77</v>
      </c>
      <c r="Q456" s="331">
        <v>-315724.77</v>
      </c>
      <c r="R456" s="331">
        <v>-315724.77</v>
      </c>
      <c r="S456" s="331">
        <v>-315724.77</v>
      </c>
      <c r="U456" s="250" t="s">
        <v>1308</v>
      </c>
      <c r="V456" s="250"/>
    </row>
    <row r="457" spans="1:22" hidden="1">
      <c r="G457" s="335" t="s">
        <v>1946</v>
      </c>
      <c r="S457" s="276"/>
      <c r="U457" s="250" t="s">
        <v>1071</v>
      </c>
    </row>
    <row r="458" spans="1:22" hidden="1">
      <c r="G458" s="321" t="s">
        <v>1947</v>
      </c>
      <c r="S458" s="276"/>
      <c r="U458" s="250" t="s">
        <v>1071</v>
      </c>
    </row>
    <row r="459" spans="1:22">
      <c r="E459" s="334">
        <v>12200</v>
      </c>
      <c r="F459" s="321" t="s">
        <v>298</v>
      </c>
      <c r="G459" s="244" t="s">
        <v>293</v>
      </c>
      <c r="H459" s="338">
        <f>15639200</f>
        <v>15639200</v>
      </c>
      <c r="I459" s="338">
        <f>15639200</f>
        <v>15639200</v>
      </c>
      <c r="J459" s="320">
        <v>15639200</v>
      </c>
      <c r="K459" s="310">
        <v>15639200</v>
      </c>
      <c r="L459" s="310">
        <f>15639200-5650000</f>
        <v>9989200</v>
      </c>
      <c r="M459" s="310">
        <f>15639200-5650000</f>
        <v>9989200</v>
      </c>
      <c r="N459" s="310">
        <f>15639200-5650000</f>
        <v>9989200</v>
      </c>
      <c r="O459" s="310">
        <f>15639200-5650000</f>
        <v>9989200</v>
      </c>
      <c r="P459" s="310">
        <f>15639200-5650000-4926000</f>
        <v>5063200</v>
      </c>
      <c r="Q459" s="310">
        <f>15639200-5650000-4926000</f>
        <v>5063200</v>
      </c>
      <c r="R459" s="310">
        <f>15639200-5650000-4926000</f>
        <v>5063200</v>
      </c>
      <c r="S459" s="310">
        <v>0</v>
      </c>
      <c r="U459" s="251" t="s">
        <v>1152</v>
      </c>
    </row>
    <row r="460" spans="1:22" hidden="1">
      <c r="H460" s="324"/>
    </row>
    <row r="461" spans="1:22" hidden="1"/>
    <row r="462" spans="1:22" hidden="1"/>
    <row r="463" spans="1:22" hidden="1"/>
    <row r="464" spans="1:22" hidden="1"/>
    <row r="465" spans="5:21" hidden="1"/>
    <row r="466" spans="5:21" hidden="1"/>
    <row r="467" spans="5:21" hidden="1"/>
    <row r="468" spans="5:21">
      <c r="E468" s="321">
        <v>17103</v>
      </c>
      <c r="F468" s="321" t="s">
        <v>504</v>
      </c>
      <c r="H468" s="337">
        <f t="shared" ref="H468:R468" si="9">-(H445-H446)</f>
        <v>-12991444.240000002</v>
      </c>
      <c r="I468" s="337">
        <f t="shared" si="9"/>
        <v>-13373545.540000001</v>
      </c>
      <c r="J468" s="337">
        <f t="shared" si="9"/>
        <v>-13755646.840000002</v>
      </c>
      <c r="K468" s="337">
        <f t="shared" si="9"/>
        <v>-14137748.140000002</v>
      </c>
      <c r="L468" s="337">
        <f t="shared" si="9"/>
        <v>-14519849.440000001</v>
      </c>
      <c r="M468" s="337">
        <f t="shared" si="9"/>
        <v>-14901950.740000002</v>
      </c>
      <c r="N468" s="337">
        <f t="shared" si="9"/>
        <v>-15284052.040000003</v>
      </c>
      <c r="O468" s="337">
        <f t="shared" si="9"/>
        <v>-15666153.340000002</v>
      </c>
      <c r="P468" s="337">
        <f t="shared" si="9"/>
        <v>-16048254.640000001</v>
      </c>
      <c r="Q468" s="337">
        <f t="shared" si="9"/>
        <v>-16430355.940000001</v>
      </c>
      <c r="R468" s="337">
        <f t="shared" si="9"/>
        <v>-16812457.240000002</v>
      </c>
      <c r="S468" s="337">
        <f>-(S445-S446)</f>
        <v>-17194558.539999999</v>
      </c>
      <c r="U468" s="250" t="s">
        <v>945</v>
      </c>
    </row>
    <row r="469" spans="5:21">
      <c r="I469" s="320"/>
      <c r="K469" s="320"/>
    </row>
    <row r="473" spans="5:21">
      <c r="K473" s="320"/>
    </row>
  </sheetData>
  <autoFilter ref="A1:Y467" xr:uid="{C75D94D2-202B-4EDB-A811-D4FA15C15EA1}">
    <filterColumn colId="4">
      <filters>
        <filter val="12200"/>
      </filters>
    </filterColumn>
  </autoFilter>
  <phoneticPr fontId="6" type="noConversion"/>
  <conditionalFormatting sqref="C1:C1048576">
    <cfRule type="duplicateValues" dxfId="7" priority="1"/>
    <cfRule type="duplicateValues" dxfId="6" priority="2"/>
  </conditionalFormatting>
  <conditionalFormatting sqref="C85:C86">
    <cfRule type="duplicateValues" dxfId="5" priority="3"/>
    <cfRule type="duplicateValues" dxfId="4" priority="4"/>
  </conditionalFormatting>
  <conditionalFormatting sqref="C398:C440">
    <cfRule type="duplicateValues" dxfId="3" priority="5"/>
    <cfRule type="duplicateValues" dxfId="2" priority="6"/>
  </conditionalFormatting>
  <conditionalFormatting sqref="C441:C1048576 C1:C84 C114:C397 C87:C112">
    <cfRule type="duplicateValues" dxfId="1" priority="7"/>
    <cfRule type="duplicateValues" dxfId="0" priority="8"/>
  </conditionalFormatting>
  <pageMargins left="0.7" right="0.7" top="0.75" bottom="0.75" header="0.3" footer="0.3"/>
  <pageSetup paperSize="9" orientation="portrait" r:id="rId1"/>
  <headerFooter>
    <oddHeader>&amp;C&amp;"Arial"&amp;8&amp;KA6A6A6 Public&amp;1#_x000D_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6"/>
  <sheetViews>
    <sheetView workbookViewId="0">
      <selection activeCell="F29" sqref="F29"/>
    </sheetView>
  </sheetViews>
  <sheetFormatPr defaultRowHeight="13.9"/>
  <cols>
    <col min="1" max="1" width="12.625" customWidth="1"/>
    <col min="2" max="2" width="5.5" bestFit="1" customWidth="1"/>
    <col min="3" max="3" width="33.25" bestFit="1" customWidth="1"/>
    <col min="4" max="4" width="19.75" style="342" bestFit="1" customWidth="1"/>
    <col min="5" max="5" width="36.5" style="342" bestFit="1" customWidth="1"/>
    <col min="6" max="6" width="15.125" style="342" bestFit="1" customWidth="1"/>
    <col min="7" max="7" width="35.5" style="342" bestFit="1" customWidth="1"/>
    <col min="8" max="8" width="14.75" style="342" bestFit="1" customWidth="1"/>
    <col min="9" max="9" width="16.25" style="342" bestFit="1" customWidth="1"/>
  </cols>
  <sheetData>
    <row r="1" spans="1:9">
      <c r="A1" s="339" t="s">
        <v>1948</v>
      </c>
      <c r="B1" s="339" t="s">
        <v>1949</v>
      </c>
      <c r="C1" s="339" t="s">
        <v>1950</v>
      </c>
      <c r="D1" s="340" t="s">
        <v>1951</v>
      </c>
      <c r="E1" s="341" t="s">
        <v>1952</v>
      </c>
      <c r="G1" s="341" t="s">
        <v>1953</v>
      </c>
      <c r="I1" s="341" t="s">
        <v>1954</v>
      </c>
    </row>
    <row r="2" spans="1:9">
      <c r="A2" s="339" t="s">
        <v>1955</v>
      </c>
      <c r="B2" s="339" t="s">
        <v>1956</v>
      </c>
      <c r="C2" s="339" t="s">
        <v>1957</v>
      </c>
      <c r="D2" s="340" t="s">
        <v>1958</v>
      </c>
      <c r="E2" s="340" t="s">
        <v>1959</v>
      </c>
      <c r="F2" s="340" t="s">
        <v>1960</v>
      </c>
      <c r="G2" s="340" t="s">
        <v>1959</v>
      </c>
      <c r="H2" s="340" t="s">
        <v>1960</v>
      </c>
      <c r="I2" s="340"/>
    </row>
    <row r="3" spans="1:9">
      <c r="A3" s="339" t="s">
        <v>1961</v>
      </c>
      <c r="B3" s="339">
        <v>0</v>
      </c>
      <c r="C3" s="339" t="s">
        <v>1962</v>
      </c>
      <c r="D3" s="340">
        <v>0</v>
      </c>
      <c r="E3" s="340">
        <v>0</v>
      </c>
      <c r="F3" s="340">
        <v>0</v>
      </c>
      <c r="G3" s="340">
        <v>236868.8</v>
      </c>
      <c r="H3" s="340">
        <v>236868.8</v>
      </c>
      <c r="I3" s="340">
        <v>0</v>
      </c>
    </row>
    <row r="4" spans="1:9">
      <c r="A4" s="339" t="s">
        <v>943</v>
      </c>
      <c r="B4" s="339">
        <v>0</v>
      </c>
      <c r="C4" s="339" t="s">
        <v>1963</v>
      </c>
      <c r="D4" s="340">
        <v>25048208.710000001</v>
      </c>
      <c r="E4" s="340">
        <v>3835995.16</v>
      </c>
      <c r="F4" s="340">
        <v>0</v>
      </c>
      <c r="G4" s="340">
        <v>171878.26</v>
      </c>
      <c r="H4" s="340">
        <v>4697045.6900000004</v>
      </c>
      <c r="I4" s="340">
        <v>24359036.440000001</v>
      </c>
    </row>
    <row r="5" spans="1:9">
      <c r="A5" s="339" t="s">
        <v>946</v>
      </c>
      <c r="B5" s="339">
        <v>0</v>
      </c>
      <c r="C5" s="339" t="s">
        <v>1964</v>
      </c>
      <c r="D5" s="340">
        <v>4442139.24</v>
      </c>
      <c r="E5" s="340">
        <v>519372.56</v>
      </c>
      <c r="F5" s="340">
        <v>0</v>
      </c>
      <c r="G5" s="340">
        <v>17512.32</v>
      </c>
      <c r="H5" s="340">
        <v>0</v>
      </c>
      <c r="I5" s="340">
        <v>4979024.12</v>
      </c>
    </row>
    <row r="6" spans="1:9">
      <c r="A6" s="339" t="s">
        <v>948</v>
      </c>
      <c r="B6" s="339">
        <v>0</v>
      </c>
      <c r="C6" s="339" t="s">
        <v>949</v>
      </c>
      <c r="D6" s="340">
        <v>113626.27</v>
      </c>
      <c r="E6" s="340">
        <v>0</v>
      </c>
      <c r="F6" s="340">
        <v>0</v>
      </c>
      <c r="G6" s="340">
        <v>0</v>
      </c>
      <c r="H6" s="340">
        <v>0</v>
      </c>
      <c r="I6" s="340">
        <v>113626.27</v>
      </c>
    </row>
    <row r="7" spans="1:9">
      <c r="A7" s="339" t="s">
        <v>950</v>
      </c>
      <c r="B7" s="339">
        <v>0</v>
      </c>
      <c r="C7" s="339" t="s">
        <v>951</v>
      </c>
      <c r="D7" s="340">
        <v>28514.52</v>
      </c>
      <c r="E7" s="340">
        <v>3007.75</v>
      </c>
      <c r="F7" s="340">
        <v>0</v>
      </c>
      <c r="G7" s="340">
        <v>0</v>
      </c>
      <c r="H7" s="340">
        <v>0</v>
      </c>
      <c r="I7" s="340">
        <v>31522.27</v>
      </c>
    </row>
    <row r="8" spans="1:9">
      <c r="A8" s="339" t="s">
        <v>952</v>
      </c>
      <c r="B8" s="339">
        <v>0</v>
      </c>
      <c r="C8" s="339" t="s">
        <v>1965</v>
      </c>
      <c r="D8" s="340">
        <v>3714227.63</v>
      </c>
      <c r="E8" s="340">
        <v>1217689.6000000001</v>
      </c>
      <c r="F8" s="340">
        <v>959341.75</v>
      </c>
      <c r="G8" s="340">
        <v>0</v>
      </c>
      <c r="H8" s="340">
        <v>0</v>
      </c>
      <c r="I8" s="340">
        <v>3972575.48</v>
      </c>
    </row>
    <row r="9" spans="1:9">
      <c r="A9" s="339" t="s">
        <v>954</v>
      </c>
      <c r="B9" s="339">
        <v>0</v>
      </c>
      <c r="C9" s="339" t="s">
        <v>1966</v>
      </c>
      <c r="D9" s="340">
        <v>515811.71</v>
      </c>
      <c r="E9" s="340">
        <v>105079.84</v>
      </c>
      <c r="F9" s="340">
        <v>48552.01</v>
      </c>
      <c r="G9" s="340">
        <v>-9822.31</v>
      </c>
      <c r="H9" s="340">
        <v>0</v>
      </c>
      <c r="I9" s="340">
        <v>562517.23</v>
      </c>
    </row>
    <row r="10" spans="1:9">
      <c r="A10" s="339" t="s">
        <v>956</v>
      </c>
      <c r="B10" s="339">
        <v>0</v>
      </c>
      <c r="C10" s="339" t="s">
        <v>1967</v>
      </c>
      <c r="D10" s="340">
        <v>890722.95</v>
      </c>
      <c r="E10" s="340">
        <v>313428.96000000002</v>
      </c>
      <c r="F10" s="340">
        <v>115680.8</v>
      </c>
      <c r="G10" s="340">
        <v>13072</v>
      </c>
      <c r="H10" s="340">
        <v>13072</v>
      </c>
      <c r="I10" s="340">
        <v>1088471.1100000001</v>
      </c>
    </row>
    <row r="11" spans="1:9">
      <c r="A11" s="339" t="s">
        <v>958</v>
      </c>
      <c r="B11" s="339">
        <v>0</v>
      </c>
      <c r="C11" s="339" t="s">
        <v>1968</v>
      </c>
      <c r="D11" s="340">
        <v>55536.84</v>
      </c>
      <c r="E11" s="340">
        <v>87311.35</v>
      </c>
      <c r="F11" s="340">
        <v>63643.05</v>
      </c>
      <c r="G11" s="340">
        <v>0</v>
      </c>
      <c r="H11" s="340">
        <v>0</v>
      </c>
      <c r="I11" s="340">
        <v>79205.14</v>
      </c>
    </row>
    <row r="12" spans="1:9">
      <c r="A12" s="339" t="s">
        <v>961</v>
      </c>
      <c r="B12" s="339">
        <v>0</v>
      </c>
      <c r="C12" s="339" t="s">
        <v>1969</v>
      </c>
      <c r="D12" s="340">
        <v>-5043067.0199999996</v>
      </c>
      <c r="E12" s="340">
        <v>282023.59000000003</v>
      </c>
      <c r="F12" s="340">
        <v>4724188.6500000004</v>
      </c>
      <c r="G12" s="340">
        <v>236868.8</v>
      </c>
      <c r="H12" s="340">
        <v>536219.61</v>
      </c>
      <c r="I12" s="340">
        <v>-9784582.8900000006</v>
      </c>
    </row>
    <row r="13" spans="1:9">
      <c r="A13" s="339" t="s">
        <v>964</v>
      </c>
      <c r="B13" s="339">
        <v>0</v>
      </c>
      <c r="C13" s="339" t="s">
        <v>1970</v>
      </c>
      <c r="D13" s="340">
        <v>4567986.05</v>
      </c>
      <c r="E13" s="340">
        <v>0</v>
      </c>
      <c r="F13" s="340">
        <v>0</v>
      </c>
      <c r="G13" s="340">
        <v>0</v>
      </c>
      <c r="H13" s="340">
        <v>0</v>
      </c>
      <c r="I13" s="340">
        <v>4567986.05</v>
      </c>
    </row>
    <row r="14" spans="1:9">
      <c r="A14" s="339" t="s">
        <v>970</v>
      </c>
      <c r="B14" s="339">
        <v>0</v>
      </c>
      <c r="C14" s="339" t="s">
        <v>1971</v>
      </c>
      <c r="D14" s="340">
        <v>14054523.390000001</v>
      </c>
      <c r="E14" s="340">
        <v>38330</v>
      </c>
      <c r="F14" s="340">
        <v>0</v>
      </c>
      <c r="G14" s="340">
        <v>0</v>
      </c>
      <c r="H14" s="340">
        <v>0</v>
      </c>
      <c r="I14" s="340">
        <v>14092853.390000001</v>
      </c>
    </row>
    <row r="15" spans="1:9">
      <c r="A15" s="339" t="s">
        <v>972</v>
      </c>
      <c r="B15" s="339">
        <v>0</v>
      </c>
      <c r="C15" s="339" t="s">
        <v>1972</v>
      </c>
      <c r="D15" s="340">
        <v>0</v>
      </c>
      <c r="E15" s="340">
        <v>8257931.9299999997</v>
      </c>
      <c r="F15" s="340">
        <v>8257931.9299999997</v>
      </c>
      <c r="G15" s="340">
        <v>2139000.0299999998</v>
      </c>
      <c r="H15" s="340">
        <v>2139000.0299999998</v>
      </c>
      <c r="I15" s="340">
        <v>0</v>
      </c>
    </row>
    <row r="16" spans="1:9">
      <c r="A16" s="339" t="s">
        <v>975</v>
      </c>
      <c r="B16" s="339">
        <v>0</v>
      </c>
      <c r="C16" s="339" t="s">
        <v>1973</v>
      </c>
      <c r="D16" s="340">
        <v>10706488.029999999</v>
      </c>
      <c r="E16" s="340">
        <v>6965499.4199999999</v>
      </c>
      <c r="F16" s="340">
        <v>450353.02</v>
      </c>
      <c r="G16" s="340">
        <v>1680000.03</v>
      </c>
      <c r="H16" s="340">
        <v>1680000</v>
      </c>
      <c r="I16" s="340">
        <v>17221634.460000001</v>
      </c>
    </row>
    <row r="17" spans="1:9">
      <c r="A17" s="339" t="s">
        <v>1974</v>
      </c>
      <c r="B17" s="339">
        <v>0</v>
      </c>
      <c r="C17" s="339" t="s">
        <v>1975</v>
      </c>
      <c r="D17" s="340">
        <v>0</v>
      </c>
      <c r="E17" s="340">
        <v>110987.7</v>
      </c>
      <c r="F17" s="340">
        <v>0</v>
      </c>
      <c r="G17" s="340">
        <v>459000</v>
      </c>
      <c r="H17" s="340">
        <v>0</v>
      </c>
      <c r="I17" s="340">
        <v>569987.69999999995</v>
      </c>
    </row>
    <row r="18" spans="1:9">
      <c r="A18" s="339" t="s">
        <v>979</v>
      </c>
      <c r="B18" s="339">
        <v>0</v>
      </c>
      <c r="C18" s="339" t="s">
        <v>1976</v>
      </c>
      <c r="D18" s="340">
        <v>165440</v>
      </c>
      <c r="E18" s="340">
        <v>13000</v>
      </c>
      <c r="F18" s="340">
        <v>0</v>
      </c>
      <c r="G18" s="340">
        <v>0</v>
      </c>
      <c r="H18" s="340">
        <v>0</v>
      </c>
      <c r="I18" s="340">
        <v>178440</v>
      </c>
    </row>
    <row r="19" spans="1:9">
      <c r="A19" s="339" t="s">
        <v>981</v>
      </c>
      <c r="B19" s="339">
        <v>0</v>
      </c>
      <c r="C19" s="339" t="s">
        <v>1977</v>
      </c>
      <c r="D19" s="340">
        <v>612308.4</v>
      </c>
      <c r="E19" s="340">
        <v>866616</v>
      </c>
      <c r="F19" s="340">
        <v>0</v>
      </c>
      <c r="G19" s="340">
        <v>0</v>
      </c>
      <c r="H19" s="340">
        <v>0</v>
      </c>
      <c r="I19" s="340">
        <v>1478924.4</v>
      </c>
    </row>
    <row r="20" spans="1:9">
      <c r="A20" s="339" t="s">
        <v>984</v>
      </c>
      <c r="B20" s="339">
        <v>0</v>
      </c>
      <c r="C20" s="339" t="s">
        <v>1978</v>
      </c>
      <c r="D20" s="340">
        <v>1837031.41</v>
      </c>
      <c r="E20" s="340">
        <v>0</v>
      </c>
      <c r="F20" s="340">
        <v>0</v>
      </c>
      <c r="G20" s="340">
        <v>0</v>
      </c>
      <c r="H20" s="340">
        <v>0</v>
      </c>
      <c r="I20" s="340">
        <v>1837031.41</v>
      </c>
    </row>
    <row r="21" spans="1:9">
      <c r="A21" s="339" t="s">
        <v>986</v>
      </c>
      <c r="B21" s="339">
        <v>0</v>
      </c>
      <c r="C21" s="339" t="s">
        <v>1979</v>
      </c>
      <c r="D21" s="340">
        <v>20700</v>
      </c>
      <c r="E21" s="340">
        <v>0</v>
      </c>
      <c r="F21" s="340">
        <v>0</v>
      </c>
      <c r="G21" s="340">
        <v>0</v>
      </c>
      <c r="H21" s="340">
        <v>0</v>
      </c>
      <c r="I21" s="340">
        <v>20700</v>
      </c>
    </row>
    <row r="22" spans="1:9">
      <c r="A22" s="339" t="s">
        <v>988</v>
      </c>
      <c r="B22" s="339">
        <v>0</v>
      </c>
      <c r="C22" s="339" t="s">
        <v>1980</v>
      </c>
      <c r="D22" s="340">
        <v>1746501.37</v>
      </c>
      <c r="E22" s="340">
        <v>14370</v>
      </c>
      <c r="F22" s="340">
        <v>0</v>
      </c>
      <c r="G22" s="340">
        <v>0</v>
      </c>
      <c r="H22" s="340">
        <v>0</v>
      </c>
      <c r="I22" s="340">
        <v>1760871.37</v>
      </c>
    </row>
    <row r="23" spans="1:9">
      <c r="A23" s="339" t="s">
        <v>991</v>
      </c>
      <c r="B23" s="339">
        <v>0</v>
      </c>
      <c r="C23" s="339" t="s">
        <v>1981</v>
      </c>
      <c r="D23" s="340">
        <v>1897957.31</v>
      </c>
      <c r="E23" s="340">
        <v>0</v>
      </c>
      <c r="F23" s="340">
        <v>0</v>
      </c>
      <c r="G23" s="340">
        <v>0</v>
      </c>
      <c r="H23" s="340">
        <v>0</v>
      </c>
      <c r="I23" s="340">
        <v>1897957.31</v>
      </c>
    </row>
    <row r="24" spans="1:9">
      <c r="A24" s="339" t="s">
        <v>993</v>
      </c>
      <c r="B24" s="339">
        <v>0</v>
      </c>
      <c r="C24" s="339" t="s">
        <v>1982</v>
      </c>
      <c r="D24" s="340">
        <v>5155.2</v>
      </c>
      <c r="E24" s="340">
        <v>0</v>
      </c>
      <c r="F24" s="340">
        <v>0</v>
      </c>
      <c r="G24" s="340">
        <v>0</v>
      </c>
      <c r="H24" s="340">
        <v>0</v>
      </c>
      <c r="I24" s="340">
        <v>5155.2</v>
      </c>
    </row>
    <row r="25" spans="1:9">
      <c r="A25" s="339" t="s">
        <v>995</v>
      </c>
      <c r="B25" s="339">
        <v>0</v>
      </c>
      <c r="C25" s="339" t="s">
        <v>1983</v>
      </c>
      <c r="D25" s="340">
        <v>8754186</v>
      </c>
      <c r="E25" s="340">
        <v>1595945</v>
      </c>
      <c r="F25" s="340">
        <v>0</v>
      </c>
      <c r="G25" s="340">
        <v>2363200</v>
      </c>
      <c r="H25" s="340">
        <v>0</v>
      </c>
      <c r="I25" s="340">
        <v>12713331</v>
      </c>
    </row>
    <row r="26" spans="1:9">
      <c r="A26" s="339" t="s">
        <v>999</v>
      </c>
      <c r="B26" s="339">
        <v>0</v>
      </c>
      <c r="C26" s="339" t="s">
        <v>1984</v>
      </c>
      <c r="D26" s="340">
        <v>18917942.75</v>
      </c>
      <c r="E26" s="340">
        <v>12371350.640000001</v>
      </c>
      <c r="F26" s="340">
        <v>8552831.5199999996</v>
      </c>
      <c r="G26" s="340">
        <v>0</v>
      </c>
      <c r="H26" s="340">
        <v>0.05</v>
      </c>
      <c r="I26" s="340">
        <v>22736461.82</v>
      </c>
    </row>
    <row r="27" spans="1:9">
      <c r="A27" s="339" t="s">
        <v>1001</v>
      </c>
      <c r="B27" s="339">
        <v>0</v>
      </c>
      <c r="C27" s="339" t="s">
        <v>1985</v>
      </c>
      <c r="D27" s="340">
        <v>62085</v>
      </c>
      <c r="E27" s="340">
        <v>1719800</v>
      </c>
      <c r="F27" s="340">
        <v>0</v>
      </c>
      <c r="G27" s="340">
        <v>0</v>
      </c>
      <c r="H27" s="340">
        <v>1675000</v>
      </c>
      <c r="I27" s="340">
        <v>106885</v>
      </c>
    </row>
    <row r="28" spans="1:9">
      <c r="A28" s="339" t="s">
        <v>1003</v>
      </c>
      <c r="B28" s="339">
        <v>0</v>
      </c>
      <c r="C28" s="339" t="s">
        <v>1986</v>
      </c>
      <c r="D28" s="340">
        <v>653125.80000000005</v>
      </c>
      <c r="E28" s="340">
        <v>1206380</v>
      </c>
      <c r="F28" s="340">
        <v>687270</v>
      </c>
      <c r="G28" s="340">
        <v>0</v>
      </c>
      <c r="H28" s="340">
        <v>0</v>
      </c>
      <c r="I28" s="340">
        <v>1172235.8</v>
      </c>
    </row>
    <row r="29" spans="1:9">
      <c r="A29" s="339" t="s">
        <v>1005</v>
      </c>
      <c r="B29" s="339">
        <v>0</v>
      </c>
      <c r="C29" s="339" t="s">
        <v>1987</v>
      </c>
      <c r="D29" s="340">
        <v>17400</v>
      </c>
      <c r="E29" s="340">
        <v>13000</v>
      </c>
      <c r="F29" s="340">
        <v>0</v>
      </c>
      <c r="G29" s="340">
        <v>0</v>
      </c>
      <c r="H29" s="340">
        <v>0</v>
      </c>
      <c r="I29" s="340">
        <v>30400</v>
      </c>
    </row>
    <row r="30" spans="1:9">
      <c r="A30" s="339" t="s">
        <v>1007</v>
      </c>
      <c r="B30" s="339">
        <v>0</v>
      </c>
      <c r="C30" s="339" t="s">
        <v>1988</v>
      </c>
      <c r="D30" s="340">
        <v>107053.57</v>
      </c>
      <c r="E30" s="340">
        <v>369737.7</v>
      </c>
      <c r="F30" s="340">
        <v>116500</v>
      </c>
      <c r="G30" s="340">
        <v>333000</v>
      </c>
      <c r="H30" s="340">
        <v>0</v>
      </c>
      <c r="I30" s="340">
        <v>693291.27</v>
      </c>
    </row>
    <row r="31" spans="1:9">
      <c r="A31" s="339" t="s">
        <v>1009</v>
      </c>
      <c r="B31" s="339">
        <v>0</v>
      </c>
      <c r="C31" s="339" t="s">
        <v>1989</v>
      </c>
      <c r="D31" s="340">
        <v>-35628738.890000001</v>
      </c>
      <c r="E31" s="340">
        <v>0</v>
      </c>
      <c r="F31" s="340">
        <v>7630335.0999999996</v>
      </c>
      <c r="G31" s="340">
        <v>0</v>
      </c>
      <c r="H31" s="340">
        <v>459000</v>
      </c>
      <c r="I31" s="340">
        <v>-43718073.990000002</v>
      </c>
    </row>
    <row r="32" spans="1:9">
      <c r="A32" s="339" t="s">
        <v>1011</v>
      </c>
      <c r="B32" s="339">
        <v>0</v>
      </c>
      <c r="C32" s="339" t="s">
        <v>1990</v>
      </c>
      <c r="D32" s="340">
        <v>20340928.300000001</v>
      </c>
      <c r="E32" s="340">
        <v>0</v>
      </c>
      <c r="F32" s="340">
        <v>0</v>
      </c>
      <c r="G32" s="340">
        <v>0</v>
      </c>
      <c r="H32" s="340">
        <v>0</v>
      </c>
      <c r="I32" s="340">
        <v>20340928.300000001</v>
      </c>
    </row>
    <row r="33" spans="1:9">
      <c r="A33" s="339" t="s">
        <v>1014</v>
      </c>
      <c r="B33" s="339">
        <v>0</v>
      </c>
      <c r="C33" s="339" t="s">
        <v>1991</v>
      </c>
      <c r="D33" s="340">
        <v>306358.90999999997</v>
      </c>
      <c r="E33" s="340">
        <v>0</v>
      </c>
      <c r="F33" s="340">
        <v>0</v>
      </c>
      <c r="G33" s="340">
        <v>0</v>
      </c>
      <c r="H33" s="340">
        <v>0</v>
      </c>
      <c r="I33" s="340">
        <v>306358.90999999997</v>
      </c>
    </row>
    <row r="34" spans="1:9">
      <c r="A34" s="339" t="s">
        <v>1017</v>
      </c>
      <c r="B34" s="339">
        <v>0</v>
      </c>
      <c r="C34" s="339" t="s">
        <v>1992</v>
      </c>
      <c r="D34" s="340">
        <v>-1413673.89</v>
      </c>
      <c r="E34" s="340">
        <v>0</v>
      </c>
      <c r="F34" s="340">
        <v>562558.25</v>
      </c>
      <c r="G34" s="340">
        <v>0</v>
      </c>
      <c r="H34" s="340">
        <v>51141.68</v>
      </c>
      <c r="I34" s="340">
        <v>-2027373.82</v>
      </c>
    </row>
    <row r="35" spans="1:9">
      <c r="A35" s="339" t="s">
        <v>1023</v>
      </c>
      <c r="B35" s="339">
        <v>0</v>
      </c>
      <c r="C35" s="339" t="s">
        <v>1993</v>
      </c>
      <c r="D35" s="340">
        <v>-4527639.67</v>
      </c>
      <c r="E35" s="340">
        <v>0</v>
      </c>
      <c r="F35" s="340">
        <v>1721630.99</v>
      </c>
      <c r="G35" s="340">
        <v>0</v>
      </c>
      <c r="H35" s="340">
        <v>156759.56</v>
      </c>
      <c r="I35" s="340">
        <v>-6406030.2199999997</v>
      </c>
    </row>
    <row r="36" spans="1:9">
      <c r="A36" s="339" t="s">
        <v>1026</v>
      </c>
      <c r="B36" s="339">
        <v>0</v>
      </c>
      <c r="C36" s="339" t="s">
        <v>1994</v>
      </c>
      <c r="D36" s="340">
        <v>-2660795.4</v>
      </c>
      <c r="E36" s="340">
        <v>0</v>
      </c>
      <c r="F36" s="340">
        <v>2234497.86</v>
      </c>
      <c r="G36" s="340">
        <v>60254.06</v>
      </c>
      <c r="H36" s="340">
        <v>273953.21999999997</v>
      </c>
      <c r="I36" s="340">
        <v>-5108992.42</v>
      </c>
    </row>
    <row r="37" spans="1:9">
      <c r="A37" s="339" t="s">
        <v>1028</v>
      </c>
      <c r="B37" s="339">
        <v>0</v>
      </c>
      <c r="C37" s="339" t="s">
        <v>1995</v>
      </c>
      <c r="D37" s="340">
        <v>-7519.98</v>
      </c>
      <c r="E37" s="340">
        <v>0</v>
      </c>
      <c r="F37" s="340">
        <v>29133.25</v>
      </c>
      <c r="G37" s="340">
        <v>0</v>
      </c>
      <c r="H37" s="340">
        <v>2680</v>
      </c>
      <c r="I37" s="340">
        <v>-39333.230000000003</v>
      </c>
    </row>
    <row r="38" spans="1:9">
      <c r="A38" s="339" t="s">
        <v>1030</v>
      </c>
      <c r="B38" s="339">
        <v>0</v>
      </c>
      <c r="C38" s="339" t="s">
        <v>1996</v>
      </c>
      <c r="D38" s="340">
        <v>-126919.1</v>
      </c>
      <c r="E38" s="340">
        <v>0</v>
      </c>
      <c r="F38" s="340">
        <v>175346.8</v>
      </c>
      <c r="G38" s="340">
        <v>0</v>
      </c>
      <c r="H38" s="340">
        <v>17436.669999999998</v>
      </c>
      <c r="I38" s="340">
        <v>-319702.57</v>
      </c>
    </row>
    <row r="39" spans="1:9">
      <c r="A39" s="339" t="s">
        <v>1033</v>
      </c>
      <c r="B39" s="339">
        <v>0</v>
      </c>
      <c r="C39" s="339" t="s">
        <v>1997</v>
      </c>
      <c r="D39" s="340">
        <v>-894466.03</v>
      </c>
      <c r="E39" s="340">
        <v>0</v>
      </c>
      <c r="F39" s="340">
        <v>345531.23</v>
      </c>
      <c r="G39" s="340">
        <v>0</v>
      </c>
      <c r="H39" s="340">
        <v>31412.25</v>
      </c>
      <c r="I39" s="340">
        <v>-1271409.51</v>
      </c>
    </row>
    <row r="40" spans="1:9">
      <c r="A40" s="339" t="s">
        <v>1035</v>
      </c>
      <c r="B40" s="339">
        <v>0</v>
      </c>
      <c r="C40" s="339" t="s">
        <v>1998</v>
      </c>
      <c r="D40" s="340">
        <v>-11385</v>
      </c>
      <c r="E40" s="340">
        <v>0</v>
      </c>
      <c r="F40" s="340">
        <v>3795</v>
      </c>
      <c r="G40" s="340">
        <v>0</v>
      </c>
      <c r="H40" s="340">
        <v>345</v>
      </c>
      <c r="I40" s="340">
        <v>-15525</v>
      </c>
    </row>
    <row r="41" spans="1:9">
      <c r="A41" s="339" t="s">
        <v>1037</v>
      </c>
      <c r="B41" s="339">
        <v>0</v>
      </c>
      <c r="C41" s="339" t="s">
        <v>1999</v>
      </c>
      <c r="D41" s="340">
        <v>-772585.97</v>
      </c>
      <c r="E41" s="340">
        <v>0</v>
      </c>
      <c r="F41" s="340">
        <v>328611.32</v>
      </c>
      <c r="G41" s="340">
        <v>0</v>
      </c>
      <c r="H41" s="340">
        <v>29842.37</v>
      </c>
      <c r="I41" s="340">
        <v>-1131039.6599999999</v>
      </c>
    </row>
    <row r="42" spans="1:9">
      <c r="A42" s="339" t="s">
        <v>1040</v>
      </c>
      <c r="B42" s="339">
        <v>0</v>
      </c>
      <c r="C42" s="339" t="s">
        <v>2000</v>
      </c>
      <c r="D42" s="340">
        <v>-890570.02</v>
      </c>
      <c r="E42" s="340">
        <v>0</v>
      </c>
      <c r="F42" s="340">
        <v>374255.87</v>
      </c>
      <c r="G42" s="340">
        <v>0</v>
      </c>
      <c r="H42" s="340">
        <v>34023.279999999999</v>
      </c>
      <c r="I42" s="340">
        <v>-1298849.17</v>
      </c>
    </row>
    <row r="43" spans="1:9">
      <c r="A43" s="339" t="s">
        <v>1042</v>
      </c>
      <c r="B43" s="339">
        <v>0</v>
      </c>
      <c r="C43" s="339" t="s">
        <v>2001</v>
      </c>
      <c r="D43" s="340">
        <v>-3081.7</v>
      </c>
      <c r="E43" s="340">
        <v>0</v>
      </c>
      <c r="F43" s="340">
        <v>1036.75</v>
      </c>
      <c r="G43" s="340">
        <v>0</v>
      </c>
      <c r="H43" s="340">
        <v>94.25</v>
      </c>
      <c r="I43" s="340">
        <v>-4212.7</v>
      </c>
    </row>
    <row r="44" spans="1:9">
      <c r="A44" s="339" t="s">
        <v>1045</v>
      </c>
      <c r="B44" s="339">
        <v>0</v>
      </c>
      <c r="C44" s="339" t="s">
        <v>2002</v>
      </c>
      <c r="D44" s="340">
        <v>-493949.15</v>
      </c>
      <c r="E44" s="340">
        <v>0</v>
      </c>
      <c r="F44" s="340">
        <v>381439.51</v>
      </c>
      <c r="G44" s="340">
        <v>0</v>
      </c>
      <c r="H44" s="340">
        <v>96428.47</v>
      </c>
      <c r="I44" s="340">
        <v>-971817.13</v>
      </c>
    </row>
    <row r="45" spans="1:9">
      <c r="A45" s="339" t="s">
        <v>1048</v>
      </c>
      <c r="B45" s="339">
        <v>0</v>
      </c>
      <c r="C45" s="339" t="s">
        <v>2003</v>
      </c>
      <c r="D45" s="340">
        <v>-158285.38</v>
      </c>
      <c r="E45" s="340">
        <v>0</v>
      </c>
      <c r="F45" s="340">
        <v>56165.8</v>
      </c>
      <c r="G45" s="340">
        <v>0</v>
      </c>
      <c r="H45" s="340">
        <v>5105.99</v>
      </c>
      <c r="I45" s="340">
        <v>-219557.17</v>
      </c>
    </row>
    <row r="46" spans="1:9">
      <c r="A46" s="339" t="s">
        <v>1055</v>
      </c>
      <c r="B46" s="339">
        <v>0</v>
      </c>
      <c r="C46" s="339" t="s">
        <v>2004</v>
      </c>
      <c r="D46" s="340">
        <v>0</v>
      </c>
      <c r="E46" s="340">
        <v>63000</v>
      </c>
      <c r="F46" s="340">
        <v>63000</v>
      </c>
      <c r="G46" s="340">
        <v>1675000</v>
      </c>
      <c r="H46" s="340">
        <v>0</v>
      </c>
      <c r="I46" s="340">
        <v>1675000</v>
      </c>
    </row>
    <row r="47" spans="1:9">
      <c r="A47" s="339" t="s">
        <v>1059</v>
      </c>
      <c r="B47" s="339">
        <v>0</v>
      </c>
      <c r="C47" s="339" t="s">
        <v>1060</v>
      </c>
      <c r="D47" s="340">
        <v>-8231653.4800000004</v>
      </c>
      <c r="E47" s="340">
        <v>366396.64</v>
      </c>
      <c r="F47" s="340">
        <v>1524060</v>
      </c>
      <c r="G47" s="340">
        <v>105720.13</v>
      </c>
      <c r="H47" s="340">
        <v>2363200</v>
      </c>
      <c r="I47" s="340">
        <v>-11646796.710000001</v>
      </c>
    </row>
    <row r="48" spans="1:9">
      <c r="A48" s="339" t="s">
        <v>1069</v>
      </c>
      <c r="B48" s="339">
        <v>0</v>
      </c>
      <c r="C48" s="339" t="s">
        <v>2005</v>
      </c>
      <c r="D48" s="340">
        <v>13483869.689999999</v>
      </c>
      <c r="E48" s="340">
        <v>5766663.4699999997</v>
      </c>
      <c r="F48" s="340">
        <v>0</v>
      </c>
      <c r="G48" s="340">
        <v>-245782.17</v>
      </c>
      <c r="H48" s="340">
        <v>0</v>
      </c>
      <c r="I48" s="340">
        <v>19004750.989999998</v>
      </c>
    </row>
    <row r="49" spans="1:9">
      <c r="A49" s="339" t="s">
        <v>1073</v>
      </c>
      <c r="B49" s="339">
        <v>0</v>
      </c>
      <c r="C49" s="339" t="s">
        <v>1074</v>
      </c>
      <c r="D49" s="340">
        <v>11320000.039999999</v>
      </c>
      <c r="E49" s="340">
        <v>0</v>
      </c>
      <c r="F49" s="340">
        <v>2291666.65</v>
      </c>
      <c r="G49" s="340">
        <v>0</v>
      </c>
      <c r="H49" s="340">
        <v>208333.33</v>
      </c>
      <c r="I49" s="340">
        <v>8820000.0600000005</v>
      </c>
    </row>
    <row r="50" spans="1:9">
      <c r="A50" s="339" t="s">
        <v>1076</v>
      </c>
      <c r="B50" s="339">
        <v>0</v>
      </c>
      <c r="C50" s="339" t="s">
        <v>2006</v>
      </c>
      <c r="D50" s="340">
        <v>2098954.8199999998</v>
      </c>
      <c r="E50" s="340">
        <v>28696345.350000001</v>
      </c>
      <c r="F50" s="340">
        <v>29735038.109999999</v>
      </c>
      <c r="G50" s="340">
        <v>2144529.7599999998</v>
      </c>
      <c r="H50" s="340">
        <v>2157725.11</v>
      </c>
      <c r="I50" s="340">
        <v>1047066.71</v>
      </c>
    </row>
    <row r="51" spans="1:9">
      <c r="A51" s="339" t="s">
        <v>1078</v>
      </c>
      <c r="B51" s="339">
        <v>0</v>
      </c>
      <c r="C51" s="339" t="s">
        <v>2007</v>
      </c>
      <c r="D51" s="340">
        <v>0</v>
      </c>
      <c r="E51" s="340">
        <v>4977.3</v>
      </c>
      <c r="F51" s="340">
        <v>4977.3</v>
      </c>
      <c r="G51" s="340">
        <v>0</v>
      </c>
      <c r="H51" s="340">
        <v>0</v>
      </c>
      <c r="I51" s="340">
        <v>0</v>
      </c>
    </row>
    <row r="52" spans="1:9">
      <c r="A52" s="339" t="s">
        <v>1082</v>
      </c>
      <c r="B52" s="339">
        <v>0</v>
      </c>
      <c r="C52" s="339" t="s">
        <v>2008</v>
      </c>
      <c r="D52" s="340">
        <v>258413.78</v>
      </c>
      <c r="E52" s="340">
        <v>3671062.72</v>
      </c>
      <c r="F52" s="340">
        <v>3856657.65</v>
      </c>
      <c r="G52" s="340">
        <v>110148.09</v>
      </c>
      <c r="H52" s="340">
        <v>138564.15</v>
      </c>
      <c r="I52" s="340">
        <v>44402.79</v>
      </c>
    </row>
    <row r="53" spans="1:9">
      <c r="A53" s="339" t="s">
        <v>1086</v>
      </c>
      <c r="B53" s="339">
        <v>0</v>
      </c>
      <c r="C53" s="339" t="s">
        <v>2009</v>
      </c>
      <c r="D53" s="340">
        <v>635273.72</v>
      </c>
      <c r="E53" s="340">
        <v>67427592.120000005</v>
      </c>
      <c r="F53" s="340">
        <v>67268516.189999998</v>
      </c>
      <c r="G53" s="340">
        <v>9039220.3300000001</v>
      </c>
      <c r="H53" s="340">
        <v>9094464.2899999991</v>
      </c>
      <c r="I53" s="340">
        <v>739105.69</v>
      </c>
    </row>
    <row r="54" spans="1:9">
      <c r="A54" s="339" t="s">
        <v>1097</v>
      </c>
      <c r="B54" s="339">
        <v>0</v>
      </c>
      <c r="C54" s="339" t="s">
        <v>2010</v>
      </c>
      <c r="D54" s="340">
        <v>187304.53</v>
      </c>
      <c r="E54" s="340">
        <v>31192855.010000002</v>
      </c>
      <c r="F54" s="340">
        <v>31235474.600000001</v>
      </c>
      <c r="G54" s="340">
        <v>3128567.09</v>
      </c>
      <c r="H54" s="340">
        <v>3222180.74</v>
      </c>
      <c r="I54" s="340">
        <v>51071.29</v>
      </c>
    </row>
    <row r="55" spans="1:9">
      <c r="A55" s="339" t="s">
        <v>1102</v>
      </c>
      <c r="B55" s="339">
        <v>0</v>
      </c>
      <c r="C55" s="339" t="s">
        <v>2011</v>
      </c>
      <c r="D55" s="340">
        <v>546539.61</v>
      </c>
      <c r="E55" s="340">
        <v>40210807</v>
      </c>
      <c r="F55" s="340">
        <v>40502287.439999998</v>
      </c>
      <c r="G55" s="340">
        <v>6317538.2300000004</v>
      </c>
      <c r="H55" s="340">
        <v>5641641.5800000001</v>
      </c>
      <c r="I55" s="340">
        <v>930955.82</v>
      </c>
    </row>
    <row r="56" spans="1:9">
      <c r="A56" s="339" t="s">
        <v>1104</v>
      </c>
      <c r="B56" s="339">
        <v>0</v>
      </c>
      <c r="C56" s="339" t="s">
        <v>2012</v>
      </c>
      <c r="D56" s="340">
        <v>212263.49</v>
      </c>
      <c r="E56" s="340">
        <v>39587224.240000002</v>
      </c>
      <c r="F56" s="340">
        <v>39766942.530000001</v>
      </c>
      <c r="G56" s="340">
        <v>5658345.6200000001</v>
      </c>
      <c r="H56" s="340">
        <v>5659576.8899999997</v>
      </c>
      <c r="I56" s="340">
        <v>31313.93</v>
      </c>
    </row>
    <row r="57" spans="1:9">
      <c r="A57" s="339" t="s">
        <v>1132</v>
      </c>
      <c r="B57" s="339">
        <v>0</v>
      </c>
      <c r="C57" s="339" t="s">
        <v>2013</v>
      </c>
      <c r="D57" s="340">
        <v>135797.1</v>
      </c>
      <c r="E57" s="340">
        <v>156921.65</v>
      </c>
      <c r="F57" s="340">
        <v>199770.83</v>
      </c>
      <c r="G57" s="340">
        <v>5464.99</v>
      </c>
      <c r="H57" s="340">
        <v>98412.91</v>
      </c>
      <c r="I57" s="340">
        <v>0</v>
      </c>
    </row>
    <row r="58" spans="1:9">
      <c r="A58" s="339" t="s">
        <v>1134</v>
      </c>
      <c r="B58" s="339">
        <v>0</v>
      </c>
      <c r="C58" s="339" t="s">
        <v>2014</v>
      </c>
      <c r="D58" s="340">
        <v>90090.4</v>
      </c>
      <c r="E58" s="340">
        <v>12496.96</v>
      </c>
      <c r="F58" s="340">
        <v>102587.36</v>
      </c>
      <c r="G58" s="340">
        <v>0</v>
      </c>
      <c r="H58" s="340">
        <v>0</v>
      </c>
      <c r="I58" s="340">
        <v>0</v>
      </c>
    </row>
    <row r="59" spans="1:9">
      <c r="A59" s="339" t="s">
        <v>1135</v>
      </c>
      <c r="B59" s="339">
        <v>0</v>
      </c>
      <c r="C59" s="339" t="s">
        <v>2015</v>
      </c>
      <c r="D59" s="340">
        <v>0</v>
      </c>
      <c r="E59" s="340">
        <v>1025786.69</v>
      </c>
      <c r="F59" s="340">
        <v>1025786.69</v>
      </c>
      <c r="G59" s="340">
        <v>0</v>
      </c>
      <c r="H59" s="340">
        <v>0</v>
      </c>
      <c r="I59" s="340">
        <v>0</v>
      </c>
    </row>
    <row r="60" spans="1:9">
      <c r="A60" s="339" t="s">
        <v>1136</v>
      </c>
      <c r="B60" s="339">
        <v>0</v>
      </c>
      <c r="C60" s="339" t="s">
        <v>2016</v>
      </c>
      <c r="D60" s="340">
        <v>0</v>
      </c>
      <c r="E60" s="340">
        <v>9734916.4900000002</v>
      </c>
      <c r="F60" s="340">
        <v>9575718.6600000001</v>
      </c>
      <c r="G60" s="340">
        <v>831386.11</v>
      </c>
      <c r="H60" s="340">
        <v>990583.94</v>
      </c>
      <c r="I60" s="340">
        <v>0</v>
      </c>
    </row>
    <row r="61" spans="1:9">
      <c r="A61" s="339" t="s">
        <v>1139</v>
      </c>
      <c r="B61" s="339">
        <v>0</v>
      </c>
      <c r="C61" s="339" t="s">
        <v>2017</v>
      </c>
      <c r="D61" s="340">
        <v>0</v>
      </c>
      <c r="E61" s="340">
        <v>44270005.939999998</v>
      </c>
      <c r="F61" s="340">
        <v>44270005.939999998</v>
      </c>
      <c r="G61" s="340">
        <v>6261444.6699999999</v>
      </c>
      <c r="H61" s="340">
        <v>6261444.6699999999</v>
      </c>
      <c r="I61" s="340">
        <v>0</v>
      </c>
    </row>
    <row r="62" spans="1:9">
      <c r="A62" s="339" t="s">
        <v>1142</v>
      </c>
      <c r="B62" s="339">
        <v>0</v>
      </c>
      <c r="C62" s="339" t="s">
        <v>2018</v>
      </c>
      <c r="D62" s="340">
        <v>-275958.34999999998</v>
      </c>
      <c r="E62" s="340">
        <v>0</v>
      </c>
      <c r="F62" s="340">
        <v>0</v>
      </c>
      <c r="G62" s="340">
        <v>0</v>
      </c>
      <c r="H62" s="340">
        <v>133777.54</v>
      </c>
      <c r="I62" s="340">
        <v>-409735.89</v>
      </c>
    </row>
    <row r="63" spans="1:9">
      <c r="A63" s="339" t="s">
        <v>1144</v>
      </c>
      <c r="B63" s="339">
        <v>0</v>
      </c>
      <c r="C63" s="339" t="s">
        <v>2019</v>
      </c>
      <c r="D63" s="340">
        <v>473451.42</v>
      </c>
      <c r="E63" s="340">
        <v>-175945.61</v>
      </c>
      <c r="F63" s="340">
        <v>0</v>
      </c>
      <c r="G63" s="340">
        <v>280744.06</v>
      </c>
      <c r="H63" s="340">
        <v>0</v>
      </c>
      <c r="I63" s="340">
        <v>578249.87</v>
      </c>
    </row>
    <row r="64" spans="1:9">
      <c r="A64" s="339" t="s">
        <v>1156</v>
      </c>
      <c r="B64" s="339">
        <v>0</v>
      </c>
      <c r="C64" s="339" t="s">
        <v>2020</v>
      </c>
      <c r="D64" s="340">
        <v>6576625.79</v>
      </c>
      <c r="E64" s="340">
        <v>34530482.829999998</v>
      </c>
      <c r="F64" s="340">
        <v>33234774.57</v>
      </c>
      <c r="G64" s="340">
        <v>14267077.24</v>
      </c>
      <c r="H64" s="340">
        <v>12588567.09</v>
      </c>
      <c r="I64" s="340">
        <v>9550844.1999999993</v>
      </c>
    </row>
    <row r="65" spans="1:9">
      <c r="A65" s="339" t="s">
        <v>1150</v>
      </c>
      <c r="B65" s="339">
        <v>0</v>
      </c>
      <c r="C65" s="339" t="s">
        <v>2021</v>
      </c>
      <c r="D65" s="340">
        <v>37643645.030000001</v>
      </c>
      <c r="E65" s="340">
        <v>71903952.400000006</v>
      </c>
      <c r="F65" s="340">
        <v>100981694.13</v>
      </c>
      <c r="G65" s="340">
        <v>6601817.0099999998</v>
      </c>
      <c r="H65" s="340">
        <v>11599100.08</v>
      </c>
      <c r="I65" s="340">
        <v>3568620.23</v>
      </c>
    </row>
    <row r="66" spans="1:9">
      <c r="A66" s="339" t="s">
        <v>1160</v>
      </c>
      <c r="B66" s="339">
        <v>0</v>
      </c>
      <c r="C66" s="339" t="s">
        <v>2022</v>
      </c>
      <c r="D66" s="340">
        <v>0</v>
      </c>
      <c r="E66" s="340">
        <v>136383638.44999999</v>
      </c>
      <c r="F66" s="340">
        <v>136383638.44999999</v>
      </c>
      <c r="G66" s="340">
        <v>26237943.149999999</v>
      </c>
      <c r="H66" s="340">
        <v>26237943.149999999</v>
      </c>
      <c r="I66" s="340">
        <v>0</v>
      </c>
    </row>
    <row r="67" spans="1:9">
      <c r="A67" s="339" t="s">
        <v>1154</v>
      </c>
      <c r="B67" s="339">
        <v>0</v>
      </c>
      <c r="C67" s="339" t="s">
        <v>1326</v>
      </c>
      <c r="D67" s="340">
        <v>4970.95</v>
      </c>
      <c r="E67" s="340">
        <v>370976.73</v>
      </c>
      <c r="F67" s="340">
        <v>372784.71</v>
      </c>
      <c r="G67" s="340">
        <v>0</v>
      </c>
      <c r="H67" s="340">
        <v>3162.97</v>
      </c>
      <c r="I67" s="340">
        <v>0</v>
      </c>
    </row>
    <row r="68" spans="1:9">
      <c r="A68" s="339" t="s">
        <v>1183</v>
      </c>
      <c r="B68" s="339">
        <v>0</v>
      </c>
      <c r="C68" s="339" t="s">
        <v>1184</v>
      </c>
      <c r="D68" s="340">
        <v>-3145.1</v>
      </c>
      <c r="E68" s="340">
        <v>29739736.710000001</v>
      </c>
      <c r="F68" s="340">
        <v>29072750.449999999</v>
      </c>
      <c r="G68" s="340">
        <v>1557209.75</v>
      </c>
      <c r="H68" s="340">
        <v>2167940.8199999998</v>
      </c>
      <c r="I68" s="340">
        <v>53110.09</v>
      </c>
    </row>
    <row r="69" spans="1:9">
      <c r="A69" s="339" t="s">
        <v>1175</v>
      </c>
      <c r="B69" s="339">
        <v>0</v>
      </c>
      <c r="C69" s="339" t="s">
        <v>2023</v>
      </c>
      <c r="D69" s="340">
        <v>2142448.4300000002</v>
      </c>
      <c r="E69" s="340">
        <v>22939255.850000001</v>
      </c>
      <c r="F69" s="340">
        <v>22925937.989999998</v>
      </c>
      <c r="G69" s="340">
        <v>2465258.04</v>
      </c>
      <c r="H69" s="340">
        <v>2676376.29</v>
      </c>
      <c r="I69" s="340">
        <v>1944648.04</v>
      </c>
    </row>
    <row r="70" spans="1:9">
      <c r="A70" s="339" t="s">
        <v>1179</v>
      </c>
      <c r="B70" s="339">
        <v>0</v>
      </c>
      <c r="C70" s="339" t="s">
        <v>2024</v>
      </c>
      <c r="D70" s="340">
        <v>1216632.3400000001</v>
      </c>
      <c r="E70" s="340">
        <v>466662</v>
      </c>
      <c r="F70" s="340">
        <v>1607431.08</v>
      </c>
      <c r="G70" s="340">
        <v>145664.37</v>
      </c>
      <c r="H70" s="340">
        <v>77692.649999999994</v>
      </c>
      <c r="I70" s="340">
        <v>143834.98000000001</v>
      </c>
    </row>
    <row r="71" spans="1:9">
      <c r="A71" s="339" t="s">
        <v>1188</v>
      </c>
      <c r="B71" s="339">
        <v>0</v>
      </c>
      <c r="C71" s="339" t="s">
        <v>2025</v>
      </c>
      <c r="D71" s="340">
        <v>26540000</v>
      </c>
      <c r="E71" s="340">
        <v>11636659.550000001</v>
      </c>
      <c r="F71" s="340">
        <v>11636659.550000001</v>
      </c>
      <c r="G71" s="340">
        <v>5228874.5599999996</v>
      </c>
      <c r="H71" s="340">
        <v>5228874.5599999996</v>
      </c>
      <c r="I71" s="340">
        <v>26540000</v>
      </c>
    </row>
    <row r="72" spans="1:9">
      <c r="A72" s="339" t="s">
        <v>1192</v>
      </c>
      <c r="B72" s="339">
        <v>0</v>
      </c>
      <c r="C72" s="339" t="s">
        <v>2026</v>
      </c>
      <c r="D72" s="340">
        <v>0</v>
      </c>
      <c r="E72" s="340">
        <v>453349.99</v>
      </c>
      <c r="F72" s="340">
        <v>453349.99</v>
      </c>
      <c r="G72" s="340">
        <v>25459.05</v>
      </c>
      <c r="H72" s="340">
        <v>25459.05</v>
      </c>
      <c r="I72" s="340">
        <v>0</v>
      </c>
    </row>
    <row r="73" spans="1:9">
      <c r="A73" s="339" t="s">
        <v>1195</v>
      </c>
      <c r="B73" s="339">
        <v>0</v>
      </c>
      <c r="C73" s="339" t="s">
        <v>1196</v>
      </c>
      <c r="D73" s="340">
        <v>10316735.32</v>
      </c>
      <c r="E73" s="340">
        <v>447989.85</v>
      </c>
      <c r="F73" s="340">
        <v>3485576.84</v>
      </c>
      <c r="G73" s="340">
        <v>1786586.53</v>
      </c>
      <c r="H73" s="340">
        <v>1146274.25</v>
      </c>
      <c r="I73" s="340">
        <v>7919460.6100000003</v>
      </c>
    </row>
    <row r="74" spans="1:9">
      <c r="A74" s="339" t="s">
        <v>1214</v>
      </c>
      <c r="B74" s="339">
        <v>0</v>
      </c>
      <c r="C74" s="339" t="s">
        <v>2027</v>
      </c>
      <c r="D74" s="340">
        <v>693102.24</v>
      </c>
      <c r="E74" s="340">
        <v>17893900.149999999</v>
      </c>
      <c r="F74" s="340">
        <v>18084090.460000001</v>
      </c>
      <c r="G74" s="340">
        <v>4614483.2699999996</v>
      </c>
      <c r="H74" s="340">
        <v>4988179.63</v>
      </c>
      <c r="I74" s="340">
        <v>129215.57</v>
      </c>
    </row>
    <row r="75" spans="1:9">
      <c r="A75" s="339" t="s">
        <v>1216</v>
      </c>
      <c r="B75" s="339">
        <v>0</v>
      </c>
      <c r="C75" s="339" t="s">
        <v>2028</v>
      </c>
      <c r="D75" s="340">
        <v>11585966.970000001</v>
      </c>
      <c r="E75" s="340">
        <v>128864094.5</v>
      </c>
      <c r="F75" s="340">
        <v>138531006.71000001</v>
      </c>
      <c r="G75" s="340">
        <v>17722369.559999999</v>
      </c>
      <c r="H75" s="340">
        <v>10320813.33</v>
      </c>
      <c r="I75" s="340">
        <v>9320610.9900000002</v>
      </c>
    </row>
    <row r="76" spans="1:9">
      <c r="A76" s="339" t="s">
        <v>1220</v>
      </c>
      <c r="B76" s="339">
        <v>0</v>
      </c>
      <c r="C76" s="339" t="s">
        <v>2029</v>
      </c>
      <c r="D76" s="340">
        <v>0</v>
      </c>
      <c r="E76" s="340">
        <v>898110.3</v>
      </c>
      <c r="F76" s="340">
        <v>898110.3</v>
      </c>
      <c r="G76" s="340">
        <v>9059708.6199999992</v>
      </c>
      <c r="H76" s="340">
        <v>9059708.6199999992</v>
      </c>
      <c r="I76" s="340">
        <v>0</v>
      </c>
    </row>
    <row r="77" spans="1:9">
      <c r="A77" s="339" t="s">
        <v>1222</v>
      </c>
      <c r="B77" s="339">
        <v>0</v>
      </c>
      <c r="C77" s="339" t="s">
        <v>2030</v>
      </c>
      <c r="D77" s="340">
        <v>0</v>
      </c>
      <c r="E77" s="340">
        <v>18429936.780000001</v>
      </c>
      <c r="F77" s="340">
        <v>18429936.780000001</v>
      </c>
      <c r="G77" s="340">
        <v>2946420.91</v>
      </c>
      <c r="H77" s="340">
        <v>2946420.91</v>
      </c>
      <c r="I77" s="340">
        <v>0</v>
      </c>
    </row>
    <row r="78" spans="1:9">
      <c r="A78" s="339" t="s">
        <v>1224</v>
      </c>
      <c r="B78" s="339">
        <v>0</v>
      </c>
      <c r="C78" s="339" t="s">
        <v>2031</v>
      </c>
      <c r="D78" s="340">
        <v>404087.46</v>
      </c>
      <c r="E78" s="340">
        <v>1154584.1599999999</v>
      </c>
      <c r="F78" s="340">
        <v>1308145.6399999999</v>
      </c>
      <c r="G78" s="340">
        <v>210000</v>
      </c>
      <c r="H78" s="340">
        <v>154360.71</v>
      </c>
      <c r="I78" s="340">
        <v>306165.27</v>
      </c>
    </row>
    <row r="79" spans="1:9">
      <c r="A79" s="339" t="s">
        <v>1226</v>
      </c>
      <c r="B79" s="339">
        <v>0</v>
      </c>
      <c r="C79" s="339" t="s">
        <v>2032</v>
      </c>
      <c r="D79" s="340">
        <v>0</v>
      </c>
      <c r="E79" s="340">
        <v>23741496.699999999</v>
      </c>
      <c r="F79" s="340">
        <v>23741496.699999999</v>
      </c>
      <c r="G79" s="340">
        <v>3031258.68</v>
      </c>
      <c r="H79" s="340">
        <v>3031258.68</v>
      </c>
      <c r="I79" s="340">
        <v>0</v>
      </c>
    </row>
    <row r="80" spans="1:9">
      <c r="A80" s="339" t="s">
        <v>1228</v>
      </c>
      <c r="B80" s="339">
        <v>0</v>
      </c>
      <c r="C80" s="339" t="s">
        <v>2033</v>
      </c>
      <c r="D80" s="340">
        <v>0</v>
      </c>
      <c r="E80" s="340">
        <v>79479772.920000002</v>
      </c>
      <c r="F80" s="340">
        <v>79479772.920000002</v>
      </c>
      <c r="G80" s="340">
        <v>9656198.3200000003</v>
      </c>
      <c r="H80" s="340">
        <v>9656198.3200000003</v>
      </c>
      <c r="I80" s="340">
        <v>0</v>
      </c>
    </row>
    <row r="81" spans="1:9">
      <c r="A81" s="339" t="s">
        <v>1231</v>
      </c>
      <c r="B81" s="339">
        <v>0</v>
      </c>
      <c r="C81" s="339" t="s">
        <v>2034</v>
      </c>
      <c r="D81" s="340">
        <v>-50000000</v>
      </c>
      <c r="E81" s="340">
        <v>0</v>
      </c>
      <c r="F81" s="340">
        <v>0</v>
      </c>
      <c r="G81" s="340">
        <v>0</v>
      </c>
      <c r="H81" s="340">
        <v>0</v>
      </c>
      <c r="I81" s="340">
        <v>-50000000</v>
      </c>
    </row>
    <row r="82" spans="1:9">
      <c r="A82" s="339" t="s">
        <v>1237</v>
      </c>
      <c r="B82" s="339">
        <v>0</v>
      </c>
      <c r="C82" s="339" t="s">
        <v>2035</v>
      </c>
      <c r="D82" s="340">
        <v>39477326.82</v>
      </c>
      <c r="E82" s="340">
        <v>0</v>
      </c>
      <c r="F82" s="340">
        <v>0</v>
      </c>
      <c r="G82" s="340">
        <v>0</v>
      </c>
      <c r="H82" s="340">
        <v>0</v>
      </c>
      <c r="I82" s="340">
        <v>39477326.82</v>
      </c>
    </row>
    <row r="83" spans="1:9">
      <c r="A83" s="339" t="s">
        <v>1244</v>
      </c>
      <c r="B83" s="339">
        <v>0</v>
      </c>
      <c r="C83" s="339" t="s">
        <v>2036</v>
      </c>
      <c r="D83" s="340">
        <v>-253767.63</v>
      </c>
      <c r="E83" s="340">
        <v>400000</v>
      </c>
      <c r="F83" s="340">
        <v>829303.95</v>
      </c>
      <c r="G83" s="340">
        <v>0</v>
      </c>
      <c r="H83" s="340">
        <v>140435.44</v>
      </c>
      <c r="I83" s="340">
        <v>-823507.02</v>
      </c>
    </row>
    <row r="84" spans="1:9">
      <c r="A84" s="339" t="s">
        <v>1246</v>
      </c>
      <c r="B84" s="339">
        <v>0</v>
      </c>
      <c r="C84" s="339" t="s">
        <v>2037</v>
      </c>
      <c r="D84" s="340">
        <v>187636.13</v>
      </c>
      <c r="E84" s="340">
        <v>153546.32</v>
      </c>
      <c r="F84" s="340">
        <v>56428.66</v>
      </c>
      <c r="G84" s="340">
        <v>55304.11</v>
      </c>
      <c r="H84" s="340">
        <v>0</v>
      </c>
      <c r="I84" s="340">
        <v>340057.9</v>
      </c>
    </row>
    <row r="85" spans="1:9">
      <c r="A85" s="339" t="s">
        <v>1248</v>
      </c>
      <c r="B85" s="339">
        <v>0</v>
      </c>
      <c r="C85" s="339" t="s">
        <v>2038</v>
      </c>
      <c r="D85" s="340">
        <v>0</v>
      </c>
      <c r="E85" s="340">
        <v>39478.19</v>
      </c>
      <c r="F85" s="340">
        <v>0</v>
      </c>
      <c r="G85" s="340">
        <v>0</v>
      </c>
      <c r="H85" s="340">
        <v>0</v>
      </c>
      <c r="I85" s="340">
        <v>39478.19</v>
      </c>
    </row>
    <row r="86" spans="1:9">
      <c r="A86" s="339" t="s">
        <v>1251</v>
      </c>
      <c r="B86" s="339">
        <v>0</v>
      </c>
      <c r="C86" s="339" t="s">
        <v>2039</v>
      </c>
      <c r="D86" s="340">
        <v>-36375327.979999997</v>
      </c>
      <c r="E86" s="340">
        <v>50983011</v>
      </c>
      <c r="F86" s="340">
        <v>45953482.109999999</v>
      </c>
      <c r="G86" s="340">
        <v>1903960.12</v>
      </c>
      <c r="H86" s="340">
        <v>1489158.08</v>
      </c>
      <c r="I86" s="340">
        <v>-30930997.050000001</v>
      </c>
    </row>
    <row r="87" spans="1:9">
      <c r="A87" s="339" t="s">
        <v>2040</v>
      </c>
      <c r="B87" s="339">
        <v>0</v>
      </c>
      <c r="C87" s="339" t="s">
        <v>2041</v>
      </c>
      <c r="D87" s="340">
        <v>0</v>
      </c>
      <c r="E87" s="340">
        <v>120</v>
      </c>
      <c r="F87" s="340">
        <v>120</v>
      </c>
      <c r="G87" s="340">
        <v>0</v>
      </c>
      <c r="H87" s="340">
        <v>0</v>
      </c>
      <c r="I87" s="340">
        <v>0</v>
      </c>
    </row>
    <row r="88" spans="1:9">
      <c r="A88" s="339" t="s">
        <v>1261</v>
      </c>
      <c r="B88" s="339">
        <v>0</v>
      </c>
      <c r="C88" s="339" t="s">
        <v>2042</v>
      </c>
      <c r="D88" s="340">
        <v>140764.66</v>
      </c>
      <c r="E88" s="340">
        <v>421764</v>
      </c>
      <c r="F88" s="340">
        <v>0</v>
      </c>
      <c r="G88" s="340">
        <v>0</v>
      </c>
      <c r="H88" s="340">
        <v>0</v>
      </c>
      <c r="I88" s="340">
        <v>562528.66</v>
      </c>
    </row>
    <row r="89" spans="1:9">
      <c r="A89" s="339" t="s">
        <v>1266</v>
      </c>
      <c r="B89" s="339">
        <v>0</v>
      </c>
      <c r="C89" s="339" t="s">
        <v>2043</v>
      </c>
      <c r="D89" s="340">
        <v>-4332257.45</v>
      </c>
      <c r="E89" s="340">
        <v>62128.94</v>
      </c>
      <c r="F89" s="340">
        <v>64390.69</v>
      </c>
      <c r="G89" s="340">
        <v>0</v>
      </c>
      <c r="H89" s="340">
        <v>194568.72</v>
      </c>
      <c r="I89" s="340">
        <v>-4529087.92</v>
      </c>
    </row>
    <row r="90" spans="1:9">
      <c r="A90" s="339" t="s">
        <v>1268</v>
      </c>
      <c r="B90" s="339">
        <v>0</v>
      </c>
      <c r="C90" s="339" t="s">
        <v>2044</v>
      </c>
      <c r="D90" s="340">
        <v>28318529.77</v>
      </c>
      <c r="E90" s="340">
        <v>9367473.3200000003</v>
      </c>
      <c r="F90" s="340">
        <v>772993.38</v>
      </c>
      <c r="G90" s="340">
        <v>1038811.07</v>
      </c>
      <c r="H90" s="340">
        <v>82614.38</v>
      </c>
      <c r="I90" s="340">
        <v>37869206.399999999</v>
      </c>
    </row>
    <row r="91" spans="1:9">
      <c r="A91" s="339" t="s">
        <v>1270</v>
      </c>
      <c r="B91" s="339">
        <v>0</v>
      </c>
      <c r="C91" s="339" t="s">
        <v>2045</v>
      </c>
      <c r="D91" s="340">
        <v>-24205644.109999999</v>
      </c>
      <c r="E91" s="340">
        <v>2030628.61</v>
      </c>
      <c r="F91" s="340">
        <v>8868928.0800000001</v>
      </c>
      <c r="G91" s="340">
        <v>5610.21</v>
      </c>
      <c r="H91" s="340">
        <v>1243668.99</v>
      </c>
      <c r="I91" s="340">
        <v>-32282002.359999999</v>
      </c>
    </row>
    <row r="92" spans="1:9">
      <c r="A92" s="339" t="s">
        <v>1277</v>
      </c>
      <c r="B92" s="339">
        <v>0</v>
      </c>
      <c r="C92" s="339" t="s">
        <v>2046</v>
      </c>
      <c r="D92" s="340">
        <v>-43895.74</v>
      </c>
      <c r="E92" s="340">
        <v>137347.76999999999</v>
      </c>
      <c r="F92" s="340">
        <v>107294.93</v>
      </c>
      <c r="G92" s="340">
        <v>13842.9</v>
      </c>
      <c r="H92" s="340">
        <v>27201.1</v>
      </c>
      <c r="I92" s="340">
        <v>-27201.1</v>
      </c>
    </row>
    <row r="93" spans="1:9">
      <c r="A93" s="339" t="s">
        <v>1281</v>
      </c>
      <c r="B93" s="339">
        <v>0</v>
      </c>
      <c r="C93" s="339" t="s">
        <v>2047</v>
      </c>
      <c r="D93" s="340">
        <v>-4782.92</v>
      </c>
      <c r="E93" s="340">
        <v>33887.279999999999</v>
      </c>
      <c r="F93" s="340">
        <v>29488.21</v>
      </c>
      <c r="G93" s="340">
        <v>382.27</v>
      </c>
      <c r="H93" s="340">
        <v>2460.42</v>
      </c>
      <c r="I93" s="340">
        <v>-2462</v>
      </c>
    </row>
    <row r="94" spans="1:9">
      <c r="A94" s="339" t="s">
        <v>1292</v>
      </c>
      <c r="B94" s="339">
        <v>0</v>
      </c>
      <c r="C94" s="339" t="s">
        <v>2048</v>
      </c>
      <c r="D94" s="340">
        <v>-14220.73</v>
      </c>
      <c r="E94" s="340">
        <v>41745.57</v>
      </c>
      <c r="F94" s="340">
        <v>27524.84</v>
      </c>
      <c r="G94" s="340">
        <v>0</v>
      </c>
      <c r="H94" s="340">
        <v>47600.75</v>
      </c>
      <c r="I94" s="340">
        <v>-47600.75</v>
      </c>
    </row>
    <row r="95" spans="1:9">
      <c r="A95" s="339" t="s">
        <v>1297</v>
      </c>
      <c r="B95" s="339">
        <v>0</v>
      </c>
      <c r="C95" s="339" t="s">
        <v>2049</v>
      </c>
      <c r="D95" s="340">
        <v>-15968524.970000001</v>
      </c>
      <c r="E95" s="340">
        <v>72398283.730000004</v>
      </c>
      <c r="F95" s="340">
        <v>68985442.920000002</v>
      </c>
      <c r="G95" s="340">
        <v>11598141.890000001</v>
      </c>
      <c r="H95" s="340">
        <v>11203908.67</v>
      </c>
      <c r="I95" s="340">
        <v>-12161450.939999999</v>
      </c>
    </row>
    <row r="96" spans="1:9">
      <c r="A96" s="339" t="s">
        <v>2050</v>
      </c>
      <c r="B96" s="339">
        <v>0</v>
      </c>
      <c r="C96" s="339" t="s">
        <v>2051</v>
      </c>
      <c r="D96" s="340">
        <v>0</v>
      </c>
      <c r="E96" s="340">
        <v>51430812.710000001</v>
      </c>
      <c r="F96" s="340">
        <v>51430812.710000001</v>
      </c>
      <c r="G96" s="340">
        <v>5959096.8499999996</v>
      </c>
      <c r="H96" s="340">
        <v>5959096.8499999996</v>
      </c>
      <c r="I96" s="340">
        <v>0</v>
      </c>
    </row>
    <row r="97" spans="1:9">
      <c r="A97" s="339" t="s">
        <v>1301</v>
      </c>
      <c r="B97" s="339">
        <v>0</v>
      </c>
      <c r="C97" s="339" t="s">
        <v>2052</v>
      </c>
      <c r="D97" s="340">
        <v>0</v>
      </c>
      <c r="E97" s="340">
        <v>288892.96999999997</v>
      </c>
      <c r="F97" s="340">
        <v>288892.96999999997</v>
      </c>
      <c r="G97" s="340">
        <v>2246.9299999999998</v>
      </c>
      <c r="H97" s="340">
        <v>2246.9299999999998</v>
      </c>
      <c r="I97" s="340">
        <v>0</v>
      </c>
    </row>
    <row r="98" spans="1:9">
      <c r="A98" s="339" t="s">
        <v>1303</v>
      </c>
      <c r="B98" s="339">
        <v>0</v>
      </c>
      <c r="C98" s="339" t="s">
        <v>1304</v>
      </c>
      <c r="D98" s="340">
        <v>-8363907.6399999997</v>
      </c>
      <c r="E98" s="340">
        <v>61391097.399999999</v>
      </c>
      <c r="F98" s="340">
        <v>59598320.030000001</v>
      </c>
      <c r="G98" s="340">
        <v>6185867.8399999999</v>
      </c>
      <c r="H98" s="340">
        <v>7257445.7000000002</v>
      </c>
      <c r="I98" s="340">
        <v>-7642708.1299999999</v>
      </c>
    </row>
    <row r="99" spans="1:9">
      <c r="A99" s="339" t="s">
        <v>1306</v>
      </c>
      <c r="B99" s="339">
        <v>0</v>
      </c>
      <c r="C99" s="339" t="s">
        <v>2053</v>
      </c>
      <c r="D99" s="340">
        <v>-79623882.799999997</v>
      </c>
      <c r="E99" s="340">
        <v>9754376.6999999993</v>
      </c>
      <c r="F99" s="340">
        <v>15822698.050000001</v>
      </c>
      <c r="G99" s="340">
        <v>733035.45</v>
      </c>
      <c r="H99" s="340">
        <v>754470.91</v>
      </c>
      <c r="I99" s="340">
        <v>-85713639.609999999</v>
      </c>
    </row>
    <row r="100" spans="1:9">
      <c r="A100" s="339" t="s">
        <v>2054</v>
      </c>
      <c r="B100" s="339">
        <v>0</v>
      </c>
      <c r="C100" s="339" t="s">
        <v>2055</v>
      </c>
      <c r="D100" s="340">
        <v>0</v>
      </c>
      <c r="E100" s="340">
        <v>3219437.12</v>
      </c>
      <c r="F100" s="340">
        <v>3219437.12</v>
      </c>
      <c r="G100" s="340">
        <v>402915.82</v>
      </c>
      <c r="H100" s="340">
        <v>402915.82</v>
      </c>
      <c r="I100" s="340">
        <v>0</v>
      </c>
    </row>
    <row r="101" spans="1:9">
      <c r="A101" s="339" t="s">
        <v>1313</v>
      </c>
      <c r="B101" s="339">
        <v>0</v>
      </c>
      <c r="C101" s="339" t="s">
        <v>1311</v>
      </c>
      <c r="D101" s="340">
        <v>-100750.56</v>
      </c>
      <c r="E101" s="340">
        <v>20020538.780000001</v>
      </c>
      <c r="F101" s="340">
        <v>21134543.890000001</v>
      </c>
      <c r="G101" s="340">
        <v>869015.2</v>
      </c>
      <c r="H101" s="340">
        <v>1011915</v>
      </c>
      <c r="I101" s="340">
        <v>-1357655.47</v>
      </c>
    </row>
    <row r="102" spans="1:9">
      <c r="A102" s="339" t="s">
        <v>1315</v>
      </c>
      <c r="B102" s="339">
        <v>0</v>
      </c>
      <c r="C102" s="339" t="s">
        <v>1379</v>
      </c>
      <c r="D102" s="340">
        <v>-352437.75</v>
      </c>
      <c r="E102" s="340">
        <v>1173714.3700000001</v>
      </c>
      <c r="F102" s="340">
        <v>2392013.2400000002</v>
      </c>
      <c r="G102" s="340">
        <v>338799.46</v>
      </c>
      <c r="H102" s="340">
        <v>104498.01</v>
      </c>
      <c r="I102" s="340">
        <v>-1336435.17</v>
      </c>
    </row>
    <row r="103" spans="1:9">
      <c r="A103" s="339" t="s">
        <v>1331</v>
      </c>
      <c r="B103" s="339">
        <v>0</v>
      </c>
      <c r="C103" s="339" t="s">
        <v>1182</v>
      </c>
      <c r="D103" s="340">
        <v>-315724.77</v>
      </c>
      <c r="E103" s="340">
        <v>0</v>
      </c>
      <c r="F103" s="340">
        <v>0</v>
      </c>
      <c r="G103" s="340">
        <v>0</v>
      </c>
      <c r="H103" s="340">
        <v>0</v>
      </c>
      <c r="I103" s="340">
        <v>-315724.77</v>
      </c>
    </row>
    <row r="104" spans="1:9">
      <c r="A104" s="339" t="s">
        <v>1332</v>
      </c>
      <c r="B104" s="339">
        <v>0</v>
      </c>
      <c r="C104" s="339" t="s">
        <v>2056</v>
      </c>
      <c r="D104" s="340">
        <v>-3156921.11</v>
      </c>
      <c r="E104" s="340">
        <v>3352896.94</v>
      </c>
      <c r="F104" s="340">
        <v>407524.65</v>
      </c>
      <c r="G104" s="340">
        <v>1760161.47</v>
      </c>
      <c r="H104" s="340">
        <v>224451.66</v>
      </c>
      <c r="I104" s="340">
        <v>1324160.99</v>
      </c>
    </row>
    <row r="105" spans="1:9">
      <c r="A105" s="339" t="s">
        <v>1335</v>
      </c>
      <c r="B105" s="339">
        <v>0</v>
      </c>
      <c r="C105" s="339" t="s">
        <v>2057</v>
      </c>
      <c r="D105" s="340">
        <v>0</v>
      </c>
      <c r="E105" s="340">
        <v>3597760.5</v>
      </c>
      <c r="F105" s="340">
        <v>3597760.5</v>
      </c>
      <c r="G105" s="340">
        <v>306213.53999999998</v>
      </c>
      <c r="H105" s="340">
        <v>306213.53999999998</v>
      </c>
      <c r="I105" s="340">
        <v>0</v>
      </c>
    </row>
    <row r="106" spans="1:9">
      <c r="A106" s="339" t="s">
        <v>1343</v>
      </c>
      <c r="B106" s="339">
        <v>0</v>
      </c>
      <c r="C106" s="339" t="s">
        <v>2058</v>
      </c>
      <c r="D106" s="340">
        <v>0</v>
      </c>
      <c r="E106" s="340">
        <v>347282131.05000001</v>
      </c>
      <c r="F106" s="340">
        <v>347282131.05000001</v>
      </c>
      <c r="G106" s="340">
        <v>46172038.109999999</v>
      </c>
      <c r="H106" s="340">
        <v>46172038.109999999</v>
      </c>
      <c r="I106" s="340">
        <v>0</v>
      </c>
    </row>
    <row r="107" spans="1:9">
      <c r="A107" s="339" t="s">
        <v>1344</v>
      </c>
      <c r="B107" s="339">
        <v>0</v>
      </c>
      <c r="C107" s="339" t="s">
        <v>2059</v>
      </c>
      <c r="D107" s="340">
        <v>0</v>
      </c>
      <c r="E107" s="340">
        <v>6632747.6200000001</v>
      </c>
      <c r="F107" s="340">
        <v>6645173.21</v>
      </c>
      <c r="G107" s="340">
        <v>968013.05</v>
      </c>
      <c r="H107" s="340">
        <v>971181.14</v>
      </c>
      <c r="I107" s="340">
        <v>-15593.68</v>
      </c>
    </row>
    <row r="108" spans="1:9">
      <c r="A108" s="339" t="s">
        <v>1349</v>
      </c>
      <c r="B108" s="339">
        <v>0</v>
      </c>
      <c r="C108" s="339" t="s">
        <v>2060</v>
      </c>
      <c r="D108" s="340">
        <v>-991432.69</v>
      </c>
      <c r="E108" s="340">
        <v>8882966.1099999994</v>
      </c>
      <c r="F108" s="340">
        <v>10024184.189999999</v>
      </c>
      <c r="G108" s="340">
        <v>1597726.57</v>
      </c>
      <c r="H108" s="340">
        <v>1438162.22</v>
      </c>
      <c r="I108" s="340">
        <v>-1973086.42</v>
      </c>
    </row>
    <row r="109" spans="1:9">
      <c r="A109" s="339" t="s">
        <v>2061</v>
      </c>
      <c r="B109" s="339">
        <v>0</v>
      </c>
      <c r="C109" s="339" t="s">
        <v>2062</v>
      </c>
      <c r="D109" s="340">
        <v>0</v>
      </c>
      <c r="E109" s="340">
        <v>1170</v>
      </c>
      <c r="F109" s="340">
        <v>1170</v>
      </c>
      <c r="G109" s="340">
        <v>0</v>
      </c>
      <c r="H109" s="340">
        <v>0</v>
      </c>
      <c r="I109" s="340">
        <v>0</v>
      </c>
    </row>
    <row r="110" spans="1:9">
      <c r="A110" s="339" t="s">
        <v>1351</v>
      </c>
      <c r="B110" s="339">
        <v>0</v>
      </c>
      <c r="C110" s="339" t="s">
        <v>2063</v>
      </c>
      <c r="D110" s="340">
        <v>-859487.6</v>
      </c>
      <c r="E110" s="340">
        <v>68329.7</v>
      </c>
      <c r="F110" s="340">
        <v>1022397.11</v>
      </c>
      <c r="G110" s="340">
        <v>440752.67</v>
      </c>
      <c r="H110" s="340">
        <v>108398.75</v>
      </c>
      <c r="I110" s="340">
        <v>-1481201.09</v>
      </c>
    </row>
    <row r="111" spans="1:9">
      <c r="A111" s="339" t="s">
        <v>1353</v>
      </c>
      <c r="B111" s="339">
        <v>0</v>
      </c>
      <c r="C111" s="339" t="s">
        <v>2064</v>
      </c>
      <c r="D111" s="340">
        <v>-13165989.289999999</v>
      </c>
      <c r="E111" s="340">
        <v>12721284.039999999</v>
      </c>
      <c r="F111" s="340">
        <v>6007389.9199999999</v>
      </c>
      <c r="G111" s="340">
        <v>0.02</v>
      </c>
      <c r="H111" s="340">
        <v>0</v>
      </c>
      <c r="I111" s="340">
        <v>-6452095.1500000004</v>
      </c>
    </row>
    <row r="112" spans="1:9">
      <c r="A112" s="339" t="s">
        <v>1355</v>
      </c>
      <c r="B112" s="339">
        <v>0</v>
      </c>
      <c r="C112" s="339" t="s">
        <v>1356</v>
      </c>
      <c r="D112" s="340">
        <v>-15000000</v>
      </c>
      <c r="E112" s="340">
        <v>10000000</v>
      </c>
      <c r="F112" s="340">
        <v>0</v>
      </c>
      <c r="G112" s="340">
        <v>0</v>
      </c>
      <c r="H112" s="340">
        <v>0</v>
      </c>
      <c r="I112" s="340">
        <v>-5000000</v>
      </c>
    </row>
    <row r="113" spans="1:9">
      <c r="A113" s="339" t="s">
        <v>1358</v>
      </c>
      <c r="B113" s="339">
        <v>0</v>
      </c>
      <c r="C113" s="339" t="s">
        <v>2065</v>
      </c>
      <c r="D113" s="340">
        <v>0</v>
      </c>
      <c r="E113" s="340">
        <v>125210.09</v>
      </c>
      <c r="F113" s="340">
        <v>38232210.880000003</v>
      </c>
      <c r="G113" s="340">
        <v>26989.64</v>
      </c>
      <c r="H113" s="340">
        <v>5829472.4100000001</v>
      </c>
      <c r="I113" s="340">
        <v>-43909483.560000002</v>
      </c>
    </row>
    <row r="114" spans="1:9">
      <c r="A114" s="339" t="s">
        <v>1363</v>
      </c>
      <c r="B114" s="339">
        <v>0</v>
      </c>
      <c r="C114" s="339" t="s">
        <v>2066</v>
      </c>
      <c r="D114" s="340">
        <v>0</v>
      </c>
      <c r="E114" s="340">
        <v>2460208.2400000002</v>
      </c>
      <c r="F114" s="340">
        <v>2459137.52</v>
      </c>
      <c r="G114" s="340">
        <v>0</v>
      </c>
      <c r="H114" s="340">
        <v>0</v>
      </c>
      <c r="I114" s="340">
        <v>1070.72</v>
      </c>
    </row>
    <row r="115" spans="1:9">
      <c r="A115" s="339" t="s">
        <v>1368</v>
      </c>
      <c r="B115" s="339">
        <v>0</v>
      </c>
      <c r="C115" s="339" t="s">
        <v>2067</v>
      </c>
      <c r="D115" s="340">
        <v>0</v>
      </c>
      <c r="E115" s="340">
        <v>139885265.31999999</v>
      </c>
      <c r="F115" s="340">
        <v>139885265.31999999</v>
      </c>
      <c r="G115" s="340">
        <v>14282826.83</v>
      </c>
      <c r="H115" s="340">
        <v>14282826.83</v>
      </c>
      <c r="I115" s="340">
        <v>0</v>
      </c>
    </row>
    <row r="116" spans="1:9">
      <c r="A116" s="339" t="s">
        <v>1371</v>
      </c>
      <c r="B116" s="339">
        <v>0</v>
      </c>
      <c r="C116" s="339" t="s">
        <v>2068</v>
      </c>
      <c r="D116" s="340">
        <v>0</v>
      </c>
      <c r="E116" s="340">
        <v>0</v>
      </c>
      <c r="F116" s="340">
        <v>109699.31</v>
      </c>
      <c r="G116" s="340">
        <v>0</v>
      </c>
      <c r="H116" s="340">
        <v>2641.32</v>
      </c>
      <c r="I116" s="340">
        <v>-112340.63</v>
      </c>
    </row>
    <row r="117" spans="1:9">
      <c r="A117" s="339" t="s">
        <v>1373</v>
      </c>
      <c r="B117" s="339">
        <v>0</v>
      </c>
      <c r="C117" s="339" t="s">
        <v>2069</v>
      </c>
      <c r="D117" s="340">
        <v>0</v>
      </c>
      <c r="E117" s="340">
        <v>0</v>
      </c>
      <c r="F117" s="340">
        <v>916395.16</v>
      </c>
      <c r="G117" s="340">
        <v>0</v>
      </c>
      <c r="H117" s="340">
        <v>3897.53</v>
      </c>
      <c r="I117" s="340">
        <v>-920292.69</v>
      </c>
    </row>
    <row r="118" spans="1:9">
      <c r="A118" s="339" t="s">
        <v>1375</v>
      </c>
      <c r="B118" s="339">
        <v>0</v>
      </c>
      <c r="C118" s="339" t="s">
        <v>2070</v>
      </c>
      <c r="D118" s="340">
        <v>0</v>
      </c>
      <c r="E118" s="340">
        <v>3920.48</v>
      </c>
      <c r="F118" s="340">
        <v>4743.84</v>
      </c>
      <c r="G118" s="340">
        <v>0</v>
      </c>
      <c r="H118" s="340">
        <v>0</v>
      </c>
      <c r="I118" s="340">
        <v>-823.36</v>
      </c>
    </row>
    <row r="119" spans="1:9">
      <c r="A119" s="339" t="s">
        <v>1386</v>
      </c>
      <c r="B119" s="339">
        <v>0</v>
      </c>
      <c r="C119" s="339" t="s">
        <v>1326</v>
      </c>
      <c r="D119" s="340">
        <v>0</v>
      </c>
      <c r="E119" s="340">
        <v>44132.85</v>
      </c>
      <c r="F119" s="340">
        <v>166625.48000000001</v>
      </c>
      <c r="G119" s="340">
        <v>2799.16</v>
      </c>
      <c r="H119" s="340">
        <v>0</v>
      </c>
      <c r="I119" s="340">
        <v>-119693.47</v>
      </c>
    </row>
    <row r="120" spans="1:9">
      <c r="A120" s="339" t="s">
        <v>1389</v>
      </c>
      <c r="B120" s="339">
        <v>0</v>
      </c>
      <c r="C120" s="339" t="s">
        <v>1330</v>
      </c>
      <c r="D120" s="340">
        <v>0</v>
      </c>
      <c r="E120" s="340">
        <v>340656</v>
      </c>
      <c r="F120" s="340">
        <v>19856400.25</v>
      </c>
      <c r="G120" s="340">
        <v>0</v>
      </c>
      <c r="H120" s="340">
        <v>2085477.18</v>
      </c>
      <c r="I120" s="340">
        <v>-21601221.43</v>
      </c>
    </row>
    <row r="121" spans="1:9">
      <c r="A121" s="339" t="s">
        <v>1390</v>
      </c>
      <c r="B121" s="339">
        <v>0</v>
      </c>
      <c r="C121" s="339" t="s">
        <v>1184</v>
      </c>
      <c r="D121" s="340">
        <v>0</v>
      </c>
      <c r="E121" s="340">
        <v>24145366.960000001</v>
      </c>
      <c r="F121" s="340">
        <v>25822467.09</v>
      </c>
      <c r="G121" s="340">
        <v>3881.66</v>
      </c>
      <c r="H121" s="340">
        <v>66530.92</v>
      </c>
      <c r="I121" s="340">
        <v>-1739749.39</v>
      </c>
    </row>
    <row r="122" spans="1:9">
      <c r="A122" s="339" t="s">
        <v>1393</v>
      </c>
      <c r="B122" s="339">
        <v>0</v>
      </c>
      <c r="C122" s="339" t="s">
        <v>2024</v>
      </c>
      <c r="D122" s="340">
        <v>0</v>
      </c>
      <c r="E122" s="340">
        <v>1072842.98</v>
      </c>
      <c r="F122" s="340">
        <v>1314876.32</v>
      </c>
      <c r="G122" s="340">
        <v>9485.74</v>
      </c>
      <c r="H122" s="340">
        <v>126540.14</v>
      </c>
      <c r="I122" s="340">
        <v>-359087.74</v>
      </c>
    </row>
    <row r="123" spans="1:9">
      <c r="A123" s="339" t="s">
        <v>2071</v>
      </c>
      <c r="B123" s="339">
        <v>0</v>
      </c>
      <c r="C123" s="339" t="s">
        <v>2072</v>
      </c>
      <c r="D123" s="340">
        <v>0</v>
      </c>
      <c r="E123" s="340">
        <v>0</v>
      </c>
      <c r="F123" s="340">
        <v>3219437.12</v>
      </c>
      <c r="G123" s="340">
        <v>0</v>
      </c>
      <c r="H123" s="340">
        <v>402915.82</v>
      </c>
      <c r="I123" s="340">
        <v>-3622352.94</v>
      </c>
    </row>
    <row r="124" spans="1:9">
      <c r="A124" s="339" t="s">
        <v>1397</v>
      </c>
      <c r="B124" s="339">
        <v>0</v>
      </c>
      <c r="C124" s="339" t="s">
        <v>2073</v>
      </c>
      <c r="D124" s="340">
        <v>0</v>
      </c>
      <c r="E124" s="340">
        <v>2291666.65</v>
      </c>
      <c r="F124" s="340">
        <v>0</v>
      </c>
      <c r="G124" s="340">
        <v>208333.33</v>
      </c>
      <c r="H124" s="340">
        <v>0</v>
      </c>
      <c r="I124" s="340">
        <v>2499999.98</v>
      </c>
    </row>
    <row r="125" spans="1:9">
      <c r="A125" s="339" t="s">
        <v>1401</v>
      </c>
      <c r="B125" s="339">
        <v>0</v>
      </c>
      <c r="C125" s="339" t="s">
        <v>2074</v>
      </c>
      <c r="D125" s="340">
        <v>0</v>
      </c>
      <c r="E125" s="340">
        <v>43105629.159999996</v>
      </c>
      <c r="F125" s="340">
        <v>1602314.14</v>
      </c>
      <c r="G125" s="340">
        <v>6242440.0099999998</v>
      </c>
      <c r="H125" s="340">
        <v>70979.81</v>
      </c>
      <c r="I125" s="340">
        <v>47674775.219999999</v>
      </c>
    </row>
    <row r="126" spans="1:9">
      <c r="A126" s="339" t="s">
        <v>1405</v>
      </c>
      <c r="B126" s="339">
        <v>0</v>
      </c>
      <c r="C126" s="339" t="s">
        <v>2075</v>
      </c>
      <c r="D126" s="340">
        <v>0</v>
      </c>
      <c r="E126" s="340">
        <v>1876251.89</v>
      </c>
      <c r="F126" s="340">
        <v>1429541.68</v>
      </c>
      <c r="G126" s="340">
        <v>98891.32</v>
      </c>
      <c r="H126" s="340">
        <v>100128.8</v>
      </c>
      <c r="I126" s="340">
        <v>445472.73</v>
      </c>
    </row>
    <row r="127" spans="1:9">
      <c r="A127" s="339" t="s">
        <v>1403</v>
      </c>
      <c r="B127" s="339">
        <v>0</v>
      </c>
      <c r="C127" s="339" t="s">
        <v>2076</v>
      </c>
      <c r="D127" s="340">
        <v>0</v>
      </c>
      <c r="E127" s="340">
        <v>169159.82</v>
      </c>
      <c r="F127" s="340">
        <v>0</v>
      </c>
      <c r="G127" s="340">
        <v>43257.760000000002</v>
      </c>
      <c r="H127" s="340">
        <v>0</v>
      </c>
      <c r="I127" s="340">
        <v>212417.58</v>
      </c>
    </row>
    <row r="128" spans="1:9">
      <c r="A128" s="339" t="s">
        <v>1408</v>
      </c>
      <c r="B128" s="339">
        <v>0</v>
      </c>
      <c r="C128" s="339" t="s">
        <v>2077</v>
      </c>
      <c r="D128" s="340">
        <v>0</v>
      </c>
      <c r="E128" s="340">
        <v>125726.92</v>
      </c>
      <c r="F128" s="340">
        <v>1054.1400000000001</v>
      </c>
      <c r="G128" s="340">
        <v>14496.1</v>
      </c>
      <c r="H128" s="340">
        <v>80.34</v>
      </c>
      <c r="I128" s="340">
        <v>139088.54</v>
      </c>
    </row>
    <row r="129" spans="1:9">
      <c r="A129" s="339" t="s">
        <v>1410</v>
      </c>
      <c r="B129" s="339">
        <v>0</v>
      </c>
      <c r="C129" s="339" t="s">
        <v>2078</v>
      </c>
      <c r="D129" s="340">
        <v>0</v>
      </c>
      <c r="E129" s="340">
        <v>482825.12</v>
      </c>
      <c r="F129" s="340">
        <v>3807.4</v>
      </c>
      <c r="G129" s="340">
        <v>49735.44</v>
      </c>
      <c r="H129" s="340">
        <v>319.8</v>
      </c>
      <c r="I129" s="340">
        <v>528433.36</v>
      </c>
    </row>
    <row r="130" spans="1:9">
      <c r="A130" s="339" t="s">
        <v>1412</v>
      </c>
      <c r="B130" s="339">
        <v>0</v>
      </c>
      <c r="C130" s="339" t="s">
        <v>2079</v>
      </c>
      <c r="D130" s="340">
        <v>0</v>
      </c>
      <c r="E130" s="340">
        <v>99421.56</v>
      </c>
      <c r="F130" s="340">
        <v>834.33</v>
      </c>
      <c r="G130" s="340">
        <v>11596.57</v>
      </c>
      <c r="H130" s="340">
        <v>37.450000000000003</v>
      </c>
      <c r="I130" s="340">
        <v>110146.35</v>
      </c>
    </row>
    <row r="131" spans="1:9">
      <c r="A131" s="339" t="s">
        <v>1415</v>
      </c>
      <c r="B131" s="339">
        <v>0</v>
      </c>
      <c r="C131" s="339" t="s">
        <v>2080</v>
      </c>
      <c r="D131" s="340">
        <v>0</v>
      </c>
      <c r="E131" s="340">
        <v>617688.56000000006</v>
      </c>
      <c r="F131" s="340">
        <v>94.61</v>
      </c>
      <c r="G131" s="340">
        <v>3802.66</v>
      </c>
      <c r="H131" s="340">
        <v>1753.64</v>
      </c>
      <c r="I131" s="340">
        <v>619642.97</v>
      </c>
    </row>
    <row r="132" spans="1:9">
      <c r="A132" s="339" t="s">
        <v>1418</v>
      </c>
      <c r="B132" s="339">
        <v>0</v>
      </c>
      <c r="C132" s="339" t="s">
        <v>2081</v>
      </c>
      <c r="D132" s="340">
        <v>0</v>
      </c>
      <c r="E132" s="340">
        <v>689.79</v>
      </c>
      <c r="F132" s="340">
        <v>0</v>
      </c>
      <c r="G132" s="340">
        <v>10.06</v>
      </c>
      <c r="H132" s="340">
        <v>0</v>
      </c>
      <c r="I132" s="340">
        <v>699.85</v>
      </c>
    </row>
    <row r="133" spans="1:9">
      <c r="A133" s="339" t="s">
        <v>2082</v>
      </c>
      <c r="B133" s="339">
        <v>0</v>
      </c>
      <c r="C133" s="339" t="s">
        <v>2083</v>
      </c>
      <c r="D133" s="340">
        <v>0</v>
      </c>
      <c r="E133" s="340">
        <v>5013.4799999999996</v>
      </c>
      <c r="F133" s="340">
        <v>0</v>
      </c>
      <c r="G133" s="340">
        <v>180</v>
      </c>
      <c r="H133" s="340">
        <v>0</v>
      </c>
      <c r="I133" s="340">
        <v>5193.4799999999996</v>
      </c>
    </row>
    <row r="134" spans="1:9">
      <c r="A134" s="339" t="s">
        <v>1422</v>
      </c>
      <c r="B134" s="339">
        <v>0</v>
      </c>
      <c r="C134" s="339" t="s">
        <v>2084</v>
      </c>
      <c r="D134" s="340">
        <v>0</v>
      </c>
      <c r="E134" s="340">
        <v>23.21</v>
      </c>
      <c r="F134" s="340">
        <v>0</v>
      </c>
      <c r="G134" s="340">
        <v>8.0399999999999991</v>
      </c>
      <c r="H134" s="340">
        <v>0</v>
      </c>
      <c r="I134" s="340">
        <v>31.25</v>
      </c>
    </row>
    <row r="135" spans="1:9">
      <c r="A135" s="339" t="s">
        <v>1428</v>
      </c>
      <c r="B135" s="339">
        <v>0</v>
      </c>
      <c r="C135" s="339" t="s">
        <v>2085</v>
      </c>
      <c r="D135" s="340">
        <v>0</v>
      </c>
      <c r="E135" s="340">
        <v>2547540.9300000002</v>
      </c>
      <c r="F135" s="340">
        <v>20979.7</v>
      </c>
      <c r="G135" s="340">
        <v>335137.84999999998</v>
      </c>
      <c r="H135" s="340">
        <v>1454.63</v>
      </c>
      <c r="I135" s="340">
        <v>2860244.45</v>
      </c>
    </row>
    <row r="136" spans="1:9">
      <c r="A136" s="339" t="s">
        <v>1430</v>
      </c>
      <c r="B136" s="339">
        <v>0</v>
      </c>
      <c r="C136" s="339" t="s">
        <v>2086</v>
      </c>
      <c r="D136" s="340">
        <v>0</v>
      </c>
      <c r="E136" s="340">
        <v>0</v>
      </c>
      <c r="F136" s="340">
        <v>169159.82</v>
      </c>
      <c r="G136" s="340">
        <v>0</v>
      </c>
      <c r="H136" s="340">
        <v>43257.760000000002</v>
      </c>
      <c r="I136" s="340">
        <v>-212417.58</v>
      </c>
    </row>
    <row r="137" spans="1:9">
      <c r="A137" s="339" t="s">
        <v>1433</v>
      </c>
      <c r="B137" s="339">
        <v>0</v>
      </c>
      <c r="C137" s="339" t="s">
        <v>2087</v>
      </c>
      <c r="D137" s="340">
        <v>0</v>
      </c>
      <c r="E137" s="340">
        <v>347866.91</v>
      </c>
      <c r="F137" s="340">
        <v>880057.44</v>
      </c>
      <c r="G137" s="340">
        <v>13617.65</v>
      </c>
      <c r="H137" s="340">
        <v>122288.7</v>
      </c>
      <c r="I137" s="340">
        <v>-640861.57999999996</v>
      </c>
    </row>
    <row r="138" spans="1:9">
      <c r="A138" s="339" t="s">
        <v>1438</v>
      </c>
      <c r="B138" s="339">
        <v>0</v>
      </c>
      <c r="C138" s="339" t="s">
        <v>2088</v>
      </c>
      <c r="D138" s="340">
        <v>0</v>
      </c>
      <c r="E138" s="340">
        <v>4047.5</v>
      </c>
      <c r="F138" s="340">
        <v>398811.22</v>
      </c>
      <c r="G138" s="340">
        <v>8702.5</v>
      </c>
      <c r="H138" s="340">
        <v>59917.599999999999</v>
      </c>
      <c r="I138" s="340">
        <v>-445978.82</v>
      </c>
    </row>
    <row r="139" spans="1:9">
      <c r="A139" s="339" t="s">
        <v>1443</v>
      </c>
      <c r="B139" s="339">
        <v>0</v>
      </c>
      <c r="C139" s="339" t="s">
        <v>2089</v>
      </c>
      <c r="D139" s="340">
        <v>0</v>
      </c>
      <c r="E139" s="340">
        <v>20358.080000000002</v>
      </c>
      <c r="F139" s="340">
        <v>893892.99</v>
      </c>
      <c r="G139" s="340">
        <v>3061.87</v>
      </c>
      <c r="H139" s="340">
        <v>90239.98</v>
      </c>
      <c r="I139" s="340">
        <v>-960713.02</v>
      </c>
    </row>
    <row r="140" spans="1:9">
      <c r="A140" s="339" t="s">
        <v>1441</v>
      </c>
      <c r="B140" s="339">
        <v>0</v>
      </c>
      <c r="C140" s="339" t="s">
        <v>2090</v>
      </c>
      <c r="D140" s="340">
        <v>0</v>
      </c>
      <c r="E140" s="340">
        <v>10.6</v>
      </c>
      <c r="F140" s="340">
        <v>33.35</v>
      </c>
      <c r="G140" s="340">
        <v>0</v>
      </c>
      <c r="H140" s="340">
        <v>0</v>
      </c>
      <c r="I140" s="340">
        <v>-22.75</v>
      </c>
    </row>
    <row r="141" spans="1:9">
      <c r="A141" s="339" t="s">
        <v>1446</v>
      </c>
      <c r="B141" s="339">
        <v>0</v>
      </c>
      <c r="C141" s="339" t="s">
        <v>2091</v>
      </c>
      <c r="D141" s="340">
        <v>0</v>
      </c>
      <c r="E141" s="340">
        <v>10181.89</v>
      </c>
      <c r="F141" s="340">
        <v>47850.89</v>
      </c>
      <c r="G141" s="340">
        <v>85.96</v>
      </c>
      <c r="H141" s="340">
        <v>5405.64</v>
      </c>
      <c r="I141" s="340">
        <v>-42988.68</v>
      </c>
    </row>
    <row r="142" spans="1:9">
      <c r="A142" s="339" t="s">
        <v>1482</v>
      </c>
      <c r="B142" s="339">
        <v>0</v>
      </c>
      <c r="C142" s="339" t="s">
        <v>2092</v>
      </c>
      <c r="D142" s="340">
        <v>0</v>
      </c>
      <c r="E142" s="340">
        <v>919618.92</v>
      </c>
      <c r="F142" s="340">
        <v>702258.77</v>
      </c>
      <c r="G142" s="340">
        <v>0</v>
      </c>
      <c r="H142" s="340">
        <v>0</v>
      </c>
      <c r="I142" s="340">
        <v>217360.15</v>
      </c>
    </row>
    <row r="143" spans="1:9">
      <c r="A143" s="339" t="s">
        <v>1509</v>
      </c>
      <c r="B143" s="339">
        <v>0</v>
      </c>
      <c r="C143" s="339" t="s">
        <v>2093</v>
      </c>
      <c r="D143" s="340">
        <v>0</v>
      </c>
      <c r="E143" s="340">
        <v>178854.97</v>
      </c>
      <c r="F143" s="340">
        <v>12240</v>
      </c>
      <c r="G143" s="340">
        <v>13072</v>
      </c>
      <c r="H143" s="340">
        <v>0</v>
      </c>
      <c r="I143" s="340">
        <v>179686.97</v>
      </c>
    </row>
    <row r="144" spans="1:9">
      <c r="A144" s="339" t="s">
        <v>1453</v>
      </c>
      <c r="B144" s="339">
        <v>0</v>
      </c>
      <c r="C144" s="339" t="s">
        <v>1454</v>
      </c>
      <c r="D144" s="340">
        <v>0</v>
      </c>
      <c r="E144" s="340">
        <v>26455.72</v>
      </c>
      <c r="F144" s="340">
        <v>1152.9000000000001</v>
      </c>
      <c r="G144" s="340">
        <v>6649.1</v>
      </c>
      <c r="H144" s="340">
        <v>88.67</v>
      </c>
      <c r="I144" s="340">
        <v>31863.25</v>
      </c>
    </row>
    <row r="145" spans="1:9">
      <c r="A145" s="339" t="s">
        <v>1455</v>
      </c>
      <c r="B145" s="339">
        <v>0</v>
      </c>
      <c r="C145" s="339" t="s">
        <v>1456</v>
      </c>
      <c r="D145" s="340">
        <v>0</v>
      </c>
      <c r="E145" s="340">
        <v>300956.43</v>
      </c>
      <c r="F145" s="340">
        <v>223087.85</v>
      </c>
      <c r="G145" s="340">
        <v>7848.13</v>
      </c>
      <c r="H145" s="340">
        <v>2835.78</v>
      </c>
      <c r="I145" s="340">
        <v>82880.929999999993</v>
      </c>
    </row>
    <row r="146" spans="1:9">
      <c r="A146" s="339" t="s">
        <v>1457</v>
      </c>
      <c r="B146" s="339">
        <v>0</v>
      </c>
      <c r="C146" s="339" t="s">
        <v>1458</v>
      </c>
      <c r="D146" s="340">
        <v>0</v>
      </c>
      <c r="E146" s="340">
        <v>28938.92</v>
      </c>
      <c r="F146" s="340">
        <v>3502.26</v>
      </c>
      <c r="G146" s="340">
        <v>2207.0500000000002</v>
      </c>
      <c r="H146" s="340">
        <v>39</v>
      </c>
      <c r="I146" s="340">
        <v>27604.71</v>
      </c>
    </row>
    <row r="147" spans="1:9">
      <c r="A147" s="339" t="s">
        <v>1459</v>
      </c>
      <c r="B147" s="339">
        <v>0</v>
      </c>
      <c r="C147" s="339" t="s">
        <v>1460</v>
      </c>
      <c r="D147" s="340">
        <v>0</v>
      </c>
      <c r="E147" s="340">
        <v>168981.46</v>
      </c>
      <c r="F147" s="340">
        <v>46750.73</v>
      </c>
      <c r="G147" s="340">
        <v>2063.06</v>
      </c>
      <c r="H147" s="340">
        <v>18810.3</v>
      </c>
      <c r="I147" s="340">
        <v>105483.49</v>
      </c>
    </row>
    <row r="148" spans="1:9">
      <c r="A148" s="339" t="s">
        <v>1461</v>
      </c>
      <c r="B148" s="339">
        <v>0</v>
      </c>
      <c r="C148" s="339" t="s">
        <v>1462</v>
      </c>
      <c r="D148" s="340">
        <v>0</v>
      </c>
      <c r="E148" s="340">
        <v>478606.9</v>
      </c>
      <c r="F148" s="340">
        <v>487750.81</v>
      </c>
      <c r="G148" s="340">
        <v>75048.94</v>
      </c>
      <c r="H148" s="340">
        <v>82441.81</v>
      </c>
      <c r="I148" s="340">
        <v>-16536.78</v>
      </c>
    </row>
    <row r="149" spans="1:9">
      <c r="A149" s="339" t="s">
        <v>1463</v>
      </c>
      <c r="B149" s="339">
        <v>0</v>
      </c>
      <c r="C149" s="339" t="s">
        <v>1464</v>
      </c>
      <c r="D149" s="340">
        <v>0</v>
      </c>
      <c r="E149" s="340">
        <v>32798.559999999998</v>
      </c>
      <c r="F149" s="340">
        <v>529.96</v>
      </c>
      <c r="G149" s="340">
        <v>11851.83</v>
      </c>
      <c r="H149" s="340">
        <v>3153.61</v>
      </c>
      <c r="I149" s="340">
        <v>40966.82</v>
      </c>
    </row>
    <row r="150" spans="1:9">
      <c r="A150" s="339" t="s">
        <v>1468</v>
      </c>
      <c r="B150" s="339">
        <v>0</v>
      </c>
      <c r="C150" s="339" t="s">
        <v>2094</v>
      </c>
      <c r="D150" s="340">
        <v>0</v>
      </c>
      <c r="E150" s="340">
        <v>54342.720000000001</v>
      </c>
      <c r="F150" s="340">
        <v>14400</v>
      </c>
      <c r="G150" s="340">
        <v>2048</v>
      </c>
      <c r="H150" s="340">
        <v>0</v>
      </c>
      <c r="I150" s="340">
        <v>41990.720000000001</v>
      </c>
    </row>
    <row r="151" spans="1:9">
      <c r="A151" s="339" t="s">
        <v>1477</v>
      </c>
      <c r="B151" s="339">
        <v>0</v>
      </c>
      <c r="C151" s="339" t="s">
        <v>2095</v>
      </c>
      <c r="D151" s="340">
        <v>0</v>
      </c>
      <c r="E151" s="340">
        <v>61973576.060000002</v>
      </c>
      <c r="F151" s="340">
        <v>62009683.549999997</v>
      </c>
      <c r="G151" s="340">
        <v>8533638</v>
      </c>
      <c r="H151" s="340">
        <v>8558942.1899999995</v>
      </c>
      <c r="I151" s="340">
        <v>-61411.68</v>
      </c>
    </row>
    <row r="152" spans="1:9">
      <c r="A152" s="339" t="s">
        <v>1479</v>
      </c>
      <c r="B152" s="339">
        <v>0</v>
      </c>
      <c r="C152" s="339" t="s">
        <v>2096</v>
      </c>
      <c r="D152" s="340">
        <v>0</v>
      </c>
      <c r="E152" s="340">
        <v>1170839.18</v>
      </c>
      <c r="F152" s="340">
        <v>1575239.24</v>
      </c>
      <c r="G152" s="340">
        <v>103189.75</v>
      </c>
      <c r="H152" s="340">
        <v>98609.14</v>
      </c>
      <c r="I152" s="340">
        <v>-399819.45</v>
      </c>
    </row>
    <row r="153" spans="1:9">
      <c r="A153" s="339" t="s">
        <v>1485</v>
      </c>
      <c r="B153" s="339">
        <v>0</v>
      </c>
      <c r="C153" s="339" t="s">
        <v>1486</v>
      </c>
      <c r="D153" s="340">
        <v>0</v>
      </c>
      <c r="E153" s="340">
        <v>679189.54</v>
      </c>
      <c r="F153" s="340">
        <v>584402.79</v>
      </c>
      <c r="G153" s="340">
        <v>68490.05</v>
      </c>
      <c r="H153" s="340">
        <v>29084.84</v>
      </c>
      <c r="I153" s="340">
        <v>134191.96</v>
      </c>
    </row>
    <row r="154" spans="1:9">
      <c r="A154" s="339" t="s">
        <v>1487</v>
      </c>
      <c r="B154" s="339">
        <v>0</v>
      </c>
      <c r="C154" s="339" t="s">
        <v>2097</v>
      </c>
      <c r="D154" s="340">
        <v>0</v>
      </c>
      <c r="E154" s="340">
        <v>193142.67</v>
      </c>
      <c r="F154" s="340">
        <v>0</v>
      </c>
      <c r="G154" s="340">
        <v>32942.33</v>
      </c>
      <c r="H154" s="340">
        <v>0</v>
      </c>
      <c r="I154" s="340">
        <v>226085</v>
      </c>
    </row>
    <row r="155" spans="1:9">
      <c r="A155" s="339" t="s">
        <v>1489</v>
      </c>
      <c r="B155" s="339">
        <v>0</v>
      </c>
      <c r="C155" s="339" t="s">
        <v>1490</v>
      </c>
      <c r="D155" s="340">
        <v>0</v>
      </c>
      <c r="E155" s="340">
        <v>46051.01</v>
      </c>
      <c r="F155" s="340">
        <v>0</v>
      </c>
      <c r="G155" s="340">
        <v>4768.17</v>
      </c>
      <c r="H155" s="340">
        <v>0</v>
      </c>
      <c r="I155" s="340">
        <v>50819.18</v>
      </c>
    </row>
    <row r="156" spans="1:9">
      <c r="A156" s="339" t="s">
        <v>1491</v>
      </c>
      <c r="B156" s="339">
        <v>0</v>
      </c>
      <c r="C156" s="339" t="s">
        <v>1492</v>
      </c>
      <c r="D156" s="340">
        <v>0</v>
      </c>
      <c r="E156" s="340">
        <v>1714831</v>
      </c>
      <c r="F156" s="340">
        <v>0</v>
      </c>
      <c r="G156" s="340">
        <v>220376</v>
      </c>
      <c r="H156" s="340">
        <v>0</v>
      </c>
      <c r="I156" s="340">
        <v>1935207</v>
      </c>
    </row>
    <row r="157" spans="1:9">
      <c r="A157" s="339" t="s">
        <v>1495</v>
      </c>
      <c r="B157" s="339">
        <v>0</v>
      </c>
      <c r="C157" s="339" t="s">
        <v>2098</v>
      </c>
      <c r="D157" s="340">
        <v>0</v>
      </c>
      <c r="E157" s="340">
        <v>243684.46</v>
      </c>
      <c r="F157" s="340">
        <v>0</v>
      </c>
      <c r="G157" s="340">
        <v>26083.46</v>
      </c>
      <c r="H157" s="340">
        <v>0</v>
      </c>
      <c r="I157" s="340">
        <v>269767.92</v>
      </c>
    </row>
    <row r="158" spans="1:9">
      <c r="A158" s="339" t="s">
        <v>1502</v>
      </c>
      <c r="B158" s="339">
        <v>0</v>
      </c>
      <c r="C158" s="339" t="s">
        <v>2099</v>
      </c>
      <c r="D158" s="340">
        <v>0</v>
      </c>
      <c r="E158" s="340">
        <v>370758.42</v>
      </c>
      <c r="F158" s="340">
        <v>182775.82</v>
      </c>
      <c r="G158" s="340">
        <v>50126.19</v>
      </c>
      <c r="H158" s="340">
        <v>19410.72</v>
      </c>
      <c r="I158" s="340">
        <v>218698.07</v>
      </c>
    </row>
    <row r="159" spans="1:9">
      <c r="A159" s="339" t="s">
        <v>1497</v>
      </c>
      <c r="B159" s="339">
        <v>0</v>
      </c>
      <c r="C159" s="339" t="s">
        <v>2100</v>
      </c>
      <c r="D159" s="340">
        <v>0</v>
      </c>
      <c r="E159" s="340">
        <v>53908.4</v>
      </c>
      <c r="F159" s="340">
        <v>3755.9</v>
      </c>
      <c r="G159" s="340">
        <v>9090</v>
      </c>
      <c r="H159" s="340">
        <v>0</v>
      </c>
      <c r="I159" s="340">
        <v>59242.5</v>
      </c>
    </row>
    <row r="160" spans="1:9">
      <c r="A160" s="339" t="s">
        <v>1500</v>
      </c>
      <c r="B160" s="339">
        <v>0</v>
      </c>
      <c r="C160" s="339" t="s">
        <v>2101</v>
      </c>
      <c r="D160" s="340">
        <v>0</v>
      </c>
      <c r="E160" s="340">
        <v>481027.46</v>
      </c>
      <c r="F160" s="340">
        <v>239029.2</v>
      </c>
      <c r="G160" s="340">
        <v>57495.8</v>
      </c>
      <c r="H160" s="340">
        <v>22869</v>
      </c>
      <c r="I160" s="340">
        <v>276625.06</v>
      </c>
    </row>
    <row r="161" spans="1:9">
      <c r="A161" s="339" t="s">
        <v>1504</v>
      </c>
      <c r="B161" s="339">
        <v>0</v>
      </c>
      <c r="C161" s="339" t="s">
        <v>2102</v>
      </c>
      <c r="D161" s="340">
        <v>0</v>
      </c>
      <c r="E161" s="340">
        <v>324605.32</v>
      </c>
      <c r="F161" s="340">
        <v>2539498.5</v>
      </c>
      <c r="G161" s="340">
        <v>46043.77</v>
      </c>
      <c r="H161" s="340">
        <v>337328.58</v>
      </c>
      <c r="I161" s="340">
        <v>-2506177.9900000002</v>
      </c>
    </row>
    <row r="162" spans="1:9">
      <c r="A162" s="339" t="s">
        <v>1512</v>
      </c>
      <c r="B162" s="339">
        <v>0</v>
      </c>
      <c r="C162" s="339" t="s">
        <v>2103</v>
      </c>
      <c r="D162" s="340">
        <v>0</v>
      </c>
      <c r="E162" s="340">
        <v>186028.04</v>
      </c>
      <c r="F162" s="340">
        <v>190777.62</v>
      </c>
      <c r="G162" s="340">
        <v>18022.96</v>
      </c>
      <c r="H162" s="340">
        <v>19901.13</v>
      </c>
      <c r="I162" s="340">
        <v>-6627.75</v>
      </c>
    </row>
    <row r="163" spans="1:9">
      <c r="A163" s="339" t="s">
        <v>1514</v>
      </c>
      <c r="B163" s="339">
        <v>0</v>
      </c>
      <c r="C163" s="339" t="s">
        <v>2104</v>
      </c>
      <c r="D163" s="340">
        <v>0</v>
      </c>
      <c r="E163" s="340">
        <v>114950.07</v>
      </c>
      <c r="F163" s="340">
        <v>123098.55</v>
      </c>
      <c r="G163" s="340">
        <v>10206.02</v>
      </c>
      <c r="H163" s="340">
        <v>9037.5</v>
      </c>
      <c r="I163" s="340">
        <v>-6979.96</v>
      </c>
    </row>
    <row r="164" spans="1:9">
      <c r="A164" s="339" t="s">
        <v>1516</v>
      </c>
      <c r="B164" s="339">
        <v>0</v>
      </c>
      <c r="C164" s="339" t="s">
        <v>2105</v>
      </c>
      <c r="D164" s="340">
        <v>0</v>
      </c>
      <c r="E164" s="340">
        <v>530382.52</v>
      </c>
      <c r="F164" s="340">
        <v>763196.78</v>
      </c>
      <c r="G164" s="340">
        <v>69652.89</v>
      </c>
      <c r="H164" s="340">
        <v>88670</v>
      </c>
      <c r="I164" s="340">
        <v>-251831.37</v>
      </c>
    </row>
    <row r="165" spans="1:9">
      <c r="A165" s="339" t="s">
        <v>1521</v>
      </c>
      <c r="B165" s="339">
        <v>0</v>
      </c>
      <c r="C165" s="339" t="s">
        <v>2106</v>
      </c>
      <c r="D165" s="340">
        <v>0</v>
      </c>
      <c r="E165" s="340">
        <v>621865.48</v>
      </c>
      <c r="F165" s="340">
        <v>617918.03</v>
      </c>
      <c r="G165" s="340">
        <v>117416.74</v>
      </c>
      <c r="H165" s="340">
        <v>90580.25</v>
      </c>
      <c r="I165" s="340">
        <v>30783.94</v>
      </c>
    </row>
    <row r="166" spans="1:9">
      <c r="A166" s="339" t="s">
        <v>1524</v>
      </c>
      <c r="B166" s="339">
        <v>0</v>
      </c>
      <c r="C166" s="339" t="s">
        <v>2107</v>
      </c>
      <c r="D166" s="340">
        <v>0</v>
      </c>
      <c r="E166" s="340">
        <v>1008056.58</v>
      </c>
      <c r="F166" s="340">
        <v>1008056.58</v>
      </c>
      <c r="G166" s="340">
        <v>32819.019999999997</v>
      </c>
      <c r="H166" s="340">
        <v>32819.019999999997</v>
      </c>
      <c r="I166" s="340">
        <v>0</v>
      </c>
    </row>
    <row r="167" spans="1:9">
      <c r="A167" s="339" t="s">
        <v>1526</v>
      </c>
      <c r="B167" s="339">
        <v>0</v>
      </c>
      <c r="C167" s="339" t="s">
        <v>2108</v>
      </c>
      <c r="D167" s="340">
        <v>0</v>
      </c>
      <c r="E167" s="340">
        <v>11730.99</v>
      </c>
      <c r="F167" s="340">
        <v>2396.83</v>
      </c>
      <c r="G167" s="340">
        <v>494.85</v>
      </c>
      <c r="H167" s="340">
        <v>305.20999999999998</v>
      </c>
      <c r="I167" s="340">
        <v>9523.7999999999993</v>
      </c>
    </row>
    <row r="168" spans="1:9">
      <c r="A168" s="339" t="s">
        <v>1529</v>
      </c>
      <c r="B168" s="339">
        <v>0</v>
      </c>
      <c r="C168" s="339" t="s">
        <v>1530</v>
      </c>
      <c r="D168" s="340">
        <v>0</v>
      </c>
      <c r="E168" s="340">
        <v>704784.97</v>
      </c>
      <c r="F168" s="340">
        <v>698441.61</v>
      </c>
      <c r="G168" s="340">
        <v>262619.2</v>
      </c>
      <c r="H168" s="340">
        <v>262309.7</v>
      </c>
      <c r="I168" s="340">
        <v>6652.86</v>
      </c>
    </row>
    <row r="169" spans="1:9">
      <c r="A169" s="339" t="s">
        <v>1532</v>
      </c>
      <c r="B169" s="339">
        <v>0</v>
      </c>
      <c r="C169" s="339" t="s">
        <v>2109</v>
      </c>
      <c r="D169" s="340">
        <v>0</v>
      </c>
      <c r="E169" s="340">
        <v>0</v>
      </c>
      <c r="F169" s="340">
        <v>0</v>
      </c>
      <c r="G169" s="340">
        <v>127867.43</v>
      </c>
      <c r="H169" s="340">
        <v>0</v>
      </c>
      <c r="I169" s="340">
        <v>127867.43</v>
      </c>
    </row>
    <row r="170" spans="1:9">
      <c r="A170" s="339" t="s">
        <v>1535</v>
      </c>
      <c r="B170" s="339">
        <v>0</v>
      </c>
      <c r="C170" s="339" t="s">
        <v>2110</v>
      </c>
      <c r="D170" s="340">
        <v>0</v>
      </c>
      <c r="E170" s="340">
        <v>0</v>
      </c>
      <c r="F170" s="340">
        <v>0</v>
      </c>
      <c r="G170" s="340">
        <v>5910.11</v>
      </c>
      <c r="H170" s="340">
        <v>0</v>
      </c>
      <c r="I170" s="340">
        <v>5910.11</v>
      </c>
    </row>
    <row r="171" spans="1:9">
      <c r="A171" s="339" t="s">
        <v>1537</v>
      </c>
      <c r="B171" s="339">
        <v>0</v>
      </c>
      <c r="C171" s="339" t="s">
        <v>2111</v>
      </c>
      <c r="D171" s="340">
        <v>0</v>
      </c>
      <c r="E171" s="340">
        <v>3080842</v>
      </c>
      <c r="F171" s="340">
        <v>3080842</v>
      </c>
      <c r="G171" s="340">
        <v>171878.26</v>
      </c>
      <c r="H171" s="340">
        <v>3036516</v>
      </c>
      <c r="I171" s="340">
        <v>-2864637.74</v>
      </c>
    </row>
    <row r="172" spans="1:9">
      <c r="A172" s="339" t="s">
        <v>1540</v>
      </c>
      <c r="B172" s="339">
        <v>0</v>
      </c>
      <c r="C172" s="339" t="s">
        <v>2112</v>
      </c>
      <c r="D172" s="340">
        <v>0</v>
      </c>
      <c r="E172" s="340">
        <v>0</v>
      </c>
      <c r="F172" s="340">
        <v>1572500</v>
      </c>
      <c r="G172" s="340">
        <v>0</v>
      </c>
      <c r="H172" s="340">
        <v>0</v>
      </c>
      <c r="I172" s="340">
        <v>-1572500</v>
      </c>
    </row>
    <row r="173" spans="1:9">
      <c r="A173" s="339" t="s">
        <v>1545</v>
      </c>
      <c r="B173" s="339">
        <v>0</v>
      </c>
      <c r="C173" s="339" t="s">
        <v>2113</v>
      </c>
      <c r="D173" s="340">
        <v>0</v>
      </c>
      <c r="E173" s="340">
        <v>0</v>
      </c>
      <c r="F173" s="340">
        <v>0</v>
      </c>
      <c r="G173" s="340">
        <v>3036516</v>
      </c>
      <c r="H173" s="340">
        <v>171878.26</v>
      </c>
      <c r="I173" s="340">
        <v>2864637.74</v>
      </c>
    </row>
    <row r="174" spans="1:9">
      <c r="A174" s="339" t="s">
        <v>1550</v>
      </c>
      <c r="B174" s="339">
        <v>0</v>
      </c>
      <c r="C174" s="339" t="s">
        <v>2114</v>
      </c>
      <c r="D174" s="340">
        <v>0</v>
      </c>
      <c r="E174" s="340">
        <v>1572500</v>
      </c>
      <c r="F174" s="340">
        <v>0</v>
      </c>
      <c r="G174" s="340">
        <v>0</v>
      </c>
      <c r="H174" s="340">
        <v>0</v>
      </c>
      <c r="I174" s="340">
        <v>1572500</v>
      </c>
    </row>
    <row r="175" spans="1:9">
      <c r="A175" s="339" t="s">
        <v>1553</v>
      </c>
      <c r="B175" s="339">
        <v>0</v>
      </c>
      <c r="C175" s="339" t="s">
        <v>2115</v>
      </c>
      <c r="D175" s="340">
        <v>0</v>
      </c>
      <c r="E175" s="340">
        <v>1724833.63</v>
      </c>
      <c r="F175" s="340">
        <v>384.3</v>
      </c>
      <c r="G175" s="340">
        <v>156759.56</v>
      </c>
      <c r="H175" s="340">
        <v>128.1</v>
      </c>
      <c r="I175" s="340">
        <v>1881080.79</v>
      </c>
    </row>
    <row r="176" spans="1:9">
      <c r="A176" s="339" t="s">
        <v>1559</v>
      </c>
      <c r="B176" s="339">
        <v>0</v>
      </c>
      <c r="C176" s="339" t="s">
        <v>2116</v>
      </c>
      <c r="D176" s="340">
        <v>0</v>
      </c>
      <c r="E176" s="340">
        <v>439408.74</v>
      </c>
      <c r="F176" s="340">
        <v>6712.22</v>
      </c>
      <c r="G176" s="340">
        <v>40022.230000000003</v>
      </c>
      <c r="H176" s="340">
        <v>10837.18</v>
      </c>
      <c r="I176" s="340">
        <v>461881.57</v>
      </c>
    </row>
    <row r="177" spans="1:9">
      <c r="A177" s="339" t="s">
        <v>1562</v>
      </c>
      <c r="B177" s="339">
        <v>0</v>
      </c>
      <c r="C177" s="339" t="s">
        <v>2117</v>
      </c>
      <c r="D177" s="340">
        <v>0</v>
      </c>
      <c r="E177" s="340">
        <v>15042.87</v>
      </c>
      <c r="F177" s="340">
        <v>0</v>
      </c>
      <c r="G177" s="340">
        <v>1541.81</v>
      </c>
      <c r="H177" s="340">
        <v>0</v>
      </c>
      <c r="I177" s="340">
        <v>16584.68</v>
      </c>
    </row>
    <row r="178" spans="1:9">
      <c r="A178" s="339" t="s">
        <v>1565</v>
      </c>
      <c r="B178" s="339">
        <v>0</v>
      </c>
      <c r="C178" s="339" t="s">
        <v>2118</v>
      </c>
      <c r="D178" s="340">
        <v>0</v>
      </c>
      <c r="E178" s="340">
        <v>2512392.34</v>
      </c>
      <c r="F178" s="340">
        <v>7810.5</v>
      </c>
      <c r="G178" s="340">
        <v>294069.89</v>
      </c>
      <c r="H178" s="340">
        <v>62857.56</v>
      </c>
      <c r="I178" s="340">
        <v>2735794.17</v>
      </c>
    </row>
    <row r="179" spans="1:9">
      <c r="A179" s="339" t="s">
        <v>1568</v>
      </c>
      <c r="B179" s="339">
        <v>0</v>
      </c>
      <c r="C179" s="339" t="s">
        <v>2119</v>
      </c>
      <c r="D179" s="340">
        <v>0</v>
      </c>
      <c r="E179" s="340">
        <v>562558.25</v>
      </c>
      <c r="F179" s="340">
        <v>0</v>
      </c>
      <c r="G179" s="340">
        <v>51141.68</v>
      </c>
      <c r="H179" s="340">
        <v>0</v>
      </c>
      <c r="I179" s="340">
        <v>613699.93000000005</v>
      </c>
    </row>
    <row r="180" spans="1:9">
      <c r="A180" s="339" t="s">
        <v>1571</v>
      </c>
      <c r="B180" s="339">
        <v>0</v>
      </c>
      <c r="C180" s="339" t="s">
        <v>2120</v>
      </c>
      <c r="D180" s="340">
        <v>0</v>
      </c>
      <c r="E180" s="340">
        <v>677937.55</v>
      </c>
      <c r="F180" s="340">
        <v>0</v>
      </c>
      <c r="G180" s="340">
        <v>61599.62</v>
      </c>
      <c r="H180" s="340">
        <v>0</v>
      </c>
      <c r="I180" s="340">
        <v>739537.17</v>
      </c>
    </row>
    <row r="181" spans="1:9">
      <c r="A181" s="339" t="s">
        <v>1574</v>
      </c>
      <c r="B181" s="339">
        <v>0</v>
      </c>
      <c r="C181" s="339" t="s">
        <v>2121</v>
      </c>
      <c r="D181" s="340">
        <v>0</v>
      </c>
      <c r="E181" s="340">
        <v>56165.8</v>
      </c>
      <c r="F181" s="340">
        <v>0</v>
      </c>
      <c r="G181" s="340">
        <v>5105.99</v>
      </c>
      <c r="H181" s="340">
        <v>0</v>
      </c>
      <c r="I181" s="340">
        <v>61271.79</v>
      </c>
    </row>
    <row r="182" spans="1:9">
      <c r="A182" s="339" t="s">
        <v>1577</v>
      </c>
      <c r="B182" s="339">
        <v>0</v>
      </c>
      <c r="C182" s="339" t="s">
        <v>2122</v>
      </c>
      <c r="D182" s="340">
        <v>0</v>
      </c>
      <c r="E182" s="340">
        <v>375292.62</v>
      </c>
      <c r="F182" s="340">
        <v>0</v>
      </c>
      <c r="G182" s="340">
        <v>34117.53</v>
      </c>
      <c r="H182" s="340">
        <v>0</v>
      </c>
      <c r="I182" s="340">
        <v>409410.15</v>
      </c>
    </row>
    <row r="183" spans="1:9">
      <c r="A183" s="339" t="s">
        <v>1580</v>
      </c>
      <c r="B183" s="339">
        <v>0</v>
      </c>
      <c r="C183" s="339" t="s">
        <v>2123</v>
      </c>
      <c r="D183" s="340">
        <v>0</v>
      </c>
      <c r="E183" s="340">
        <v>5093275.8899999997</v>
      </c>
      <c r="F183" s="340">
        <v>392749.78</v>
      </c>
      <c r="G183" s="340">
        <v>536219.61</v>
      </c>
      <c r="H183" s="340">
        <v>273777.52</v>
      </c>
      <c r="I183" s="340">
        <v>4962968.2</v>
      </c>
    </row>
    <row r="184" spans="1:9">
      <c r="A184" s="339" t="s">
        <v>1595</v>
      </c>
      <c r="B184" s="339">
        <v>0</v>
      </c>
      <c r="C184" s="339" t="s">
        <v>2124</v>
      </c>
      <c r="D184" s="340">
        <v>0</v>
      </c>
      <c r="E184" s="340">
        <v>191739.98</v>
      </c>
      <c r="F184" s="340">
        <v>0</v>
      </c>
      <c r="G184" s="340">
        <v>16143.27</v>
      </c>
      <c r="H184" s="340">
        <v>0</v>
      </c>
      <c r="I184" s="340">
        <v>207883.25</v>
      </c>
    </row>
    <row r="185" spans="1:9">
      <c r="A185" s="339" t="s">
        <v>1597</v>
      </c>
      <c r="B185" s="339">
        <v>0</v>
      </c>
      <c r="C185" s="339" t="s">
        <v>2125</v>
      </c>
      <c r="D185" s="340">
        <v>0</v>
      </c>
      <c r="E185" s="340">
        <v>10020053.890000001</v>
      </c>
      <c r="F185" s="340">
        <v>4971776.9400000004</v>
      </c>
      <c r="G185" s="340">
        <v>1979846.82</v>
      </c>
      <c r="H185" s="340">
        <v>1583876.73</v>
      </c>
      <c r="I185" s="340">
        <v>5444247.04</v>
      </c>
    </row>
    <row r="186" spans="1:9">
      <c r="A186" s="339" t="s">
        <v>1599</v>
      </c>
      <c r="B186" s="339">
        <v>0</v>
      </c>
      <c r="C186" s="339" t="s">
        <v>2126</v>
      </c>
      <c r="D186" s="340">
        <v>0</v>
      </c>
      <c r="E186" s="340">
        <v>205624.9</v>
      </c>
      <c r="F186" s="340">
        <v>0</v>
      </c>
      <c r="G186" s="340">
        <v>272930.96999999997</v>
      </c>
      <c r="H186" s="340">
        <v>223525.87</v>
      </c>
      <c r="I186" s="340">
        <v>255030</v>
      </c>
    </row>
    <row r="187" spans="1:9">
      <c r="A187" s="339" t="s">
        <v>1601</v>
      </c>
      <c r="B187" s="339">
        <v>0</v>
      </c>
      <c r="C187" s="339" t="s">
        <v>2127</v>
      </c>
      <c r="D187" s="340">
        <v>0</v>
      </c>
      <c r="E187" s="340">
        <v>333837.02</v>
      </c>
      <c r="F187" s="340">
        <v>0</v>
      </c>
      <c r="G187" s="340">
        <v>38628.86</v>
      </c>
      <c r="H187" s="340">
        <v>0</v>
      </c>
      <c r="I187" s="340">
        <v>372465.88</v>
      </c>
    </row>
    <row r="188" spans="1:9">
      <c r="A188" s="339" t="s">
        <v>1604</v>
      </c>
      <c r="B188" s="339">
        <v>0</v>
      </c>
      <c r="C188" s="339" t="s">
        <v>2128</v>
      </c>
      <c r="D188" s="340">
        <v>0</v>
      </c>
      <c r="E188" s="340">
        <v>1187711.2</v>
      </c>
      <c r="F188" s="340">
        <v>0</v>
      </c>
      <c r="G188" s="340">
        <v>100737.52</v>
      </c>
      <c r="H188" s="340">
        <v>0</v>
      </c>
      <c r="I188" s="340">
        <v>1288448.72</v>
      </c>
    </row>
    <row r="189" spans="1:9">
      <c r="A189" s="339" t="s">
        <v>1606</v>
      </c>
      <c r="B189" s="339">
        <v>0</v>
      </c>
      <c r="C189" s="339" t="s">
        <v>2129</v>
      </c>
      <c r="D189" s="340">
        <v>0</v>
      </c>
      <c r="E189" s="340">
        <v>59195.12</v>
      </c>
      <c r="F189" s="340">
        <v>0</v>
      </c>
      <c r="G189" s="340">
        <v>3100</v>
      </c>
      <c r="H189" s="340">
        <v>0</v>
      </c>
      <c r="I189" s="340">
        <v>62295.12</v>
      </c>
    </row>
    <row r="190" spans="1:9">
      <c r="A190" s="339" t="s">
        <v>1610</v>
      </c>
      <c r="B190" s="339">
        <v>0</v>
      </c>
      <c r="C190" s="339" t="s">
        <v>2130</v>
      </c>
      <c r="D190" s="340">
        <v>0</v>
      </c>
      <c r="E190" s="340">
        <v>8032</v>
      </c>
      <c r="F190" s="340">
        <v>2366</v>
      </c>
      <c r="G190" s="340">
        <v>0</v>
      </c>
      <c r="H190" s="340">
        <v>0</v>
      </c>
      <c r="I190" s="340">
        <v>5666</v>
      </c>
    </row>
    <row r="191" spans="1:9">
      <c r="A191" s="339" t="s">
        <v>1612</v>
      </c>
      <c r="B191" s="339">
        <v>0</v>
      </c>
      <c r="C191" s="339" t="s">
        <v>2131</v>
      </c>
      <c r="D191" s="340">
        <v>0</v>
      </c>
      <c r="E191" s="340">
        <v>273582.71000000002</v>
      </c>
      <c r="F191" s="340">
        <v>130929.68</v>
      </c>
      <c r="G191" s="340">
        <v>26783.21</v>
      </c>
      <c r="H191" s="340">
        <v>12016.16</v>
      </c>
      <c r="I191" s="340">
        <v>157420.07999999999</v>
      </c>
    </row>
    <row r="192" spans="1:9">
      <c r="A192" s="339" t="s">
        <v>1615</v>
      </c>
      <c r="B192" s="339">
        <v>0</v>
      </c>
      <c r="C192" s="339" t="s">
        <v>2132</v>
      </c>
      <c r="D192" s="340">
        <v>0</v>
      </c>
      <c r="E192" s="340">
        <v>9433.9599999999991</v>
      </c>
      <c r="F192" s="340">
        <v>9432.98</v>
      </c>
      <c r="G192" s="340">
        <v>13584.91</v>
      </c>
      <c r="H192" s="340">
        <v>0</v>
      </c>
      <c r="I192" s="340">
        <v>13585.89</v>
      </c>
    </row>
    <row r="193" spans="1:9">
      <c r="A193" s="339" t="s">
        <v>1619</v>
      </c>
      <c r="B193" s="339">
        <v>0</v>
      </c>
      <c r="C193" s="339" t="s">
        <v>2133</v>
      </c>
      <c r="D193" s="340">
        <v>0</v>
      </c>
      <c r="E193" s="340">
        <v>240274.12</v>
      </c>
      <c r="F193" s="340">
        <v>36926.660000000003</v>
      </c>
      <c r="G193" s="340">
        <v>3450</v>
      </c>
      <c r="H193" s="340">
        <v>0</v>
      </c>
      <c r="I193" s="340">
        <v>206797.46</v>
      </c>
    </row>
    <row r="194" spans="1:9">
      <c r="A194" s="339" t="s">
        <v>1623</v>
      </c>
      <c r="B194" s="339">
        <v>0</v>
      </c>
      <c r="C194" s="339" t="s">
        <v>2134</v>
      </c>
      <c r="D194" s="340">
        <v>0</v>
      </c>
      <c r="E194" s="340">
        <v>343878.43</v>
      </c>
      <c r="F194" s="340">
        <v>155492.01999999999</v>
      </c>
      <c r="G194" s="340">
        <v>37129.78</v>
      </c>
      <c r="H194" s="340">
        <v>18910.16</v>
      </c>
      <c r="I194" s="340">
        <v>206606.03</v>
      </c>
    </row>
    <row r="195" spans="1:9">
      <c r="A195" s="339" t="s">
        <v>1626</v>
      </c>
      <c r="B195" s="339">
        <v>0</v>
      </c>
      <c r="C195" s="339" t="s">
        <v>2135</v>
      </c>
      <c r="D195" s="340">
        <v>0</v>
      </c>
      <c r="E195" s="340">
        <v>308776.02</v>
      </c>
      <c r="F195" s="340">
        <v>125090.02</v>
      </c>
      <c r="G195" s="340">
        <v>8870.26</v>
      </c>
      <c r="H195" s="340">
        <v>0</v>
      </c>
      <c r="I195" s="340">
        <v>192556.26</v>
      </c>
    </row>
    <row r="196" spans="1:9">
      <c r="A196" s="339" t="s">
        <v>1628</v>
      </c>
      <c r="B196" s="339">
        <v>0</v>
      </c>
      <c r="C196" s="339" t="s">
        <v>2136</v>
      </c>
      <c r="D196" s="340">
        <v>0</v>
      </c>
      <c r="E196" s="340">
        <v>172599.11</v>
      </c>
      <c r="F196" s="340">
        <v>36822.400000000001</v>
      </c>
      <c r="G196" s="340">
        <v>11210</v>
      </c>
      <c r="H196" s="340">
        <v>0</v>
      </c>
      <c r="I196" s="340">
        <v>146986.71</v>
      </c>
    </row>
    <row r="197" spans="1:9">
      <c r="A197" s="339" t="s">
        <v>1630</v>
      </c>
      <c r="B197" s="339">
        <v>0</v>
      </c>
      <c r="C197" s="339" t="s">
        <v>2137</v>
      </c>
      <c r="D197" s="340">
        <v>0</v>
      </c>
      <c r="E197" s="340">
        <v>42855.73</v>
      </c>
      <c r="F197" s="340">
        <v>12296.43</v>
      </c>
      <c r="G197" s="340">
        <v>9476.44</v>
      </c>
      <c r="H197" s="340">
        <v>0</v>
      </c>
      <c r="I197" s="340">
        <v>40035.74</v>
      </c>
    </row>
    <row r="198" spans="1:9">
      <c r="A198" s="339" t="s">
        <v>1639</v>
      </c>
      <c r="B198" s="339">
        <v>0</v>
      </c>
      <c r="C198" s="339" t="s">
        <v>2138</v>
      </c>
      <c r="D198" s="340">
        <v>0</v>
      </c>
      <c r="E198" s="340">
        <v>6462370.9900000002</v>
      </c>
      <c r="F198" s="340">
        <v>499070.74</v>
      </c>
      <c r="G198" s="340">
        <v>1198196.8799999999</v>
      </c>
      <c r="H198" s="340">
        <v>2152478.0099999998</v>
      </c>
      <c r="I198" s="340">
        <v>5009019.12</v>
      </c>
    </row>
    <row r="199" spans="1:9">
      <c r="A199" s="339" t="s">
        <v>1642</v>
      </c>
      <c r="B199" s="339">
        <v>0</v>
      </c>
      <c r="C199" s="339" t="s">
        <v>2139</v>
      </c>
      <c r="D199" s="340">
        <v>0</v>
      </c>
      <c r="E199" s="340">
        <v>81146.63</v>
      </c>
      <c r="F199" s="340">
        <v>28534.42</v>
      </c>
      <c r="G199" s="340">
        <v>10573.06</v>
      </c>
      <c r="H199" s="340">
        <v>5286.53</v>
      </c>
      <c r="I199" s="340">
        <v>57898.74</v>
      </c>
    </row>
    <row r="200" spans="1:9">
      <c r="A200" s="339" t="s">
        <v>1650</v>
      </c>
      <c r="B200" s="339">
        <v>0</v>
      </c>
      <c r="C200" s="339" t="s">
        <v>2140</v>
      </c>
      <c r="D200" s="340">
        <v>0</v>
      </c>
      <c r="E200" s="340">
        <v>361730.46</v>
      </c>
      <c r="F200" s="340">
        <v>199775.94</v>
      </c>
      <c r="G200" s="340">
        <v>96588.08</v>
      </c>
      <c r="H200" s="340">
        <v>65188</v>
      </c>
      <c r="I200" s="340">
        <v>193354.6</v>
      </c>
    </row>
    <row r="201" spans="1:9">
      <c r="A201" s="339" t="s">
        <v>1653</v>
      </c>
      <c r="B201" s="339">
        <v>0</v>
      </c>
      <c r="C201" s="339" t="s">
        <v>2141</v>
      </c>
      <c r="D201" s="340">
        <v>0</v>
      </c>
      <c r="E201" s="340">
        <v>1240302.3999999999</v>
      </c>
      <c r="F201" s="340">
        <v>640000</v>
      </c>
      <c r="G201" s="340">
        <v>198349.28</v>
      </c>
      <c r="H201" s="340">
        <v>125000</v>
      </c>
      <c r="I201" s="340">
        <v>673651.68</v>
      </c>
    </row>
    <row r="202" spans="1:9">
      <c r="A202" s="339" t="s">
        <v>1655</v>
      </c>
      <c r="B202" s="339">
        <v>0</v>
      </c>
      <c r="C202" s="339" t="s">
        <v>2142</v>
      </c>
      <c r="D202" s="340">
        <v>0</v>
      </c>
      <c r="E202" s="340">
        <v>395797.29</v>
      </c>
      <c r="F202" s="340">
        <v>167101.28</v>
      </c>
      <c r="G202" s="340">
        <v>111796.81</v>
      </c>
      <c r="H202" s="340">
        <v>92669.81</v>
      </c>
      <c r="I202" s="340">
        <v>247823.01</v>
      </c>
    </row>
    <row r="203" spans="1:9">
      <c r="A203" s="339" t="s">
        <v>1657</v>
      </c>
      <c r="B203" s="339">
        <v>0</v>
      </c>
      <c r="C203" s="339" t="s">
        <v>2143</v>
      </c>
      <c r="D203" s="340">
        <v>0</v>
      </c>
      <c r="E203" s="340">
        <v>9241.82</v>
      </c>
      <c r="F203" s="340">
        <v>1866.6</v>
      </c>
      <c r="G203" s="340">
        <v>2061.04</v>
      </c>
      <c r="H203" s="340">
        <v>3533.4</v>
      </c>
      <c r="I203" s="340">
        <v>5902.86</v>
      </c>
    </row>
    <row r="204" spans="1:9">
      <c r="A204" s="339" t="s">
        <v>1660</v>
      </c>
      <c r="B204" s="339">
        <v>0</v>
      </c>
      <c r="C204" s="339" t="s">
        <v>2144</v>
      </c>
      <c r="D204" s="340">
        <v>0</v>
      </c>
      <c r="E204" s="340">
        <v>118952.51</v>
      </c>
      <c r="F204" s="340">
        <v>13774</v>
      </c>
      <c r="G204" s="340">
        <v>36561.94</v>
      </c>
      <c r="H204" s="340">
        <v>35976.1</v>
      </c>
      <c r="I204" s="340">
        <v>105764.35</v>
      </c>
    </row>
    <row r="205" spans="1:9">
      <c r="A205" s="339" t="s">
        <v>1663</v>
      </c>
      <c r="B205" s="339">
        <v>0</v>
      </c>
      <c r="C205" s="339" t="s">
        <v>2145</v>
      </c>
      <c r="D205" s="340">
        <v>0</v>
      </c>
      <c r="E205" s="340">
        <v>157457.9</v>
      </c>
      <c r="F205" s="340">
        <v>70813.350000000006</v>
      </c>
      <c r="G205" s="340">
        <v>53757.52</v>
      </c>
      <c r="H205" s="340">
        <v>7940.72</v>
      </c>
      <c r="I205" s="340">
        <v>132461.35</v>
      </c>
    </row>
    <row r="206" spans="1:9">
      <c r="A206" s="339" t="s">
        <v>1665</v>
      </c>
      <c r="B206" s="339">
        <v>0</v>
      </c>
      <c r="C206" s="339" t="s">
        <v>2146</v>
      </c>
      <c r="D206" s="340">
        <v>0</v>
      </c>
      <c r="E206" s="340">
        <v>12164.3</v>
      </c>
      <c r="F206" s="340">
        <v>2500</v>
      </c>
      <c r="G206" s="340">
        <v>0</v>
      </c>
      <c r="H206" s="340">
        <v>0</v>
      </c>
      <c r="I206" s="340">
        <v>9664.2999999999993</v>
      </c>
    </row>
    <row r="207" spans="1:9">
      <c r="A207" s="339" t="s">
        <v>1667</v>
      </c>
      <c r="B207" s="339">
        <v>0</v>
      </c>
      <c r="C207" s="339" t="s">
        <v>2147</v>
      </c>
      <c r="D207" s="340">
        <v>0</v>
      </c>
      <c r="E207" s="340">
        <v>405200.37</v>
      </c>
      <c r="F207" s="340">
        <v>159002.04</v>
      </c>
      <c r="G207" s="340">
        <v>0</v>
      </c>
      <c r="H207" s="340">
        <v>0</v>
      </c>
      <c r="I207" s="340">
        <v>246198.33</v>
      </c>
    </row>
    <row r="208" spans="1:9">
      <c r="A208" s="339" t="s">
        <v>1669</v>
      </c>
      <c r="B208" s="339">
        <v>0</v>
      </c>
      <c r="C208" s="339" t="s">
        <v>2148</v>
      </c>
      <c r="D208" s="340">
        <v>0</v>
      </c>
      <c r="E208" s="340">
        <v>71237.38</v>
      </c>
      <c r="F208" s="340">
        <v>35635.25</v>
      </c>
      <c r="G208" s="340">
        <v>5374.05</v>
      </c>
      <c r="H208" s="340">
        <v>562.73</v>
      </c>
      <c r="I208" s="340">
        <v>40413.449999999997</v>
      </c>
    </row>
    <row r="209" spans="1:9">
      <c r="A209" s="339" t="s">
        <v>1671</v>
      </c>
      <c r="B209" s="339">
        <v>0</v>
      </c>
      <c r="C209" s="339" t="s">
        <v>2149</v>
      </c>
      <c r="D209" s="340">
        <v>0</v>
      </c>
      <c r="E209" s="340">
        <v>116500</v>
      </c>
      <c r="F209" s="340">
        <v>63000</v>
      </c>
      <c r="G209" s="340">
        <v>36000</v>
      </c>
      <c r="H209" s="340">
        <v>36000</v>
      </c>
      <c r="I209" s="340">
        <v>53500</v>
      </c>
    </row>
    <row r="210" spans="1:9">
      <c r="A210" s="339" t="s">
        <v>1673</v>
      </c>
      <c r="B210" s="339">
        <v>0</v>
      </c>
      <c r="C210" s="339" t="s">
        <v>2150</v>
      </c>
      <c r="D210" s="340">
        <v>0</v>
      </c>
      <c r="E210" s="340">
        <v>554092.38</v>
      </c>
      <c r="F210" s="340">
        <v>317152.44</v>
      </c>
      <c r="G210" s="340">
        <v>38934.480000000003</v>
      </c>
      <c r="H210" s="340">
        <v>12818.08</v>
      </c>
      <c r="I210" s="340">
        <v>263056.34000000003</v>
      </c>
    </row>
    <row r="211" spans="1:9">
      <c r="A211" s="339" t="s">
        <v>1676</v>
      </c>
      <c r="B211" s="339">
        <v>0</v>
      </c>
      <c r="C211" s="339" t="s">
        <v>2151</v>
      </c>
      <c r="D211" s="340">
        <v>0</v>
      </c>
      <c r="E211" s="340">
        <v>23214.76</v>
      </c>
      <c r="F211" s="340">
        <v>15064.76</v>
      </c>
      <c r="G211" s="340">
        <v>3229</v>
      </c>
      <c r="H211" s="340">
        <v>3250</v>
      </c>
      <c r="I211" s="340">
        <v>8129</v>
      </c>
    </row>
    <row r="212" spans="1:9">
      <c r="A212" s="339" t="s">
        <v>1682</v>
      </c>
      <c r="B212" s="339">
        <v>0</v>
      </c>
      <c r="C212" s="339" t="s">
        <v>2152</v>
      </c>
      <c r="D212" s="340">
        <v>0</v>
      </c>
      <c r="E212" s="340">
        <v>1028151.17</v>
      </c>
      <c r="F212" s="340">
        <v>598847.22</v>
      </c>
      <c r="G212" s="340">
        <v>195739.55</v>
      </c>
      <c r="H212" s="340">
        <v>55304.11</v>
      </c>
      <c r="I212" s="340">
        <v>569739.39</v>
      </c>
    </row>
    <row r="213" spans="1:9">
      <c r="A213" s="339" t="s">
        <v>1686</v>
      </c>
      <c r="B213" s="339">
        <v>0</v>
      </c>
      <c r="C213" s="339" t="s">
        <v>2153</v>
      </c>
      <c r="D213" s="340">
        <v>0</v>
      </c>
      <c r="E213" s="340">
        <v>27636.19</v>
      </c>
      <c r="F213" s="340">
        <v>13870.06</v>
      </c>
      <c r="G213" s="340">
        <v>8194.86</v>
      </c>
      <c r="H213" s="340">
        <v>0</v>
      </c>
      <c r="I213" s="340">
        <v>21960.99</v>
      </c>
    </row>
    <row r="214" spans="1:9">
      <c r="A214" s="339" t="s">
        <v>1689</v>
      </c>
      <c r="B214" s="339">
        <v>0</v>
      </c>
      <c r="C214" s="339" t="s">
        <v>2154</v>
      </c>
      <c r="D214" s="340">
        <v>0</v>
      </c>
      <c r="E214" s="340">
        <v>66080.28</v>
      </c>
      <c r="F214" s="340">
        <v>23000</v>
      </c>
      <c r="G214" s="340">
        <v>0</v>
      </c>
      <c r="H214" s="340">
        <v>0</v>
      </c>
      <c r="I214" s="340">
        <v>43080.28</v>
      </c>
    </row>
    <row r="215" spans="1:9">
      <c r="A215" s="339" t="s">
        <v>1691</v>
      </c>
      <c r="B215" s="339">
        <v>0</v>
      </c>
      <c r="C215" s="339" t="s">
        <v>2155</v>
      </c>
      <c r="D215" s="340">
        <v>0</v>
      </c>
      <c r="E215" s="340">
        <v>3326.55</v>
      </c>
      <c r="F215" s="340">
        <v>3326.55</v>
      </c>
      <c r="G215" s="340">
        <v>206.61</v>
      </c>
      <c r="H215" s="340">
        <v>206.61</v>
      </c>
      <c r="I215" s="340">
        <v>0</v>
      </c>
    </row>
    <row r="216" spans="1:9">
      <c r="A216" s="339" t="s">
        <v>1679</v>
      </c>
      <c r="B216" s="339">
        <v>0</v>
      </c>
      <c r="C216" s="339" t="s">
        <v>2156</v>
      </c>
      <c r="D216" s="340">
        <v>0</v>
      </c>
      <c r="E216" s="340">
        <v>57606.09</v>
      </c>
      <c r="F216" s="340">
        <v>10177.43</v>
      </c>
      <c r="G216" s="340">
        <v>0</v>
      </c>
      <c r="H216" s="340">
        <v>0</v>
      </c>
      <c r="I216" s="340">
        <v>47428.66</v>
      </c>
    </row>
    <row r="217" spans="1:9">
      <c r="A217" s="339" t="s">
        <v>1696</v>
      </c>
      <c r="B217" s="339">
        <v>0</v>
      </c>
      <c r="C217" s="339" t="s">
        <v>2157</v>
      </c>
      <c r="D217" s="340">
        <v>0</v>
      </c>
      <c r="E217" s="340">
        <v>426968.08</v>
      </c>
      <c r="F217" s="340">
        <v>196563.92</v>
      </c>
      <c r="G217" s="340">
        <v>17512.32</v>
      </c>
      <c r="H217" s="340">
        <v>17512.32</v>
      </c>
      <c r="I217" s="340">
        <v>230404.16</v>
      </c>
    </row>
    <row r="218" spans="1:9">
      <c r="A218" s="339" t="s">
        <v>1699</v>
      </c>
      <c r="B218" s="339">
        <v>0</v>
      </c>
      <c r="C218" s="339" t="s">
        <v>2158</v>
      </c>
      <c r="D218" s="340">
        <v>0</v>
      </c>
      <c r="E218" s="340">
        <v>227738.56</v>
      </c>
      <c r="F218" s="340">
        <v>202673.56</v>
      </c>
      <c r="G218" s="340">
        <v>17512.32</v>
      </c>
      <c r="H218" s="340">
        <v>17512.32</v>
      </c>
      <c r="I218" s="340">
        <v>25065</v>
      </c>
    </row>
    <row r="219" spans="1:9">
      <c r="A219" s="339" t="s">
        <v>1707</v>
      </c>
      <c r="B219" s="339">
        <v>0</v>
      </c>
      <c r="C219" s="339" t="s">
        <v>2159</v>
      </c>
      <c r="D219" s="340">
        <v>0</v>
      </c>
      <c r="E219" s="340">
        <v>242394.73</v>
      </c>
      <c r="F219" s="340">
        <v>10885.13</v>
      </c>
      <c r="G219" s="340">
        <v>-68811.17</v>
      </c>
      <c r="H219" s="340">
        <v>0</v>
      </c>
      <c r="I219" s="340">
        <v>162698.43</v>
      </c>
    </row>
    <row r="220" spans="1:9">
      <c r="A220" s="339" t="s">
        <v>1710</v>
      </c>
      <c r="B220" s="339">
        <v>0</v>
      </c>
      <c r="C220" s="339" t="s">
        <v>2160</v>
      </c>
      <c r="D220" s="340">
        <v>0</v>
      </c>
      <c r="E220" s="340">
        <v>0</v>
      </c>
      <c r="F220" s="340">
        <v>-175945.61</v>
      </c>
      <c r="G220" s="340">
        <v>0</v>
      </c>
      <c r="H220" s="340">
        <v>280744.06</v>
      </c>
      <c r="I220" s="340">
        <v>-104798.45</v>
      </c>
    </row>
    <row r="221" spans="1:9">
      <c r="A221" s="339" t="s">
        <v>1712</v>
      </c>
      <c r="B221" s="339">
        <v>0</v>
      </c>
      <c r="C221" s="339" t="s">
        <v>2161</v>
      </c>
      <c r="D221" s="340">
        <v>0</v>
      </c>
      <c r="E221" s="340">
        <v>464468.68</v>
      </c>
      <c r="F221" s="340">
        <v>300</v>
      </c>
      <c r="G221" s="340">
        <v>49364.31</v>
      </c>
      <c r="H221" s="340">
        <v>10351</v>
      </c>
      <c r="I221" s="340">
        <v>503181.99</v>
      </c>
    </row>
    <row r="222" spans="1:9">
      <c r="A222" s="339" t="s">
        <v>1717</v>
      </c>
      <c r="B222" s="339">
        <v>0</v>
      </c>
      <c r="C222" s="339" t="s">
        <v>2162</v>
      </c>
      <c r="D222" s="340">
        <v>0</v>
      </c>
      <c r="E222" s="340">
        <v>37104.68</v>
      </c>
      <c r="F222" s="340">
        <v>0</v>
      </c>
      <c r="G222" s="340">
        <v>12413.83</v>
      </c>
      <c r="H222" s="340">
        <v>39167.51</v>
      </c>
      <c r="I222" s="340">
        <v>10351</v>
      </c>
    </row>
    <row r="223" spans="1:9">
      <c r="A223" s="339" t="s">
        <v>1715</v>
      </c>
      <c r="B223" s="339">
        <v>0</v>
      </c>
      <c r="C223" s="339" t="s">
        <v>2163</v>
      </c>
      <c r="D223" s="340">
        <v>0</v>
      </c>
      <c r="E223" s="340">
        <v>56409.31</v>
      </c>
      <c r="F223" s="340">
        <v>0</v>
      </c>
      <c r="G223" s="340">
        <v>4125.67</v>
      </c>
      <c r="H223" s="340">
        <v>0</v>
      </c>
      <c r="I223" s="340">
        <v>60534.98</v>
      </c>
    </row>
    <row r="224" spans="1:9">
      <c r="A224" s="339" t="s">
        <v>1719</v>
      </c>
      <c r="B224" s="339">
        <v>0</v>
      </c>
      <c r="C224" s="339" t="s">
        <v>2164</v>
      </c>
      <c r="D224" s="340">
        <v>0</v>
      </c>
      <c r="E224" s="340">
        <v>181264.07</v>
      </c>
      <c r="F224" s="340">
        <v>0</v>
      </c>
      <c r="G224" s="340">
        <v>8490.86</v>
      </c>
      <c r="H224" s="340">
        <v>0</v>
      </c>
      <c r="I224" s="340">
        <v>189754.93</v>
      </c>
    </row>
    <row r="225" spans="1:9">
      <c r="A225" s="339" t="s">
        <v>1722</v>
      </c>
      <c r="B225" s="339">
        <v>0</v>
      </c>
      <c r="C225" s="339" t="s">
        <v>2165</v>
      </c>
      <c r="D225" s="340">
        <v>0</v>
      </c>
      <c r="E225" s="340">
        <v>36660.79</v>
      </c>
      <c r="F225" s="340">
        <v>7397.93</v>
      </c>
      <c r="G225" s="340">
        <v>1500</v>
      </c>
      <c r="H225" s="340">
        <v>0</v>
      </c>
      <c r="I225" s="340">
        <v>30762.86</v>
      </c>
    </row>
    <row r="226" spans="1:9">
      <c r="A226" s="339" t="s">
        <v>1728</v>
      </c>
      <c r="B226" s="339">
        <v>0</v>
      </c>
      <c r="C226" s="339" t="s">
        <v>2166</v>
      </c>
      <c r="D226" s="340">
        <v>0</v>
      </c>
      <c r="E226" s="340">
        <v>22200.880000000001</v>
      </c>
      <c r="F226" s="340">
        <v>11065.82</v>
      </c>
      <c r="G226" s="340">
        <v>1052.8399999999999</v>
      </c>
      <c r="H226" s="340">
        <v>462.16</v>
      </c>
      <c r="I226" s="340">
        <v>11725.74</v>
      </c>
    </row>
    <row r="227" spans="1:9">
      <c r="A227" s="339" t="s">
        <v>1733</v>
      </c>
      <c r="B227" s="339">
        <v>0</v>
      </c>
      <c r="C227" s="339" t="s">
        <v>2167</v>
      </c>
      <c r="D227" s="340">
        <v>0</v>
      </c>
      <c r="E227" s="340">
        <v>65633.259999999995</v>
      </c>
      <c r="F227" s="340">
        <v>3350</v>
      </c>
      <c r="G227" s="340">
        <v>150</v>
      </c>
      <c r="H227" s="340">
        <v>0</v>
      </c>
      <c r="I227" s="340">
        <v>62433.26</v>
      </c>
    </row>
    <row r="228" spans="1:9">
      <c r="A228" s="339" t="s">
        <v>1735</v>
      </c>
      <c r="B228" s="339">
        <v>0</v>
      </c>
      <c r="C228" s="339" t="s">
        <v>2168</v>
      </c>
      <c r="D228" s="340">
        <v>0</v>
      </c>
      <c r="E228" s="340">
        <v>32784.06</v>
      </c>
      <c r="F228" s="340">
        <v>14679.35</v>
      </c>
      <c r="G228" s="340">
        <v>1421.47</v>
      </c>
      <c r="H228" s="340">
        <v>544.5</v>
      </c>
      <c r="I228" s="340">
        <v>18981.68</v>
      </c>
    </row>
    <row r="229" spans="1:9">
      <c r="A229" s="339" t="s">
        <v>1737</v>
      </c>
      <c r="B229" s="339">
        <v>0</v>
      </c>
      <c r="C229" s="339" t="s">
        <v>2169</v>
      </c>
      <c r="D229" s="340">
        <v>0</v>
      </c>
      <c r="E229" s="340">
        <v>5498.13</v>
      </c>
      <c r="F229" s="340">
        <v>1896</v>
      </c>
      <c r="G229" s="340">
        <v>0</v>
      </c>
      <c r="H229" s="340">
        <v>0</v>
      </c>
      <c r="I229" s="340">
        <v>3602.13</v>
      </c>
    </row>
    <row r="230" spans="1:9">
      <c r="A230" s="339" t="s">
        <v>1739</v>
      </c>
      <c r="B230" s="339">
        <v>0</v>
      </c>
      <c r="C230" s="339" t="s">
        <v>2170</v>
      </c>
      <c r="D230" s="340">
        <v>0</v>
      </c>
      <c r="E230" s="340">
        <v>27656.32</v>
      </c>
      <c r="F230" s="340">
        <v>5779.97</v>
      </c>
      <c r="G230" s="340">
        <v>0</v>
      </c>
      <c r="H230" s="340">
        <v>0</v>
      </c>
      <c r="I230" s="340">
        <v>21876.35</v>
      </c>
    </row>
    <row r="231" spans="1:9">
      <c r="A231" s="339" t="s">
        <v>1770</v>
      </c>
      <c r="B231" s="339">
        <v>0</v>
      </c>
      <c r="C231" s="339" t="s">
        <v>2171</v>
      </c>
      <c r="D231" s="340">
        <v>0</v>
      </c>
      <c r="E231" s="340">
        <v>0</v>
      </c>
      <c r="F231" s="340">
        <v>0</v>
      </c>
      <c r="G231" s="340">
        <v>5840.11</v>
      </c>
      <c r="H231" s="340">
        <v>161.58000000000001</v>
      </c>
      <c r="I231" s="340">
        <v>5678.53</v>
      </c>
    </row>
    <row r="232" spans="1:9">
      <c r="A232" s="339" t="s">
        <v>1783</v>
      </c>
      <c r="B232" s="339">
        <v>0</v>
      </c>
      <c r="C232" s="339" t="s">
        <v>2172</v>
      </c>
      <c r="D232" s="340">
        <v>0</v>
      </c>
      <c r="E232" s="340">
        <v>0</v>
      </c>
      <c r="F232" s="340">
        <v>519372.56</v>
      </c>
      <c r="G232" s="340">
        <v>0</v>
      </c>
      <c r="H232" s="340">
        <v>17512.32</v>
      </c>
      <c r="I232" s="340">
        <v>-536884.88</v>
      </c>
    </row>
    <row r="233" spans="1:9">
      <c r="A233" s="339" t="s">
        <v>1787</v>
      </c>
      <c r="B233" s="339">
        <v>0</v>
      </c>
      <c r="C233" s="339" t="s">
        <v>2173</v>
      </c>
      <c r="D233" s="340">
        <v>0</v>
      </c>
      <c r="E233" s="340">
        <v>2653.84</v>
      </c>
      <c r="F233" s="340">
        <v>371717.36</v>
      </c>
      <c r="G233" s="340">
        <v>0</v>
      </c>
      <c r="H233" s="340">
        <v>0</v>
      </c>
      <c r="I233" s="340">
        <v>-369063.52</v>
      </c>
    </row>
    <row r="234" spans="1:9">
      <c r="A234" s="339" t="s">
        <v>2174</v>
      </c>
      <c r="B234" s="339">
        <v>0</v>
      </c>
      <c r="C234" s="339" t="s">
        <v>2175</v>
      </c>
      <c r="D234" s="340">
        <v>0</v>
      </c>
      <c r="E234" s="340">
        <v>6361.6</v>
      </c>
      <c r="F234" s="340">
        <v>0</v>
      </c>
      <c r="G234" s="340">
        <v>0</v>
      </c>
      <c r="H234" s="340">
        <v>0</v>
      </c>
      <c r="I234" s="340">
        <v>6361.6</v>
      </c>
    </row>
    <row r="235" spans="1:9">
      <c r="A235" s="339" t="s">
        <v>1789</v>
      </c>
      <c r="B235" s="339">
        <v>0</v>
      </c>
      <c r="C235" s="339" t="s">
        <v>2176</v>
      </c>
      <c r="D235" s="340">
        <v>0</v>
      </c>
      <c r="E235" s="340">
        <v>1810719.92</v>
      </c>
      <c r="F235" s="340">
        <v>1700</v>
      </c>
      <c r="G235" s="340">
        <v>319527.59000000003</v>
      </c>
      <c r="H235" s="340">
        <v>211830</v>
      </c>
      <c r="I235" s="340">
        <v>1916717.51</v>
      </c>
    </row>
    <row r="236" spans="1:9">
      <c r="A236" s="339" t="s">
        <v>1795</v>
      </c>
      <c r="B236" s="339">
        <v>0</v>
      </c>
      <c r="C236" s="339" t="s">
        <v>2177</v>
      </c>
      <c r="D236" s="340">
        <v>0</v>
      </c>
      <c r="E236" s="340">
        <v>141731.51999999999</v>
      </c>
      <c r="F236" s="340">
        <v>0</v>
      </c>
      <c r="G236" s="340">
        <v>225467.41</v>
      </c>
      <c r="H236" s="340">
        <v>155368.93</v>
      </c>
      <c r="I236" s="340">
        <v>211830</v>
      </c>
    </row>
    <row r="237" spans="1:9">
      <c r="A237" s="339" t="s">
        <v>1793</v>
      </c>
      <c r="B237" s="339">
        <v>0</v>
      </c>
      <c r="C237" s="339" t="s">
        <v>2178</v>
      </c>
      <c r="D237" s="340">
        <v>0</v>
      </c>
      <c r="E237" s="340">
        <v>201638.67</v>
      </c>
      <c r="F237" s="340">
        <v>0</v>
      </c>
      <c r="G237" s="340">
        <v>27274.84</v>
      </c>
      <c r="H237" s="340">
        <v>0</v>
      </c>
      <c r="I237" s="340">
        <v>228913.51</v>
      </c>
    </row>
    <row r="238" spans="1:9">
      <c r="A238" s="339" t="s">
        <v>1797</v>
      </c>
      <c r="B238" s="339">
        <v>0</v>
      </c>
      <c r="C238" s="339" t="s">
        <v>2179</v>
      </c>
      <c r="D238" s="340">
        <v>0</v>
      </c>
      <c r="E238" s="340">
        <v>659027.47</v>
      </c>
      <c r="F238" s="340">
        <v>0</v>
      </c>
      <c r="G238" s="340">
        <v>60080.81</v>
      </c>
      <c r="H238" s="340">
        <v>0</v>
      </c>
      <c r="I238" s="340">
        <v>719108.28</v>
      </c>
    </row>
    <row r="239" spans="1:9">
      <c r="A239" s="339" t="s">
        <v>1799</v>
      </c>
      <c r="B239" s="339">
        <v>0</v>
      </c>
      <c r="C239" s="339" t="s">
        <v>2180</v>
      </c>
      <c r="D239" s="340">
        <v>0</v>
      </c>
      <c r="E239" s="340">
        <v>69251.12</v>
      </c>
      <c r="F239" s="340">
        <v>0</v>
      </c>
      <c r="G239" s="340">
        <v>6200</v>
      </c>
      <c r="H239" s="340">
        <v>0</v>
      </c>
      <c r="I239" s="340">
        <v>75451.12</v>
      </c>
    </row>
    <row r="240" spans="1:9">
      <c r="A240" s="339" t="s">
        <v>1803</v>
      </c>
      <c r="B240" s="339">
        <v>0</v>
      </c>
      <c r="C240" s="339" t="s">
        <v>2181</v>
      </c>
      <c r="D240" s="340">
        <v>0</v>
      </c>
      <c r="E240" s="340">
        <v>2411</v>
      </c>
      <c r="F240" s="340">
        <v>637</v>
      </c>
      <c r="G240" s="340">
        <v>0</v>
      </c>
      <c r="H240" s="340">
        <v>0</v>
      </c>
      <c r="I240" s="340">
        <v>1774</v>
      </c>
    </row>
    <row r="241" spans="1:9">
      <c r="A241" s="339" t="s">
        <v>1805</v>
      </c>
      <c r="B241" s="339">
        <v>0</v>
      </c>
      <c r="C241" s="339" t="s">
        <v>2182</v>
      </c>
      <c r="D241" s="340">
        <v>0</v>
      </c>
      <c r="E241" s="340">
        <v>106158.69</v>
      </c>
      <c r="F241" s="340">
        <v>51177.66</v>
      </c>
      <c r="G241" s="340">
        <v>11581.26</v>
      </c>
      <c r="H241" s="340">
        <v>5083.76</v>
      </c>
      <c r="I241" s="340">
        <v>61478.53</v>
      </c>
    </row>
    <row r="242" spans="1:9">
      <c r="A242" s="339" t="s">
        <v>1811</v>
      </c>
      <c r="B242" s="339">
        <v>0</v>
      </c>
      <c r="C242" s="339" t="s">
        <v>2183</v>
      </c>
      <c r="D242" s="340">
        <v>0</v>
      </c>
      <c r="E242" s="340">
        <v>10261.129999999999</v>
      </c>
      <c r="F242" s="340">
        <v>5280</v>
      </c>
      <c r="G242" s="340">
        <v>0</v>
      </c>
      <c r="H242" s="340">
        <v>0</v>
      </c>
      <c r="I242" s="340">
        <v>4981.13</v>
      </c>
    </row>
    <row r="243" spans="1:9">
      <c r="A243" s="339" t="s">
        <v>1813</v>
      </c>
      <c r="B243" s="339">
        <v>0</v>
      </c>
      <c r="C243" s="339" t="s">
        <v>2184</v>
      </c>
      <c r="D243" s="340">
        <v>0</v>
      </c>
      <c r="E243" s="340">
        <v>71726.02</v>
      </c>
      <c r="F243" s="340">
        <v>15999.95</v>
      </c>
      <c r="G243" s="340">
        <v>3165.09</v>
      </c>
      <c r="H243" s="340">
        <v>0</v>
      </c>
      <c r="I243" s="340">
        <v>58891.16</v>
      </c>
    </row>
    <row r="244" spans="1:9">
      <c r="A244" s="339" t="s">
        <v>1812</v>
      </c>
      <c r="B244" s="339">
        <v>0</v>
      </c>
      <c r="C244" s="339" t="s">
        <v>2185</v>
      </c>
      <c r="D244" s="340">
        <v>0</v>
      </c>
      <c r="E244" s="340">
        <v>65280</v>
      </c>
      <c r="F244" s="340">
        <v>65280</v>
      </c>
      <c r="G244" s="340">
        <v>0</v>
      </c>
      <c r="H244" s="340">
        <v>0</v>
      </c>
      <c r="I244" s="340">
        <v>0</v>
      </c>
    </row>
    <row r="245" spans="1:9">
      <c r="A245" s="339" t="s">
        <v>1815</v>
      </c>
      <c r="B245" s="339">
        <v>0</v>
      </c>
      <c r="C245" s="339" t="s">
        <v>2186</v>
      </c>
      <c r="D245" s="340">
        <v>0</v>
      </c>
      <c r="E245" s="340">
        <v>149924.07999999999</v>
      </c>
      <c r="F245" s="340">
        <v>66386.83</v>
      </c>
      <c r="G245" s="340">
        <v>17116.11</v>
      </c>
      <c r="H245" s="340">
        <v>8389.5</v>
      </c>
      <c r="I245" s="340">
        <v>92263.86</v>
      </c>
    </row>
    <row r="246" spans="1:9">
      <c r="A246" s="339" t="s">
        <v>1820</v>
      </c>
      <c r="B246" s="339">
        <v>0</v>
      </c>
      <c r="C246" s="339" t="s">
        <v>2187</v>
      </c>
      <c r="D246" s="340">
        <v>0</v>
      </c>
      <c r="E246" s="340">
        <v>22532.16</v>
      </c>
      <c r="F246" s="340">
        <v>6033.92</v>
      </c>
      <c r="G246" s="340">
        <v>0</v>
      </c>
      <c r="H246" s="340">
        <v>0</v>
      </c>
      <c r="I246" s="340">
        <v>16498.240000000002</v>
      </c>
    </row>
    <row r="247" spans="1:9">
      <c r="A247" s="339" t="s">
        <v>1822</v>
      </c>
      <c r="B247" s="339">
        <v>0</v>
      </c>
      <c r="C247" s="339" t="s">
        <v>2188</v>
      </c>
      <c r="D247" s="340">
        <v>0</v>
      </c>
      <c r="E247" s="340">
        <v>42316.02</v>
      </c>
      <c r="F247" s="340">
        <v>2894.39</v>
      </c>
      <c r="G247" s="340">
        <v>32307</v>
      </c>
      <c r="H247" s="340">
        <v>0</v>
      </c>
      <c r="I247" s="340">
        <v>71728.63</v>
      </c>
    </row>
    <row r="248" spans="1:9">
      <c r="A248" s="339" t="s">
        <v>1824</v>
      </c>
      <c r="B248" s="339">
        <v>0</v>
      </c>
      <c r="C248" s="339" t="s">
        <v>2189</v>
      </c>
      <c r="D248" s="340">
        <v>0</v>
      </c>
      <c r="E248" s="340">
        <v>4197.51</v>
      </c>
      <c r="F248" s="340">
        <v>2338.9299999999998</v>
      </c>
      <c r="G248" s="340">
        <v>30.7</v>
      </c>
      <c r="H248" s="340">
        <v>0</v>
      </c>
      <c r="I248" s="340">
        <v>1889.28</v>
      </c>
    </row>
    <row r="249" spans="1:9">
      <c r="A249" s="339" t="s">
        <v>1828</v>
      </c>
      <c r="B249" s="339">
        <v>0</v>
      </c>
      <c r="C249" s="339" t="s">
        <v>2190</v>
      </c>
      <c r="D249" s="340">
        <v>0</v>
      </c>
      <c r="E249" s="340">
        <v>8183</v>
      </c>
      <c r="F249" s="340">
        <v>9174.31</v>
      </c>
      <c r="G249" s="340">
        <v>0</v>
      </c>
      <c r="H249" s="340">
        <v>0</v>
      </c>
      <c r="I249" s="340">
        <v>-991.31</v>
      </c>
    </row>
    <row r="250" spans="1:9">
      <c r="A250" s="339" t="s">
        <v>1833</v>
      </c>
      <c r="B250" s="339">
        <v>0</v>
      </c>
      <c r="C250" s="339" t="s">
        <v>2191</v>
      </c>
      <c r="D250" s="340">
        <v>0</v>
      </c>
      <c r="E250" s="340">
        <v>190435.04</v>
      </c>
      <c r="F250" s="340">
        <v>60115.73</v>
      </c>
      <c r="G250" s="340">
        <v>5839.64</v>
      </c>
      <c r="H250" s="340">
        <v>3117.37</v>
      </c>
      <c r="I250" s="340">
        <v>133041.57999999999</v>
      </c>
    </row>
    <row r="251" spans="1:9">
      <c r="A251" s="339" t="s">
        <v>1834</v>
      </c>
      <c r="B251" s="339">
        <v>0</v>
      </c>
      <c r="C251" s="339" t="s">
        <v>2192</v>
      </c>
      <c r="D251" s="340">
        <v>0</v>
      </c>
      <c r="E251" s="340">
        <v>36554.870000000003</v>
      </c>
      <c r="F251" s="340">
        <v>26408.639999999999</v>
      </c>
      <c r="G251" s="340">
        <v>20405.66</v>
      </c>
      <c r="H251" s="340">
        <v>0</v>
      </c>
      <c r="I251" s="340">
        <v>30551.89</v>
      </c>
    </row>
    <row r="252" spans="1:9">
      <c r="A252" s="339" t="s">
        <v>1844</v>
      </c>
      <c r="B252" s="339">
        <v>0</v>
      </c>
      <c r="C252" s="339" t="s">
        <v>2193</v>
      </c>
      <c r="D252" s="340">
        <v>0</v>
      </c>
      <c r="E252" s="340">
        <v>353573.52</v>
      </c>
      <c r="F252" s="340">
        <v>90243.98</v>
      </c>
      <c r="G252" s="340">
        <v>29835.32</v>
      </c>
      <c r="H252" s="340">
        <v>7070</v>
      </c>
      <c r="I252" s="340">
        <v>286094.86</v>
      </c>
    </row>
    <row r="253" spans="1:9">
      <c r="A253" s="339" t="s">
        <v>1853</v>
      </c>
      <c r="B253" s="339">
        <v>0</v>
      </c>
      <c r="C253" s="339" t="s">
        <v>2194</v>
      </c>
      <c r="D253" s="340">
        <v>0</v>
      </c>
      <c r="E253" s="340">
        <v>151704.54</v>
      </c>
      <c r="F253" s="340">
        <v>48000</v>
      </c>
      <c r="G253" s="340">
        <v>92715.18</v>
      </c>
      <c r="H253" s="340">
        <v>18365.57</v>
      </c>
      <c r="I253" s="340">
        <v>178054.15</v>
      </c>
    </row>
    <row r="254" spans="1:9">
      <c r="A254" s="339" t="s">
        <v>1855</v>
      </c>
      <c r="B254" s="339">
        <v>0</v>
      </c>
      <c r="C254" s="339" t="s">
        <v>2195</v>
      </c>
      <c r="D254" s="340">
        <v>0</v>
      </c>
      <c r="E254" s="340">
        <v>70000</v>
      </c>
      <c r="F254" s="340">
        <v>60000</v>
      </c>
      <c r="G254" s="340">
        <v>60000</v>
      </c>
      <c r="H254" s="340">
        <v>0</v>
      </c>
      <c r="I254" s="340">
        <v>70000</v>
      </c>
    </row>
    <row r="255" spans="1:9">
      <c r="A255" s="339" t="s">
        <v>1861</v>
      </c>
      <c r="B255" s="339">
        <v>0</v>
      </c>
      <c r="C255" s="339" t="s">
        <v>2196</v>
      </c>
      <c r="D255" s="340">
        <v>0</v>
      </c>
      <c r="E255" s="340">
        <v>168803.12</v>
      </c>
      <c r="F255" s="340">
        <v>84847.72</v>
      </c>
      <c r="G255" s="340">
        <v>6769.07</v>
      </c>
      <c r="H255" s="340">
        <v>1325</v>
      </c>
      <c r="I255" s="340">
        <v>89399.47</v>
      </c>
    </row>
    <row r="256" spans="1:9">
      <c r="A256" s="339" t="s">
        <v>1864</v>
      </c>
      <c r="B256" s="339">
        <v>0</v>
      </c>
      <c r="C256" s="339" t="s">
        <v>2197</v>
      </c>
      <c r="D256" s="340">
        <v>0</v>
      </c>
      <c r="E256" s="340">
        <v>374507.23</v>
      </c>
      <c r="F256" s="340">
        <v>0</v>
      </c>
      <c r="G256" s="340">
        <v>0</v>
      </c>
      <c r="H256" s="340">
        <v>0</v>
      </c>
      <c r="I256" s="340">
        <v>374507.23</v>
      </c>
    </row>
    <row r="257" spans="1:9">
      <c r="A257" s="339" t="s">
        <v>1889</v>
      </c>
      <c r="B257" s="339">
        <v>0</v>
      </c>
      <c r="C257" s="339" t="s">
        <v>2198</v>
      </c>
      <c r="D257" s="340">
        <v>0</v>
      </c>
      <c r="E257" s="340">
        <v>4391051.51</v>
      </c>
      <c r="F257" s="340">
        <v>13248</v>
      </c>
      <c r="G257" s="340">
        <v>382461.3</v>
      </c>
      <c r="H257" s="340">
        <v>0.01</v>
      </c>
      <c r="I257" s="340">
        <v>4760264.8</v>
      </c>
    </row>
    <row r="258" spans="1:9">
      <c r="A258" s="339" t="s">
        <v>1873</v>
      </c>
      <c r="B258" s="339">
        <v>0</v>
      </c>
      <c r="C258" s="339" t="s">
        <v>2199</v>
      </c>
      <c r="D258" s="340">
        <v>0</v>
      </c>
      <c r="E258" s="340">
        <v>113206.1</v>
      </c>
      <c r="F258" s="340">
        <v>68467.259999999995</v>
      </c>
      <c r="G258" s="340">
        <v>0</v>
      </c>
      <c r="H258" s="340">
        <v>0</v>
      </c>
      <c r="I258" s="340">
        <v>44738.84</v>
      </c>
    </row>
    <row r="259" spans="1:9">
      <c r="A259" s="339" t="s">
        <v>1879</v>
      </c>
      <c r="B259" s="339">
        <v>0</v>
      </c>
      <c r="C259" s="339" t="s">
        <v>2200</v>
      </c>
      <c r="D259" s="340">
        <v>0</v>
      </c>
      <c r="E259" s="340">
        <v>73823.759999999995</v>
      </c>
      <c r="F259" s="340">
        <v>21201.17</v>
      </c>
      <c r="G259" s="340">
        <v>50061.17</v>
      </c>
      <c r="H259" s="340">
        <v>0</v>
      </c>
      <c r="I259" s="340">
        <v>102683.76</v>
      </c>
    </row>
    <row r="260" spans="1:9">
      <c r="A260" s="339" t="s">
        <v>1885</v>
      </c>
      <c r="B260" s="339">
        <v>0</v>
      </c>
      <c r="C260" s="339" t="s">
        <v>2201</v>
      </c>
      <c r="D260" s="340">
        <v>0</v>
      </c>
      <c r="E260" s="340">
        <v>656.48</v>
      </c>
      <c r="F260" s="340">
        <v>12581.18</v>
      </c>
      <c r="G260" s="340">
        <v>0</v>
      </c>
      <c r="H260" s="340">
        <v>5958.67</v>
      </c>
      <c r="I260" s="340">
        <v>-17883.37</v>
      </c>
    </row>
    <row r="261" spans="1:9">
      <c r="A261" s="339" t="s">
        <v>1887</v>
      </c>
      <c r="B261" s="339">
        <v>0</v>
      </c>
      <c r="C261" s="339" t="s">
        <v>2202</v>
      </c>
      <c r="D261" s="340">
        <v>0</v>
      </c>
      <c r="E261" s="340">
        <v>3452.79</v>
      </c>
      <c r="F261" s="340">
        <v>7158.96</v>
      </c>
      <c r="G261" s="340">
        <v>0</v>
      </c>
      <c r="H261" s="340">
        <v>0</v>
      </c>
      <c r="I261" s="340">
        <v>-3706.17</v>
      </c>
    </row>
    <row r="262" spans="1:9">
      <c r="A262" s="339" t="s">
        <v>1869</v>
      </c>
      <c r="B262" s="339">
        <v>0</v>
      </c>
      <c r="C262" s="339" t="s">
        <v>2203</v>
      </c>
      <c r="D262" s="340">
        <v>0</v>
      </c>
      <c r="E262" s="340">
        <v>113762.51</v>
      </c>
      <c r="F262" s="340">
        <v>5021.09</v>
      </c>
      <c r="G262" s="340">
        <v>3619.43</v>
      </c>
      <c r="H262" s="340">
        <v>0</v>
      </c>
      <c r="I262" s="340">
        <v>112360.85</v>
      </c>
    </row>
    <row r="263" spans="1:9">
      <c r="A263" s="339" t="s">
        <v>1892</v>
      </c>
      <c r="B263" s="339">
        <v>0</v>
      </c>
      <c r="C263" s="339" t="s">
        <v>2204</v>
      </c>
      <c r="D263" s="340">
        <v>0</v>
      </c>
      <c r="E263" s="340">
        <v>1366592.63</v>
      </c>
      <c r="F263" s="340">
        <v>0</v>
      </c>
      <c r="G263" s="340">
        <v>-30157.46</v>
      </c>
      <c r="H263" s="340">
        <v>0</v>
      </c>
      <c r="I263" s="340">
        <v>1336435.17</v>
      </c>
    </row>
    <row r="264" spans="1:9">
      <c r="A264" s="339" t="s">
        <v>1901</v>
      </c>
      <c r="B264" s="339">
        <v>0</v>
      </c>
      <c r="C264" s="339" t="s">
        <v>2205</v>
      </c>
      <c r="D264" s="340">
        <v>0</v>
      </c>
      <c r="E264" s="340">
        <v>1340054.04</v>
      </c>
      <c r="F264" s="340">
        <v>63749.18</v>
      </c>
      <c r="G264" s="340">
        <v>134655.47</v>
      </c>
      <c r="H264" s="340">
        <v>0</v>
      </c>
      <c r="I264" s="340">
        <v>1410960.33</v>
      </c>
    </row>
    <row r="265" spans="1:9">
      <c r="A265" s="339" t="s">
        <v>1910</v>
      </c>
      <c r="B265" s="339">
        <v>0</v>
      </c>
      <c r="C265" s="339" t="s">
        <v>2206</v>
      </c>
      <c r="D265" s="340">
        <v>0</v>
      </c>
      <c r="E265" s="340">
        <v>21655.59</v>
      </c>
      <c r="F265" s="340">
        <v>-2943.72</v>
      </c>
      <c r="G265" s="340">
        <v>44326</v>
      </c>
      <c r="H265" s="340">
        <v>60238.29</v>
      </c>
      <c r="I265" s="340">
        <v>8687.02</v>
      </c>
    </row>
    <row r="266" spans="1:9">
      <c r="A266" s="339" t="s">
        <v>1912</v>
      </c>
      <c r="B266" s="339">
        <v>0</v>
      </c>
      <c r="C266" s="339" t="s">
        <v>2207</v>
      </c>
      <c r="D266" s="340">
        <v>0</v>
      </c>
      <c r="E266" s="340">
        <v>0.08</v>
      </c>
      <c r="F266" s="340">
        <v>0.16</v>
      </c>
      <c r="G266" s="340">
        <v>0.03</v>
      </c>
      <c r="H266" s="340">
        <v>0</v>
      </c>
      <c r="I266" s="340">
        <v>-0.05</v>
      </c>
    </row>
    <row r="267" spans="1:9">
      <c r="A267" s="339" t="s">
        <v>1914</v>
      </c>
      <c r="B267" s="339">
        <v>0</v>
      </c>
      <c r="C267" s="339" t="s">
        <v>2208</v>
      </c>
      <c r="D267" s="340">
        <v>0</v>
      </c>
      <c r="E267" s="340">
        <v>2503.0700000000002</v>
      </c>
      <c r="F267" s="340">
        <v>3796.91</v>
      </c>
      <c r="G267" s="340">
        <v>1293.8399999999999</v>
      </c>
      <c r="H267" s="340">
        <v>0</v>
      </c>
      <c r="I267" s="340">
        <v>0</v>
      </c>
    </row>
    <row r="268" spans="1:9">
      <c r="A268" s="339" t="s">
        <v>1920</v>
      </c>
      <c r="B268" s="339">
        <v>0</v>
      </c>
      <c r="C268" s="339" t="s">
        <v>2209</v>
      </c>
      <c r="D268" s="340">
        <v>0</v>
      </c>
      <c r="E268" s="340">
        <v>4085.27</v>
      </c>
      <c r="F268" s="340">
        <v>27.96</v>
      </c>
      <c r="G268" s="340">
        <v>947.65</v>
      </c>
      <c r="H268" s="340">
        <v>0</v>
      </c>
      <c r="I268" s="340">
        <v>5004.96</v>
      </c>
    </row>
    <row r="269" spans="1:9">
      <c r="A269" s="339" t="s">
        <v>1923</v>
      </c>
      <c r="B269" s="339">
        <v>0</v>
      </c>
      <c r="C269" s="339" t="s">
        <v>2210</v>
      </c>
      <c r="D269" s="340">
        <v>0</v>
      </c>
      <c r="E269" s="340">
        <v>1397332.87</v>
      </c>
      <c r="F269" s="340">
        <v>532672.21</v>
      </c>
      <c r="G269" s="340">
        <v>233813.96</v>
      </c>
      <c r="H269" s="340">
        <v>150591.57</v>
      </c>
      <c r="I269" s="340">
        <v>947883.05</v>
      </c>
    </row>
    <row r="270" spans="1:9">
      <c r="A270" s="339" t="s">
        <v>1926</v>
      </c>
      <c r="B270" s="339">
        <v>0</v>
      </c>
      <c r="C270" s="339" t="s">
        <v>2211</v>
      </c>
      <c r="D270" s="340">
        <v>0</v>
      </c>
      <c r="E270" s="340">
        <v>0</v>
      </c>
      <c r="F270" s="340">
        <v>47467.95</v>
      </c>
      <c r="G270" s="340">
        <v>0</v>
      </c>
      <c r="H270" s="340">
        <v>7360.49</v>
      </c>
      <c r="I270" s="340">
        <v>-54828.44</v>
      </c>
    </row>
    <row r="271" spans="1:9">
      <c r="A271" s="339" t="s">
        <v>1938</v>
      </c>
      <c r="B271" s="339">
        <v>0</v>
      </c>
      <c r="C271" s="339" t="s">
        <v>1939</v>
      </c>
      <c r="D271" s="340">
        <v>0</v>
      </c>
      <c r="E271" s="340">
        <v>0</v>
      </c>
      <c r="F271" s="340">
        <v>5766663.4699999997</v>
      </c>
      <c r="G271" s="340">
        <v>0</v>
      </c>
      <c r="H271" s="340">
        <v>-245782.17</v>
      </c>
      <c r="I271" s="340">
        <v>-5520881.2999999998</v>
      </c>
    </row>
    <row r="272" spans="1:9">
      <c r="A272" s="339" t="s">
        <v>2212</v>
      </c>
      <c r="B272" s="339">
        <v>0</v>
      </c>
      <c r="C272" s="339" t="s">
        <v>2213</v>
      </c>
      <c r="D272" s="340">
        <v>0</v>
      </c>
      <c r="E272" s="340">
        <v>3219437.12</v>
      </c>
      <c r="F272" s="340">
        <v>3219437.12</v>
      </c>
      <c r="G272" s="340">
        <v>402915.82</v>
      </c>
      <c r="H272" s="340">
        <v>402915.82</v>
      </c>
      <c r="I272" s="340">
        <v>0</v>
      </c>
    </row>
    <row r="273" spans="1:9">
      <c r="A273" s="339" t="s">
        <v>1940</v>
      </c>
      <c r="B273" s="339">
        <v>0</v>
      </c>
      <c r="C273" s="339" t="s">
        <v>2214</v>
      </c>
      <c r="D273" s="340">
        <v>0</v>
      </c>
      <c r="E273" s="340">
        <v>1273602.3999999999</v>
      </c>
      <c r="F273" s="340">
        <v>1273602.3999999999</v>
      </c>
      <c r="G273" s="340">
        <v>52536.959999999999</v>
      </c>
      <c r="H273" s="340">
        <v>52536.959999999999</v>
      </c>
      <c r="I273" s="340">
        <v>0</v>
      </c>
    </row>
    <row r="274" spans="1:9">
      <c r="A274" s="339" t="s">
        <v>2215</v>
      </c>
      <c r="B274" s="339">
        <v>0</v>
      </c>
      <c r="C274" s="339" t="s">
        <v>2216</v>
      </c>
      <c r="D274" s="340">
        <v>0</v>
      </c>
      <c r="E274" s="340">
        <v>861586.43</v>
      </c>
      <c r="F274" s="340">
        <v>861586.43</v>
      </c>
      <c r="G274" s="340">
        <v>0</v>
      </c>
      <c r="H274" s="340">
        <v>0</v>
      </c>
      <c r="I274" s="340">
        <v>0</v>
      </c>
    </row>
    <row r="275" spans="1:9">
      <c r="A275" s="339" t="s">
        <v>2217</v>
      </c>
      <c r="B275" s="339">
        <v>0</v>
      </c>
      <c r="C275" s="339" t="s">
        <v>2218</v>
      </c>
      <c r="D275" s="340">
        <v>0</v>
      </c>
      <c r="E275" s="340">
        <v>3217205.11</v>
      </c>
      <c r="F275" s="340">
        <v>3217205.11</v>
      </c>
      <c r="G275" s="340">
        <v>402470.13</v>
      </c>
      <c r="H275" s="340">
        <v>402470.13</v>
      </c>
      <c r="I275" s="340">
        <v>0</v>
      </c>
    </row>
    <row r="276" spans="1:9">
      <c r="A276" t="s">
        <v>2219</v>
      </c>
      <c r="B276">
        <v>0</v>
      </c>
      <c r="C276" t="s">
        <v>2220</v>
      </c>
      <c r="D276" s="342">
        <v>0</v>
      </c>
      <c r="E276" s="342">
        <v>50439969.630000003</v>
      </c>
      <c r="F276" s="342">
        <v>50439969.630000003</v>
      </c>
      <c r="G276" s="342">
        <v>19641188.260000002</v>
      </c>
      <c r="H276" s="342">
        <v>19641188.260000002</v>
      </c>
      <c r="I276" s="342">
        <v>0</v>
      </c>
    </row>
  </sheetData>
  <autoFilter ref="A2:I276" xr:uid="{00000000-0001-0000-0000-000000000000}"/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35BEBA4F62E0C4580405EA002FAA9F8" ma:contentTypeVersion="0" ma:contentTypeDescription="新建文档。" ma:contentTypeScope="" ma:versionID="0201a5d6fd5971e5bdf9f9fc6364d18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e78411db53ad265f06effec81d60ae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443DBB-148E-4657-9807-8D5971260237}"/>
</file>

<file path=customXml/itemProps2.xml><?xml version="1.0" encoding="utf-8"?>
<ds:datastoreItem xmlns:ds="http://schemas.openxmlformats.org/officeDocument/2006/customXml" ds:itemID="{0A4ADB71-39F7-4658-A6FD-79E6A2A9F7DF}"/>
</file>

<file path=customXml/itemProps3.xml><?xml version="1.0" encoding="utf-8"?>
<ds:datastoreItem xmlns:ds="http://schemas.openxmlformats.org/officeDocument/2006/customXml" ds:itemID="{46379A52-6F71-420B-936A-2C4AB01477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8&amp;10. 202512财务报表&amp;科目余额表-0227.xlsx</dc:title>
  <dc:subject/>
  <dc:creator>Morrie Xu （许木议）</dc:creator>
  <cp:keywords/>
  <dc:description>61BECE72-EDED-457D-89ED-DF490B2FABA4</dc:description>
  <cp:lastModifiedBy>Felix HM Wang</cp:lastModifiedBy>
  <cp:revision/>
  <dcterms:created xsi:type="dcterms:W3CDTF">2015-06-05T18:17:20Z</dcterms:created>
  <dcterms:modified xsi:type="dcterms:W3CDTF">2026-03-12T08:10:57Z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0x010100235BEBA4F62E0C4580405EA002FAA9F8</vt:lpwstr>
  </property>
</Properties>
</file>